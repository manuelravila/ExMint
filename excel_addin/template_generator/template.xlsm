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1919646cce972b31/Intel/ExMint/excel_addin/template_generator/"/>
    </mc:Choice>
  </mc:AlternateContent>
  <xr:revisionPtr revIDLastSave="1361" documentId="8_{39187A20-E173-49A6-8637-9650D0366787}" xr6:coauthVersionLast="47" xr6:coauthVersionMax="47" xr10:uidLastSave="{FFF6FFFF-D8FE-4D2B-9846-136DD1A72E3C}"/>
  <bookViews>
    <workbookView xWindow="-120" yWindow="-120" windowWidth="38640" windowHeight="21120" tabRatio="537" xr2:uid="{00000000-000D-0000-FFFF-FFFF00000000}"/>
  </bookViews>
  <sheets>
    <sheet name="Dashboard" sheetId="1" r:id="rId1"/>
    <sheet name="Accounts" sheetId="2" r:id="rId2"/>
    <sheet name="Transactions" sheetId="3" r:id="rId3"/>
    <sheet name="Conf" sheetId="5" r:id="rId4"/>
  </sheets>
  <definedNames>
    <definedName name="_xlpm.amount_check" hidden="1" xlm="1">#NAME?</definedName>
    <definedName name="_xlpm.category_match" hidden="1" xlm="1">#NAME?</definedName>
    <definedName name="_xlpm.left_val" hidden="1" xlm="1">#NAME?</definedName>
    <definedName name="_xlpm.match_all" hidden="1" xlm="1">#NAME?</definedName>
    <definedName name="_xlpm.name_length" hidden="1" xlm="1">#NAME?</definedName>
    <definedName name="_xlpm.name_match" hidden="1" xlm="1">#NAME?</definedName>
    <definedName name="_xlpm.right_val" hidden="1" xlm="1">#NAME?</definedName>
    <definedName name="_xlpm.split" hidden="1" xlm="1">#NAME?</definedName>
    <definedName name="Sel_Month">Dashboard!$I$1</definedName>
    <definedName name="Unique_Months">OFFSET(Conf!$D$1, 0, 0, COUNTA(Conf!$D:$D), 1)</definedName>
  </definedNames>
  <calcPr calcId="191029"/>
  <pivotCaches>
    <pivotCache cacheId="7" r:id="rId5"/>
    <pivotCache cacheId="8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16" i="1" l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H3" i="1" l="1" a="1"/>
  <c r="H3" i="1" s="1"/>
  <c r="H4" i="1" s="1" a="1"/>
  <c r="H4" i="1" s="1"/>
  <c r="H5" i="1" s="1" a="1"/>
  <c r="H5" i="1" s="1"/>
  <c r="H6" i="1" s="1" a="1"/>
  <c r="H6" i="1" s="1"/>
  <c r="I6" i="1" s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4" i="1" l="1"/>
  <c r="I5" i="1"/>
  <c r="H7" i="1" a="1"/>
  <c r="H7" i="1" s="1"/>
  <c r="I7" i="1" s="1"/>
  <c r="D1" i="5" a="1"/>
  <c r="D1" i="5" s="1"/>
  <c r="B8" i="5"/>
  <c r="B7" i="5"/>
  <c r="B6" i="5"/>
  <c r="H8" i="1" l="1" a="1"/>
  <c r="H8" i="1" s="1"/>
  <c r="I8" i="1" s="1"/>
  <c r="I3" i="1"/>
  <c r="H9" i="1" l="1" a="1"/>
  <c r="H9" i="1" s="1"/>
  <c r="I9" i="1" s="1"/>
  <c r="H10" i="1" l="1" a="1"/>
  <c r="H10" i="1" s="1"/>
  <c r="H11" i="1" l="1" a="1"/>
  <c r="H11" i="1" s="1"/>
  <c r="I11" i="1" s="1"/>
  <c r="I10" i="1"/>
  <c r="H12" i="1" l="1" a="1"/>
  <c r="H12" i="1" s="1"/>
  <c r="I12" i="1" s="1"/>
  <c r="H13" i="1" l="1" a="1"/>
  <c r="H13" i="1" s="1"/>
  <c r="I13" i="1" s="1"/>
  <c r="H14" i="1" l="1" a="1"/>
  <c r="H14" i="1" s="1"/>
  <c r="I14" i="1" s="1"/>
  <c r="H15" i="1" l="1" a="1"/>
  <c r="H15" i="1" s="1"/>
  <c r="I15" i="1" s="1"/>
  <c r="H16" i="1" l="1" a="1"/>
  <c r="H16" i="1" s="1"/>
  <c r="H17" i="1" l="1" a="1"/>
  <c r="H17" i="1" s="1"/>
  <c r="I16" i="1"/>
  <c r="H18" i="1" l="1" a="1"/>
  <c r="H18" i="1" s="1"/>
  <c r="I17" i="1"/>
  <c r="H19" i="1" l="1" a="1"/>
  <c r="H19" i="1" s="1"/>
  <c r="I18" i="1"/>
  <c r="H20" i="1" l="1" a="1"/>
  <c r="H20" i="1" s="1"/>
  <c r="I19" i="1"/>
  <c r="H21" i="1" l="1" a="1"/>
  <c r="H21" i="1" s="1"/>
  <c r="I20" i="1"/>
  <c r="H22" i="1" l="1" a="1"/>
  <c r="H22" i="1" s="1"/>
  <c r="I21" i="1"/>
  <c r="H23" i="1" l="1" a="1"/>
  <c r="H23" i="1" s="1"/>
  <c r="I22" i="1"/>
  <c r="H24" i="1" l="1" a="1"/>
  <c r="H24" i="1" s="1"/>
  <c r="I23" i="1"/>
  <c r="H25" i="1" l="1" a="1"/>
  <c r="H25" i="1" s="1"/>
  <c r="I24" i="1"/>
  <c r="H26" i="1" l="1" a="1"/>
  <c r="H26" i="1" s="1"/>
  <c r="I25" i="1"/>
  <c r="H27" i="1" l="1" a="1"/>
  <c r="H27" i="1" s="1"/>
  <c r="I26" i="1"/>
  <c r="H28" i="1" l="1" a="1"/>
  <c r="H28" i="1" s="1"/>
  <c r="I27" i="1"/>
  <c r="H29" i="1" l="1" a="1"/>
  <c r="H29" i="1" s="1"/>
  <c r="I28" i="1"/>
  <c r="H30" i="1" l="1" a="1"/>
  <c r="H30" i="1" s="1"/>
  <c r="I29" i="1"/>
  <c r="H31" i="1" l="1" a="1"/>
  <c r="H31" i="1" s="1"/>
  <c r="I30" i="1"/>
  <c r="H32" i="1" l="1" a="1"/>
  <c r="H32" i="1" s="1"/>
  <c r="I31" i="1"/>
  <c r="H33" i="1" l="1" a="1"/>
  <c r="H33" i="1" s="1"/>
  <c r="I32" i="1"/>
  <c r="H34" i="1" l="1" a="1"/>
  <c r="H34" i="1" s="1"/>
  <c r="I33" i="1"/>
  <c r="H35" i="1" l="1" a="1"/>
  <c r="H35" i="1" s="1"/>
  <c r="I34" i="1"/>
  <c r="H36" i="1" l="1" a="1"/>
  <c r="H36" i="1" s="1"/>
  <c r="I35" i="1"/>
  <c r="H37" i="1" l="1" a="1"/>
  <c r="H37" i="1" s="1"/>
  <c r="H38" i="1" s="1" a="1"/>
  <c r="H38" i="1" s="1"/>
  <c r="H39" i="1" s="1" a="1"/>
  <c r="H39" i="1" s="1"/>
  <c r="H40" i="1" s="1" a="1"/>
  <c r="H40" i="1" s="1"/>
  <c r="H41" i="1" s="1" a="1"/>
  <c r="H41" i="1" s="1"/>
  <c r="H42" i="1" s="1" a="1"/>
  <c r="H42" i="1" s="1"/>
  <c r="H43" i="1" s="1" a="1"/>
  <c r="H43" i="1" s="1"/>
  <c r="H44" i="1" s="1" a="1"/>
  <c r="H44" i="1" s="1"/>
  <c r="H45" i="1" s="1" a="1"/>
  <c r="H45" i="1" s="1"/>
  <c r="H46" i="1" s="1" a="1"/>
  <c r="H46" i="1" s="1"/>
  <c r="H47" i="1" s="1" a="1"/>
  <c r="H47" i="1" s="1"/>
  <c r="H48" i="1" s="1" a="1"/>
  <c r="H48" i="1" s="1"/>
  <c r="H49" i="1" s="1" a="1"/>
  <c r="H49" i="1" s="1"/>
  <c r="H50" i="1" s="1" a="1"/>
  <c r="H50" i="1" s="1"/>
  <c r="H51" i="1" s="1" a="1"/>
  <c r="H51" i="1" s="1"/>
  <c r="H52" i="1" s="1" a="1"/>
  <c r="H52" i="1" s="1"/>
  <c r="H53" i="1" s="1" a="1"/>
  <c r="H53" i="1" s="1"/>
  <c r="H54" i="1" s="1" a="1"/>
  <c r="H54" i="1" s="1"/>
  <c r="H55" i="1" s="1" a="1"/>
  <c r="H55" i="1" s="1"/>
  <c r="H56" i="1" s="1" a="1"/>
  <c r="H56" i="1" s="1"/>
  <c r="H57" i="1" s="1" a="1"/>
  <c r="H57" i="1" s="1"/>
  <c r="H58" i="1" s="1" a="1"/>
  <c r="H58" i="1" s="1"/>
  <c r="H59" i="1" s="1" a="1"/>
  <c r="H59" i="1" s="1"/>
  <c r="H60" i="1" s="1" a="1"/>
  <c r="H60" i="1" s="1"/>
  <c r="H61" i="1" s="1" a="1"/>
  <c r="H61" i="1" s="1"/>
  <c r="H62" i="1" s="1" a="1"/>
  <c r="H62" i="1" s="1"/>
  <c r="H63" i="1" s="1" a="1"/>
  <c r="H63" i="1" s="1"/>
  <c r="H64" i="1" s="1" a="1"/>
  <c r="H64" i="1" s="1"/>
  <c r="H65" i="1" s="1" a="1"/>
  <c r="H65" i="1" s="1"/>
  <c r="H66" i="1" s="1" a="1"/>
  <c r="H66" i="1" s="1"/>
  <c r="H67" i="1" s="1" a="1"/>
  <c r="H67" i="1" s="1"/>
  <c r="H68" i="1" s="1" a="1"/>
  <c r="H68" i="1" s="1"/>
  <c r="H69" i="1" s="1" a="1"/>
  <c r="H69" i="1" s="1"/>
  <c r="H70" i="1" s="1" a="1"/>
  <c r="H70" i="1" s="1"/>
  <c r="H71" i="1" s="1" a="1"/>
  <c r="H71" i="1" s="1"/>
  <c r="H72" i="1" s="1" a="1"/>
  <c r="H72" i="1" s="1"/>
  <c r="H73" i="1" s="1" a="1"/>
  <c r="H73" i="1" s="1"/>
  <c r="H74" i="1" s="1" a="1"/>
  <c r="H74" i="1" s="1"/>
  <c r="H75" i="1" s="1" a="1"/>
  <c r="H75" i="1" s="1"/>
  <c r="H76" i="1" s="1" a="1"/>
  <c r="H76" i="1" s="1"/>
  <c r="H77" i="1" s="1" a="1"/>
  <c r="H77" i="1" s="1"/>
  <c r="H78" i="1" s="1" a="1"/>
  <c r="H78" i="1" s="1"/>
  <c r="H79" i="1" s="1" a="1"/>
  <c r="H79" i="1" s="1"/>
  <c r="H80" i="1" s="1" a="1"/>
  <c r="H80" i="1" s="1"/>
  <c r="H81" i="1" s="1" a="1"/>
  <c r="H81" i="1" s="1"/>
  <c r="H82" i="1" s="1" a="1"/>
  <c r="H82" i="1" s="1"/>
  <c r="H83" i="1" s="1" a="1"/>
  <c r="H83" i="1" s="1"/>
  <c r="H84" i="1" s="1" a="1"/>
  <c r="H84" i="1" s="1"/>
  <c r="H85" i="1" s="1" a="1"/>
  <c r="H85" i="1" s="1"/>
  <c r="H86" i="1" s="1" a="1"/>
  <c r="H86" i="1" s="1"/>
  <c r="H87" i="1" s="1" a="1"/>
  <c r="H87" i="1" s="1"/>
  <c r="H88" i="1" s="1" a="1"/>
  <c r="H88" i="1" s="1"/>
  <c r="H89" i="1" s="1" a="1"/>
  <c r="H89" i="1" s="1"/>
  <c r="H90" i="1" s="1" a="1"/>
  <c r="H90" i="1" s="1"/>
  <c r="H91" i="1" s="1" a="1"/>
  <c r="H91" i="1" s="1"/>
  <c r="H92" i="1" s="1" a="1"/>
  <c r="H92" i="1" s="1"/>
  <c r="H93" i="1" s="1" a="1"/>
  <c r="H93" i="1" s="1"/>
  <c r="H94" i="1" s="1" a="1"/>
  <c r="H94" i="1" s="1"/>
  <c r="H95" i="1" s="1" a="1"/>
  <c r="H95" i="1" s="1"/>
  <c r="H96" i="1" s="1" a="1"/>
  <c r="H96" i="1" s="1"/>
  <c r="H97" i="1" s="1" a="1"/>
  <c r="H97" i="1" s="1"/>
  <c r="H98" i="1" s="1" a="1"/>
  <c r="H98" i="1" s="1"/>
  <c r="H99" i="1" s="1" a="1"/>
  <c r="H99" i="1" s="1"/>
  <c r="H100" i="1" s="1" a="1"/>
  <c r="H100" i="1" s="1"/>
  <c r="H101" i="1" s="1" a="1"/>
  <c r="H101" i="1" s="1"/>
  <c r="H102" i="1" s="1" a="1"/>
  <c r="H102" i="1" s="1"/>
  <c r="H103" i="1" s="1" a="1"/>
  <c r="H103" i="1" s="1"/>
  <c r="H104" i="1" s="1" a="1"/>
  <c r="H104" i="1" s="1"/>
  <c r="H105" i="1" s="1" a="1"/>
  <c r="H105" i="1" s="1"/>
  <c r="H106" i="1" s="1" a="1"/>
  <c r="H106" i="1" s="1"/>
  <c r="H107" i="1" s="1" a="1"/>
  <c r="H107" i="1" s="1"/>
  <c r="H108" i="1" s="1" a="1"/>
  <c r="H108" i="1" s="1"/>
  <c r="H109" i="1" s="1" a="1"/>
  <c r="H109" i="1" s="1"/>
  <c r="H110" i="1" s="1" a="1"/>
  <c r="H110" i="1" s="1"/>
  <c r="H111" i="1" s="1" a="1"/>
  <c r="H111" i="1" s="1"/>
  <c r="H112" i="1" s="1" a="1"/>
  <c r="H112" i="1" s="1"/>
  <c r="H113" i="1" s="1" a="1"/>
  <c r="H113" i="1" s="1"/>
  <c r="H114" i="1" s="1" a="1"/>
  <c r="H114" i="1" s="1"/>
  <c r="H115" i="1" s="1" a="1"/>
  <c r="H115" i="1" s="1"/>
  <c r="H116" i="1" s="1" a="1"/>
  <c r="H116" i="1" s="1"/>
  <c r="H117" i="1" s="1" a="1"/>
  <c r="H117" i="1" s="1"/>
  <c r="H118" i="1" s="1" a="1"/>
  <c r="H118" i="1" s="1"/>
  <c r="H119" i="1" s="1" a="1"/>
  <c r="H119" i="1" s="1"/>
  <c r="H120" i="1" s="1" a="1"/>
  <c r="H120" i="1" s="1"/>
  <c r="H121" i="1" s="1" a="1"/>
  <c r="H121" i="1" s="1"/>
  <c r="H122" i="1" s="1" a="1"/>
  <c r="H122" i="1" s="1"/>
  <c r="H123" i="1" s="1" a="1"/>
  <c r="H123" i="1" s="1"/>
  <c r="H124" i="1" s="1" a="1"/>
  <c r="H124" i="1" s="1"/>
  <c r="H125" i="1" s="1" a="1"/>
  <c r="H125" i="1" s="1"/>
  <c r="H126" i="1" s="1" a="1"/>
  <c r="H126" i="1" s="1"/>
  <c r="H127" i="1" s="1" a="1"/>
  <c r="H127" i="1" s="1"/>
  <c r="H128" i="1" s="1" a="1"/>
  <c r="H128" i="1" s="1"/>
  <c r="H129" i="1" s="1" a="1"/>
  <c r="H129" i="1" s="1"/>
  <c r="H130" i="1" s="1" a="1"/>
  <c r="H130" i="1" s="1"/>
  <c r="H131" i="1" s="1" a="1"/>
  <c r="H131" i="1" s="1"/>
  <c r="H132" i="1" s="1" a="1"/>
  <c r="H132" i="1" s="1"/>
  <c r="H133" i="1" s="1" a="1"/>
  <c r="H133" i="1" s="1"/>
  <c r="H134" i="1" s="1" a="1"/>
  <c r="H134" i="1" s="1"/>
  <c r="H135" i="1" s="1" a="1"/>
  <c r="H135" i="1" s="1"/>
  <c r="H136" i="1" s="1" a="1"/>
  <c r="H136" i="1" s="1"/>
  <c r="H137" i="1" s="1" a="1"/>
  <c r="H137" i="1" s="1"/>
  <c r="H138" i="1" s="1" a="1"/>
  <c r="H138" i="1" s="1"/>
  <c r="H139" i="1" s="1" a="1"/>
  <c r="H139" i="1" s="1"/>
  <c r="H140" i="1" s="1" a="1"/>
  <c r="H140" i="1" s="1"/>
  <c r="H141" i="1" s="1" a="1"/>
  <c r="H141" i="1" s="1"/>
  <c r="H142" i="1" s="1" a="1"/>
  <c r="H142" i="1" s="1"/>
  <c r="H143" i="1" s="1" a="1"/>
  <c r="H143" i="1" s="1"/>
  <c r="H144" i="1" s="1" a="1"/>
  <c r="H144" i="1" s="1"/>
  <c r="H145" i="1" s="1" a="1"/>
  <c r="H145" i="1" s="1"/>
  <c r="H146" i="1" s="1" a="1"/>
  <c r="H146" i="1" s="1"/>
  <c r="H147" i="1" s="1" a="1"/>
  <c r="H147" i="1" s="1"/>
  <c r="H148" i="1" s="1" a="1"/>
  <c r="H148" i="1" s="1"/>
  <c r="H149" i="1" s="1" a="1"/>
  <c r="H149" i="1" s="1"/>
  <c r="H150" i="1" s="1" a="1"/>
  <c r="H150" i="1" s="1"/>
  <c r="H151" i="1" s="1" a="1"/>
  <c r="H151" i="1" s="1"/>
  <c r="H152" i="1" s="1" a="1"/>
  <c r="H152" i="1" s="1"/>
  <c r="H153" i="1" s="1" a="1"/>
  <c r="H153" i="1" s="1"/>
  <c r="H154" i="1" s="1" a="1"/>
  <c r="H154" i="1" s="1"/>
  <c r="H155" i="1" s="1" a="1"/>
  <c r="H155" i="1" s="1"/>
  <c r="H156" i="1" s="1" a="1"/>
  <c r="H156" i="1" s="1"/>
  <c r="H157" i="1" s="1" a="1"/>
  <c r="H157" i="1" s="1"/>
  <c r="H158" i="1" s="1" a="1"/>
  <c r="H158" i="1" s="1"/>
  <c r="H159" i="1" s="1" a="1"/>
  <c r="H159" i="1" s="1"/>
  <c r="H160" i="1" s="1" a="1"/>
  <c r="H160" i="1" s="1"/>
  <c r="H161" i="1" s="1" a="1"/>
  <c r="H161" i="1" s="1"/>
  <c r="H162" i="1" s="1" a="1"/>
  <c r="H162" i="1" s="1"/>
  <c r="H163" i="1" s="1" a="1"/>
  <c r="H163" i="1" s="1"/>
  <c r="H164" i="1" s="1" a="1"/>
  <c r="H164" i="1" s="1"/>
  <c r="H165" i="1" s="1" a="1"/>
  <c r="H165" i="1" s="1"/>
  <c r="H166" i="1" s="1" a="1"/>
  <c r="H166" i="1" s="1"/>
  <c r="H167" i="1" s="1" a="1"/>
  <c r="H167" i="1" s="1"/>
  <c r="H168" i="1" s="1" a="1"/>
  <c r="H168" i="1" s="1"/>
  <c r="H169" i="1" s="1" a="1"/>
  <c r="H169" i="1" s="1"/>
  <c r="H170" i="1" s="1" a="1"/>
  <c r="H170" i="1" s="1"/>
  <c r="H171" i="1" s="1" a="1"/>
  <c r="H171" i="1" s="1"/>
  <c r="H172" i="1" s="1" a="1"/>
  <c r="H172" i="1" s="1"/>
  <c r="H173" i="1" s="1" a="1"/>
  <c r="H173" i="1" s="1"/>
  <c r="H174" i="1" s="1" a="1"/>
  <c r="H174" i="1" s="1"/>
  <c r="H175" i="1" s="1" a="1"/>
  <c r="H175" i="1" s="1"/>
  <c r="H176" i="1" s="1" a="1"/>
  <c r="H176" i="1" s="1"/>
  <c r="H177" i="1" s="1" a="1"/>
  <c r="H177" i="1" s="1"/>
  <c r="H178" i="1" s="1" a="1"/>
  <c r="H178" i="1" s="1"/>
  <c r="H179" i="1" s="1" a="1"/>
  <c r="H179" i="1" s="1"/>
  <c r="H180" i="1" s="1" a="1"/>
  <c r="H180" i="1" s="1"/>
  <c r="H181" i="1" s="1" a="1"/>
  <c r="H181" i="1" s="1"/>
  <c r="H182" i="1" s="1" a="1"/>
  <c r="H182" i="1" s="1"/>
  <c r="H183" i="1" s="1" a="1"/>
  <c r="H183" i="1" s="1"/>
  <c r="H184" i="1" s="1" a="1"/>
  <c r="H184" i="1" s="1"/>
  <c r="H185" i="1" s="1" a="1"/>
  <c r="H185" i="1" s="1"/>
  <c r="H186" i="1" s="1" a="1"/>
  <c r="H186" i="1" s="1"/>
  <c r="H187" i="1" s="1" a="1"/>
  <c r="H187" i="1" s="1"/>
  <c r="H188" i="1" s="1" a="1"/>
  <c r="H188" i="1" s="1"/>
  <c r="H189" i="1" s="1" a="1"/>
  <c r="H189" i="1" s="1"/>
  <c r="H190" i="1" s="1" a="1"/>
  <c r="H190" i="1" s="1"/>
  <c r="H191" i="1" s="1" a="1"/>
  <c r="H191" i="1" s="1"/>
  <c r="H192" i="1" s="1" a="1"/>
  <c r="H192" i="1" s="1"/>
  <c r="H193" i="1" s="1" a="1"/>
  <c r="H193" i="1" s="1"/>
  <c r="H194" i="1" s="1" a="1"/>
  <c r="H194" i="1" s="1"/>
  <c r="H195" i="1" s="1" a="1"/>
  <c r="H195" i="1" s="1"/>
  <c r="H196" i="1" s="1" a="1"/>
  <c r="H196" i="1" s="1"/>
  <c r="H197" i="1" s="1" a="1"/>
  <c r="H197" i="1" s="1"/>
  <c r="H198" i="1" s="1" a="1"/>
  <c r="H198" i="1" s="1"/>
  <c r="H199" i="1" s="1" a="1"/>
  <c r="H199" i="1" s="1"/>
  <c r="H200" i="1" s="1" a="1"/>
  <c r="H200" i="1" s="1"/>
  <c r="H201" i="1" s="1" a="1"/>
  <c r="H201" i="1" s="1"/>
  <c r="H202" i="1" s="1" a="1"/>
  <c r="H202" i="1" s="1"/>
  <c r="H203" i="1" s="1" a="1"/>
  <c r="H203" i="1" s="1"/>
  <c r="H204" i="1" s="1" a="1"/>
  <c r="H204" i="1" s="1"/>
  <c r="H205" i="1" s="1" a="1"/>
  <c r="H205" i="1" s="1"/>
  <c r="H206" i="1" s="1" a="1"/>
  <c r="H206" i="1" s="1"/>
  <c r="H207" i="1" s="1" a="1"/>
  <c r="H207" i="1" s="1"/>
  <c r="H208" i="1" s="1" a="1"/>
  <c r="H208" i="1" s="1"/>
  <c r="H209" i="1" s="1" a="1"/>
  <c r="H209" i="1" s="1"/>
  <c r="H210" i="1" s="1" a="1"/>
  <c r="H210" i="1" s="1"/>
  <c r="H211" i="1" s="1" a="1"/>
  <c r="H211" i="1" s="1"/>
  <c r="H212" i="1" s="1" a="1"/>
  <c r="H212" i="1" s="1"/>
  <c r="H213" i="1" s="1" a="1"/>
  <c r="H213" i="1" s="1"/>
  <c r="H214" i="1" s="1" a="1"/>
  <c r="H214" i="1" s="1"/>
  <c r="H215" i="1" s="1" a="1"/>
  <c r="H215" i="1" s="1"/>
  <c r="H216" i="1" s="1" a="1"/>
  <c r="H216" i="1" s="1"/>
  <c r="H217" i="1" s="1" a="1"/>
  <c r="H217" i="1" s="1"/>
  <c r="H218" i="1" s="1" a="1"/>
  <c r="H218" i="1" s="1"/>
  <c r="H219" i="1" s="1" a="1"/>
  <c r="H219" i="1" s="1"/>
  <c r="H220" i="1" s="1" a="1"/>
  <c r="H220" i="1" s="1"/>
  <c r="H221" i="1" s="1" a="1"/>
  <c r="H221" i="1" s="1"/>
  <c r="H222" i="1" s="1" a="1"/>
  <c r="H222" i="1" s="1"/>
  <c r="H223" i="1" s="1" a="1"/>
  <c r="H223" i="1" s="1"/>
  <c r="H224" i="1" s="1" a="1"/>
  <c r="H224" i="1" s="1"/>
  <c r="H225" i="1" s="1" a="1"/>
  <c r="H225" i="1" s="1"/>
  <c r="H226" i="1" s="1" a="1"/>
  <c r="H226" i="1" s="1"/>
  <c r="H227" i="1" s="1" a="1"/>
  <c r="H227" i="1" s="1"/>
  <c r="H228" i="1" s="1" a="1"/>
  <c r="H228" i="1" s="1"/>
  <c r="H229" i="1" s="1" a="1"/>
  <c r="H229" i="1" s="1"/>
  <c r="H230" i="1" s="1" a="1"/>
  <c r="H230" i="1" s="1"/>
  <c r="H231" i="1" s="1" a="1"/>
  <c r="H231" i="1" s="1"/>
  <c r="H232" i="1" s="1" a="1"/>
  <c r="H232" i="1" s="1"/>
  <c r="H233" i="1" s="1" a="1"/>
  <c r="H233" i="1" s="1"/>
  <c r="H234" i="1" s="1" a="1"/>
  <c r="H234" i="1" s="1"/>
  <c r="H235" i="1" s="1" a="1"/>
  <c r="H235" i="1" s="1"/>
  <c r="H236" i="1" s="1" a="1"/>
  <c r="H236" i="1" s="1"/>
  <c r="H237" i="1" s="1" a="1"/>
  <c r="H237" i="1" s="1"/>
  <c r="H238" i="1" s="1" a="1"/>
  <c r="H238" i="1" s="1"/>
  <c r="H239" i="1" s="1" a="1"/>
  <c r="H239" i="1" s="1"/>
  <c r="H240" i="1" s="1" a="1"/>
  <c r="H240" i="1" s="1"/>
  <c r="H241" i="1" s="1" a="1"/>
  <c r="H241" i="1" s="1"/>
  <c r="H242" i="1" s="1" a="1"/>
  <c r="H242" i="1" s="1"/>
  <c r="H243" i="1" s="1" a="1"/>
  <c r="H243" i="1" s="1"/>
  <c r="H244" i="1" s="1" a="1"/>
  <c r="H244" i="1" s="1"/>
  <c r="H245" i="1" s="1" a="1"/>
  <c r="H245" i="1" s="1"/>
  <c r="H246" i="1" s="1" a="1"/>
  <c r="H246" i="1" s="1"/>
  <c r="H247" i="1" s="1" a="1"/>
  <c r="H247" i="1" s="1"/>
  <c r="H248" i="1" s="1" a="1"/>
  <c r="H248" i="1" s="1"/>
  <c r="H249" i="1" s="1" a="1"/>
  <c r="H249" i="1" s="1"/>
  <c r="H250" i="1" s="1" a="1"/>
  <c r="H250" i="1" s="1"/>
  <c r="H251" i="1" s="1" a="1"/>
  <c r="H251" i="1" s="1"/>
  <c r="H252" i="1" s="1" a="1"/>
  <c r="H252" i="1" s="1"/>
  <c r="H253" i="1" s="1" a="1"/>
  <c r="H253" i="1" s="1"/>
  <c r="H254" i="1" s="1" a="1"/>
  <c r="H254" i="1" s="1"/>
  <c r="H255" i="1" s="1" a="1"/>
  <c r="H255" i="1" s="1"/>
  <c r="H256" i="1" s="1" a="1"/>
  <c r="H256" i="1" s="1"/>
  <c r="H257" i="1" s="1" a="1"/>
  <c r="H257" i="1" s="1"/>
  <c r="H258" i="1" s="1" a="1"/>
  <c r="H258" i="1" s="1"/>
  <c r="H259" i="1" s="1" a="1"/>
  <c r="H259" i="1" s="1"/>
  <c r="H260" i="1" s="1" a="1"/>
  <c r="H260" i="1" s="1"/>
  <c r="H261" i="1" s="1" a="1"/>
  <c r="H261" i="1" s="1"/>
  <c r="H262" i="1" s="1" a="1"/>
  <c r="H262" i="1" s="1"/>
  <c r="H263" i="1" s="1" a="1"/>
  <c r="H263" i="1" s="1"/>
  <c r="H264" i="1" s="1" a="1"/>
  <c r="H264" i="1" s="1"/>
  <c r="H265" i="1" s="1" a="1"/>
  <c r="H265" i="1" s="1"/>
  <c r="H266" i="1" s="1" a="1"/>
  <c r="H266" i="1" s="1"/>
  <c r="H267" i="1" s="1" a="1"/>
  <c r="H267" i="1" s="1"/>
  <c r="H268" i="1" s="1" a="1"/>
  <c r="H268" i="1" s="1"/>
  <c r="H269" i="1" s="1" a="1"/>
  <c r="H269" i="1" s="1"/>
  <c r="H270" i="1" s="1" a="1"/>
  <c r="H270" i="1" s="1"/>
  <c r="H271" i="1" s="1" a="1"/>
  <c r="H271" i="1" s="1"/>
  <c r="H272" i="1" s="1" a="1"/>
  <c r="H272" i="1" s="1"/>
  <c r="H273" i="1" s="1" a="1"/>
  <c r="H273" i="1" s="1"/>
  <c r="H274" i="1" s="1" a="1"/>
  <c r="H274" i="1" s="1"/>
  <c r="H275" i="1" s="1" a="1"/>
  <c r="H275" i="1" s="1"/>
  <c r="H276" i="1" s="1" a="1"/>
  <c r="H276" i="1" s="1"/>
  <c r="H277" i="1" s="1" a="1"/>
  <c r="H277" i="1" s="1"/>
  <c r="H278" i="1" s="1" a="1"/>
  <c r="H278" i="1" s="1"/>
  <c r="H279" i="1" s="1" a="1"/>
  <c r="H279" i="1" s="1"/>
  <c r="H280" i="1" s="1" a="1"/>
  <c r="H280" i="1" s="1"/>
  <c r="H281" i="1" s="1" a="1"/>
  <c r="H281" i="1" s="1"/>
  <c r="H282" i="1" s="1" a="1"/>
  <c r="H282" i="1" s="1"/>
  <c r="H283" i="1" s="1" a="1"/>
  <c r="H283" i="1" s="1"/>
  <c r="H284" i="1" s="1" a="1"/>
  <c r="H284" i="1" s="1"/>
  <c r="H285" i="1" s="1" a="1"/>
  <c r="H285" i="1" s="1"/>
  <c r="H286" i="1" s="1" a="1"/>
  <c r="H286" i="1" s="1"/>
  <c r="H287" i="1" s="1" a="1"/>
  <c r="H287" i="1" s="1"/>
  <c r="H288" i="1" s="1" a="1"/>
  <c r="H288" i="1" s="1"/>
  <c r="H289" i="1" s="1" a="1"/>
  <c r="H289" i="1" s="1"/>
  <c r="H290" i="1" s="1" a="1"/>
  <c r="H290" i="1" s="1"/>
  <c r="H291" i="1" s="1" a="1"/>
  <c r="H291" i="1" s="1"/>
  <c r="H292" i="1" s="1" a="1"/>
  <c r="H292" i="1" s="1"/>
  <c r="H293" i="1" s="1" a="1"/>
  <c r="H293" i="1" s="1"/>
  <c r="H294" i="1" s="1" a="1"/>
  <c r="H294" i="1" s="1"/>
  <c r="H295" i="1" s="1" a="1"/>
  <c r="H295" i="1" s="1"/>
  <c r="H296" i="1" s="1" a="1"/>
  <c r="H296" i="1" s="1"/>
  <c r="H297" i="1" s="1" a="1"/>
  <c r="H297" i="1" s="1"/>
  <c r="H298" i="1" s="1" a="1"/>
  <c r="H298" i="1" s="1"/>
  <c r="H299" i="1" s="1" a="1"/>
  <c r="H299" i="1" s="1"/>
  <c r="H300" i="1" s="1" a="1"/>
  <c r="H300" i="1" s="1"/>
  <c r="H301" i="1" s="1" a="1"/>
  <c r="H301" i="1" s="1"/>
  <c r="H302" i="1" s="1" a="1"/>
  <c r="H302" i="1" s="1"/>
  <c r="H303" i="1" s="1" a="1"/>
  <c r="H303" i="1" s="1"/>
  <c r="H304" i="1" s="1" a="1"/>
  <c r="H304" i="1" s="1"/>
  <c r="H305" i="1" s="1" a="1"/>
  <c r="H305" i="1" s="1"/>
  <c r="H306" i="1" s="1" a="1"/>
  <c r="H306" i="1" s="1"/>
  <c r="H307" i="1" s="1" a="1"/>
  <c r="H307" i="1" s="1"/>
  <c r="H308" i="1" s="1" a="1"/>
  <c r="H308" i="1" s="1"/>
  <c r="H309" i="1" s="1" a="1"/>
  <c r="H309" i="1" s="1"/>
  <c r="H310" i="1" s="1" a="1"/>
  <c r="H310" i="1" s="1"/>
  <c r="H311" i="1" s="1" a="1"/>
  <c r="H311" i="1" s="1"/>
  <c r="H312" i="1" s="1" a="1"/>
  <c r="H312" i="1" s="1"/>
  <c r="H313" i="1" s="1" a="1"/>
  <c r="H313" i="1" s="1"/>
  <c r="H314" i="1" s="1" a="1"/>
  <c r="H314" i="1" s="1"/>
  <c r="H315" i="1" s="1" a="1"/>
  <c r="H315" i="1" s="1"/>
  <c r="H316" i="1" s="1" a="1"/>
  <c r="H316" i="1" s="1"/>
  <c r="H317" i="1" s="1" a="1"/>
  <c r="H317" i="1" s="1"/>
  <c r="H318" i="1" s="1" a="1"/>
  <c r="H318" i="1" s="1"/>
  <c r="H319" i="1" s="1" a="1"/>
  <c r="H319" i="1" s="1"/>
  <c r="H320" i="1" s="1" a="1"/>
  <c r="H320" i="1" s="1"/>
  <c r="H321" i="1" s="1" a="1"/>
  <c r="H321" i="1" s="1"/>
  <c r="H322" i="1" s="1" a="1"/>
  <c r="H322" i="1" s="1"/>
  <c r="H323" i="1" s="1" a="1"/>
  <c r="H323" i="1" s="1"/>
  <c r="H324" i="1" s="1" a="1"/>
  <c r="H324" i="1" s="1"/>
  <c r="H325" i="1" s="1" a="1"/>
  <c r="H325" i="1" s="1"/>
  <c r="H326" i="1" s="1" a="1"/>
  <c r="H326" i="1" s="1"/>
  <c r="H327" i="1" s="1" a="1"/>
  <c r="H327" i="1" s="1"/>
  <c r="H328" i="1" s="1" a="1"/>
  <c r="H328" i="1" s="1"/>
  <c r="H329" i="1" s="1" a="1"/>
  <c r="H329" i="1" s="1"/>
  <c r="H330" i="1" s="1" a="1"/>
  <c r="H330" i="1" s="1"/>
  <c r="H331" i="1" s="1" a="1"/>
  <c r="H331" i="1" s="1"/>
  <c r="H332" i="1" s="1" a="1"/>
  <c r="H332" i="1" s="1"/>
  <c r="H333" i="1" s="1" a="1"/>
  <c r="H333" i="1" s="1"/>
  <c r="H334" i="1" s="1" a="1"/>
  <c r="H334" i="1" s="1"/>
  <c r="H335" i="1" s="1" a="1"/>
  <c r="H335" i="1" s="1"/>
  <c r="H336" i="1" s="1" a="1"/>
  <c r="H336" i="1" s="1"/>
  <c r="H337" i="1" s="1" a="1"/>
  <c r="H337" i="1" s="1"/>
  <c r="H338" i="1" s="1" a="1"/>
  <c r="H338" i="1" s="1"/>
  <c r="H339" i="1" s="1" a="1"/>
  <c r="H339" i="1" s="1"/>
  <c r="H340" i="1" s="1" a="1"/>
  <c r="H340" i="1" s="1"/>
  <c r="H341" i="1" s="1" a="1"/>
  <c r="H341" i="1" s="1"/>
  <c r="H342" i="1" s="1" a="1"/>
  <c r="H342" i="1" s="1"/>
  <c r="H343" i="1" s="1" a="1"/>
  <c r="H343" i="1" s="1"/>
  <c r="H344" i="1" s="1" a="1"/>
  <c r="H344" i="1" s="1"/>
  <c r="H345" i="1" s="1" a="1"/>
  <c r="H345" i="1" s="1"/>
  <c r="H346" i="1" s="1" a="1"/>
  <c r="H346" i="1" s="1"/>
  <c r="H347" i="1" s="1" a="1"/>
  <c r="H347" i="1" s="1"/>
  <c r="H348" i="1" s="1" a="1"/>
  <c r="H348" i="1" s="1"/>
  <c r="H349" i="1" s="1" a="1"/>
  <c r="H349" i="1" s="1"/>
  <c r="H350" i="1" s="1" a="1"/>
  <c r="H350" i="1" s="1"/>
  <c r="H351" i="1" s="1" a="1"/>
  <c r="H351" i="1" s="1"/>
  <c r="H352" i="1" s="1" a="1"/>
  <c r="H352" i="1" s="1"/>
  <c r="H353" i="1" s="1" a="1"/>
  <c r="H353" i="1" s="1"/>
  <c r="H354" i="1" s="1" a="1"/>
  <c r="H354" i="1" s="1"/>
  <c r="H355" i="1" s="1" a="1"/>
  <c r="H355" i="1" s="1"/>
  <c r="H356" i="1" s="1" a="1"/>
  <c r="H356" i="1" s="1"/>
  <c r="H357" i="1" s="1" a="1"/>
  <c r="H357" i="1" s="1"/>
  <c r="H358" i="1" s="1" a="1"/>
  <c r="H358" i="1" s="1"/>
  <c r="H359" i="1" s="1" a="1"/>
  <c r="H359" i="1" s="1"/>
  <c r="H360" i="1" s="1" a="1"/>
  <c r="H360" i="1" s="1"/>
  <c r="H361" i="1" s="1" a="1"/>
  <c r="H361" i="1" s="1"/>
  <c r="H362" i="1" s="1" a="1"/>
  <c r="H362" i="1" s="1"/>
  <c r="H363" i="1" s="1" a="1"/>
  <c r="H363" i="1" s="1"/>
  <c r="H364" i="1" s="1" a="1"/>
  <c r="H364" i="1" s="1"/>
  <c r="H365" i="1" s="1" a="1"/>
  <c r="H365" i="1" s="1"/>
  <c r="H366" i="1" s="1" a="1"/>
  <c r="H366" i="1" s="1"/>
  <c r="H367" i="1" s="1" a="1"/>
  <c r="H367" i="1" s="1"/>
  <c r="H368" i="1" s="1" a="1"/>
  <c r="H368" i="1" s="1"/>
  <c r="H369" i="1" s="1" a="1"/>
  <c r="H369" i="1" s="1"/>
  <c r="H370" i="1" s="1" a="1"/>
  <c r="H370" i="1" s="1"/>
  <c r="H371" i="1" s="1" a="1"/>
  <c r="H371" i="1" s="1"/>
  <c r="H372" i="1" s="1" a="1"/>
  <c r="H372" i="1" s="1"/>
  <c r="H373" i="1" s="1" a="1"/>
  <c r="H373" i="1" s="1"/>
  <c r="H374" i="1" s="1" a="1"/>
  <c r="H374" i="1" s="1"/>
  <c r="H375" i="1" s="1" a="1"/>
  <c r="H375" i="1" s="1"/>
  <c r="H376" i="1" s="1" a="1"/>
  <c r="H376" i="1" s="1"/>
  <c r="H377" i="1" s="1" a="1"/>
  <c r="H377" i="1" s="1"/>
  <c r="H378" i="1" s="1" a="1"/>
  <c r="H378" i="1" s="1"/>
  <c r="H379" i="1" s="1" a="1"/>
  <c r="H379" i="1" s="1"/>
  <c r="H380" i="1" s="1" a="1"/>
  <c r="H380" i="1" s="1"/>
  <c r="H381" i="1" s="1" a="1"/>
  <c r="H381" i="1" s="1"/>
  <c r="H382" i="1" s="1" a="1"/>
  <c r="H382" i="1" s="1"/>
  <c r="H383" i="1" s="1" a="1"/>
  <c r="H383" i="1" s="1"/>
  <c r="H384" i="1" s="1" a="1"/>
  <c r="H384" i="1" s="1"/>
  <c r="H385" i="1" s="1" a="1"/>
  <c r="H385" i="1" s="1"/>
  <c r="H386" i="1" s="1" a="1"/>
  <c r="H386" i="1" s="1"/>
  <c r="H387" i="1" s="1" a="1"/>
  <c r="H387" i="1" s="1"/>
  <c r="H388" i="1" s="1" a="1"/>
  <c r="H388" i="1" s="1"/>
  <c r="H389" i="1" s="1" a="1"/>
  <c r="H389" i="1" s="1"/>
  <c r="H390" i="1" s="1" a="1"/>
  <c r="H390" i="1" s="1"/>
  <c r="H391" i="1" s="1" a="1"/>
  <c r="H391" i="1" s="1"/>
  <c r="H392" i="1" s="1" a="1"/>
  <c r="H392" i="1" s="1"/>
  <c r="H393" i="1" s="1" a="1"/>
  <c r="H393" i="1" s="1"/>
  <c r="H394" i="1" s="1" a="1"/>
  <c r="H394" i="1" s="1"/>
  <c r="H395" i="1" s="1" a="1"/>
  <c r="H395" i="1" s="1"/>
  <c r="H396" i="1" s="1" a="1"/>
  <c r="H396" i="1" s="1"/>
  <c r="H397" i="1" s="1" a="1"/>
  <c r="H397" i="1" s="1"/>
  <c r="H398" i="1" s="1" a="1"/>
  <c r="H398" i="1" s="1"/>
  <c r="H399" i="1" s="1" a="1"/>
  <c r="H399" i="1" s="1"/>
  <c r="H400" i="1" s="1" a="1"/>
  <c r="H400" i="1" s="1"/>
  <c r="H401" i="1" s="1" a="1"/>
  <c r="H401" i="1" s="1"/>
  <c r="H402" i="1" s="1" a="1"/>
  <c r="H402" i="1" s="1"/>
  <c r="H403" i="1" s="1" a="1"/>
  <c r="H403" i="1" s="1"/>
  <c r="H404" i="1" s="1" a="1"/>
  <c r="H404" i="1" s="1"/>
  <c r="H405" i="1" s="1" a="1"/>
  <c r="H405" i="1" s="1"/>
  <c r="H406" i="1" s="1" a="1"/>
  <c r="H406" i="1" s="1"/>
  <c r="H407" i="1" s="1" a="1"/>
  <c r="H407" i="1" s="1"/>
  <c r="H408" i="1" s="1" a="1"/>
  <c r="H408" i="1" s="1"/>
  <c r="H409" i="1" s="1" a="1"/>
  <c r="H409" i="1" s="1"/>
  <c r="H410" i="1" s="1" a="1"/>
  <c r="H410" i="1" s="1"/>
  <c r="H411" i="1" s="1" a="1"/>
  <c r="H411" i="1" s="1"/>
  <c r="H412" i="1" s="1" a="1"/>
  <c r="H412" i="1" s="1"/>
  <c r="H413" i="1" s="1" a="1"/>
  <c r="H413" i="1" s="1"/>
  <c r="H414" i="1" s="1" a="1"/>
  <c r="H414" i="1" s="1"/>
  <c r="H415" i="1" s="1" a="1"/>
  <c r="H415" i="1" s="1"/>
  <c r="H416" i="1" s="1" a="1"/>
  <c r="H416" i="1" s="1"/>
  <c r="H417" i="1" s="1" a="1"/>
  <c r="H417" i="1" s="1"/>
  <c r="H418" i="1" s="1" a="1"/>
  <c r="H418" i="1" s="1"/>
  <c r="H419" i="1" s="1" a="1"/>
  <c r="H419" i="1" s="1"/>
  <c r="H420" i="1" s="1" a="1"/>
  <c r="H420" i="1" s="1"/>
  <c r="H421" i="1" s="1" a="1"/>
  <c r="H421" i="1" s="1"/>
  <c r="H422" i="1" s="1" a="1"/>
  <c r="H422" i="1" s="1"/>
  <c r="H423" i="1" s="1" a="1"/>
  <c r="H423" i="1" s="1"/>
  <c r="H424" i="1" s="1" a="1"/>
  <c r="H424" i="1" s="1"/>
  <c r="H425" i="1" s="1" a="1"/>
  <c r="H425" i="1" s="1"/>
  <c r="H426" i="1" s="1" a="1"/>
  <c r="H426" i="1" s="1"/>
  <c r="H427" i="1" s="1" a="1"/>
  <c r="H427" i="1" s="1"/>
  <c r="H428" i="1" s="1" a="1"/>
  <c r="H428" i="1" s="1"/>
  <c r="H429" i="1" s="1" a="1"/>
  <c r="H429" i="1" s="1"/>
  <c r="H430" i="1" s="1" a="1"/>
  <c r="H430" i="1" s="1"/>
  <c r="H431" i="1" s="1" a="1"/>
  <c r="H431" i="1" s="1"/>
  <c r="H432" i="1" s="1" a="1"/>
  <c r="H432" i="1" s="1"/>
  <c r="H433" i="1" s="1" a="1"/>
  <c r="H433" i="1" s="1"/>
  <c r="H434" i="1" s="1" a="1"/>
  <c r="H434" i="1" s="1"/>
  <c r="H435" i="1" s="1" a="1"/>
  <c r="H435" i="1" s="1"/>
  <c r="H436" i="1" s="1" a="1"/>
  <c r="H436" i="1" s="1"/>
  <c r="H437" i="1" s="1" a="1"/>
  <c r="H437" i="1" s="1"/>
  <c r="H438" i="1" s="1" a="1"/>
  <c r="H438" i="1" s="1"/>
  <c r="H439" i="1" s="1" a="1"/>
  <c r="H439" i="1" s="1"/>
  <c r="H440" i="1" s="1" a="1"/>
  <c r="H440" i="1" s="1"/>
  <c r="H441" i="1" s="1" a="1"/>
  <c r="H441" i="1" s="1"/>
  <c r="H442" i="1" s="1" a="1"/>
  <c r="H442" i="1" s="1"/>
  <c r="H443" i="1" s="1" a="1"/>
  <c r="H443" i="1" s="1"/>
  <c r="H444" i="1" s="1" a="1"/>
  <c r="H444" i="1" s="1"/>
  <c r="H445" i="1" s="1" a="1"/>
  <c r="H445" i="1" s="1"/>
  <c r="H446" i="1" s="1" a="1"/>
  <c r="H446" i="1" s="1"/>
  <c r="H447" i="1" s="1" a="1"/>
  <c r="H447" i="1" s="1"/>
  <c r="H448" i="1" s="1" a="1"/>
  <c r="H448" i="1" s="1"/>
  <c r="H449" i="1" s="1" a="1"/>
  <c r="H449" i="1" s="1"/>
  <c r="H450" i="1" s="1" a="1"/>
  <c r="H450" i="1" s="1"/>
  <c r="H451" i="1" s="1" a="1"/>
  <c r="H451" i="1" s="1"/>
  <c r="H452" i="1" s="1" a="1"/>
  <c r="H452" i="1" s="1"/>
  <c r="H453" i="1" s="1" a="1"/>
  <c r="H453" i="1" s="1"/>
  <c r="H454" i="1" s="1" a="1"/>
  <c r="H454" i="1" s="1"/>
  <c r="H455" i="1" s="1" a="1"/>
  <c r="H455" i="1" s="1"/>
  <c r="H456" i="1" s="1" a="1"/>
  <c r="H456" i="1" s="1"/>
  <c r="H457" i="1" s="1" a="1"/>
  <c r="H457" i="1" s="1"/>
  <c r="H458" i="1" s="1" a="1"/>
  <c r="H458" i="1" s="1"/>
  <c r="H459" i="1" s="1" a="1"/>
  <c r="H459" i="1" s="1"/>
  <c r="H460" i="1" s="1" a="1"/>
  <c r="H460" i="1" s="1"/>
  <c r="H461" i="1" s="1" a="1"/>
  <c r="H461" i="1" s="1"/>
  <c r="H462" i="1" s="1" a="1"/>
  <c r="H462" i="1" s="1"/>
  <c r="H463" i="1" s="1" a="1"/>
  <c r="H463" i="1" s="1"/>
  <c r="H464" i="1" s="1" a="1"/>
  <c r="H464" i="1" s="1"/>
  <c r="H465" i="1" s="1" a="1"/>
  <c r="H465" i="1" s="1"/>
  <c r="H466" i="1" s="1" a="1"/>
  <c r="H466" i="1" s="1"/>
  <c r="H467" i="1" s="1" a="1"/>
  <c r="H467" i="1" s="1"/>
  <c r="H468" i="1" s="1" a="1"/>
  <c r="H468" i="1" s="1"/>
  <c r="H469" i="1" s="1" a="1"/>
  <c r="H469" i="1" s="1"/>
  <c r="H470" i="1" s="1" a="1"/>
  <c r="H470" i="1" s="1"/>
  <c r="H471" i="1" s="1" a="1"/>
  <c r="H471" i="1" s="1"/>
  <c r="H472" i="1" s="1" a="1"/>
  <c r="H472" i="1" s="1"/>
  <c r="H473" i="1" s="1" a="1"/>
  <c r="H473" i="1" s="1"/>
  <c r="H474" i="1" s="1" a="1"/>
  <c r="H474" i="1" s="1"/>
  <c r="H475" i="1" s="1" a="1"/>
  <c r="H475" i="1" s="1"/>
  <c r="H476" i="1" s="1" a="1"/>
  <c r="H476" i="1" s="1"/>
  <c r="H477" i="1" s="1" a="1"/>
  <c r="H477" i="1" s="1"/>
  <c r="H478" i="1" s="1" a="1"/>
  <c r="H478" i="1" s="1"/>
  <c r="H479" i="1" s="1" a="1"/>
  <c r="H479" i="1" s="1"/>
  <c r="H480" i="1" s="1" a="1"/>
  <c r="H480" i="1" s="1"/>
  <c r="H481" i="1" s="1" a="1"/>
  <c r="H481" i="1" s="1"/>
  <c r="H482" i="1" s="1" a="1"/>
  <c r="H482" i="1" s="1"/>
  <c r="H483" i="1" s="1" a="1"/>
  <c r="H483" i="1" s="1"/>
  <c r="H484" i="1" s="1" a="1"/>
  <c r="H484" i="1" s="1"/>
  <c r="H485" i="1" s="1" a="1"/>
  <c r="H485" i="1" s="1"/>
  <c r="H486" i="1" s="1" a="1"/>
  <c r="H486" i="1" s="1"/>
  <c r="H487" i="1" s="1" a="1"/>
  <c r="H487" i="1" s="1"/>
  <c r="H488" i="1" s="1" a="1"/>
  <c r="H488" i="1" s="1"/>
  <c r="H489" i="1" s="1" a="1"/>
  <c r="H489" i="1" s="1"/>
  <c r="H490" i="1" s="1" a="1"/>
  <c r="H490" i="1" s="1"/>
  <c r="H491" i="1" s="1" a="1"/>
  <c r="H491" i="1" s="1"/>
  <c r="H492" i="1" s="1" a="1"/>
  <c r="H492" i="1" s="1"/>
  <c r="H493" i="1" s="1" a="1"/>
  <c r="H493" i="1" s="1"/>
  <c r="H494" i="1" s="1" a="1"/>
  <c r="H494" i="1" s="1"/>
  <c r="H495" i="1" s="1" a="1"/>
  <c r="H495" i="1" s="1"/>
  <c r="H496" i="1" s="1" a="1"/>
  <c r="H496" i="1" s="1"/>
  <c r="H497" i="1" s="1" a="1"/>
  <c r="H497" i="1" s="1"/>
  <c r="H498" i="1" s="1" a="1"/>
  <c r="H498" i="1" s="1"/>
  <c r="H499" i="1" s="1" a="1"/>
  <c r="H499" i="1" s="1"/>
  <c r="H500" i="1" s="1" a="1"/>
  <c r="H500" i="1" s="1"/>
  <c r="H501" i="1" s="1" a="1"/>
  <c r="H501" i="1" s="1"/>
  <c r="H502" i="1" s="1" a="1"/>
  <c r="H502" i="1" s="1"/>
  <c r="H503" i="1" s="1" a="1"/>
  <c r="H503" i="1" s="1"/>
  <c r="H504" i="1" s="1" a="1"/>
  <c r="H504" i="1" s="1"/>
  <c r="H505" i="1" s="1" a="1"/>
  <c r="H505" i="1" s="1"/>
  <c r="H506" i="1" s="1" a="1"/>
  <c r="H506" i="1" s="1"/>
  <c r="H507" i="1" s="1" a="1"/>
  <c r="H507" i="1" s="1"/>
  <c r="H508" i="1" s="1" a="1"/>
  <c r="H508" i="1" s="1"/>
  <c r="H509" i="1" s="1" a="1"/>
  <c r="H509" i="1" s="1"/>
  <c r="H510" i="1" s="1" a="1"/>
  <c r="H510" i="1" s="1"/>
  <c r="H511" i="1" s="1" a="1"/>
  <c r="H511" i="1" s="1"/>
  <c r="H512" i="1" s="1" a="1"/>
  <c r="H512" i="1" s="1"/>
  <c r="H513" i="1" s="1" a="1"/>
  <c r="H513" i="1" s="1"/>
  <c r="H514" i="1" s="1" a="1"/>
  <c r="H514" i="1" s="1"/>
  <c r="H515" i="1" s="1" a="1"/>
  <c r="H515" i="1" s="1"/>
  <c r="H516" i="1" s="1" a="1"/>
  <c r="H516" i="1" s="1"/>
  <c r="H517" i="1" s="1" a="1"/>
  <c r="H517" i="1" s="1"/>
  <c r="H518" i="1" s="1" a="1"/>
  <c r="H518" i="1" s="1"/>
  <c r="H519" i="1" s="1" a="1"/>
  <c r="H519" i="1" s="1"/>
  <c r="H520" i="1" s="1" a="1"/>
  <c r="H520" i="1" s="1"/>
  <c r="H521" i="1" s="1" a="1"/>
  <c r="H521" i="1" s="1"/>
  <c r="H522" i="1" s="1" a="1"/>
  <c r="H522" i="1" s="1"/>
  <c r="H523" i="1" s="1" a="1"/>
  <c r="H523" i="1" s="1"/>
  <c r="H524" i="1" s="1" a="1"/>
  <c r="H524" i="1" s="1"/>
  <c r="H525" i="1" s="1" a="1"/>
  <c r="H525" i="1" s="1"/>
  <c r="H526" i="1" s="1" a="1"/>
  <c r="H526" i="1" s="1"/>
  <c r="H527" i="1" s="1" a="1"/>
  <c r="H527" i="1" s="1"/>
  <c r="H528" i="1" s="1" a="1"/>
  <c r="H528" i="1" s="1"/>
  <c r="H529" i="1" s="1" a="1"/>
  <c r="H529" i="1" s="1"/>
  <c r="H530" i="1" s="1" a="1"/>
  <c r="H530" i="1" s="1"/>
  <c r="H531" i="1" s="1" a="1"/>
  <c r="H531" i="1" s="1"/>
  <c r="H532" i="1" s="1" a="1"/>
  <c r="H532" i="1" s="1"/>
  <c r="H533" i="1" s="1" a="1"/>
  <c r="H533" i="1" s="1"/>
  <c r="H534" i="1" s="1" a="1"/>
  <c r="H534" i="1" s="1"/>
  <c r="H535" i="1" s="1" a="1"/>
  <c r="H535" i="1" s="1"/>
  <c r="H536" i="1" s="1" a="1"/>
  <c r="H536" i="1" s="1"/>
  <c r="H537" i="1" s="1" a="1"/>
  <c r="H537" i="1" s="1"/>
  <c r="H538" i="1" s="1" a="1"/>
  <c r="H538" i="1" s="1"/>
  <c r="H539" i="1" s="1" a="1"/>
  <c r="H539" i="1" s="1"/>
  <c r="H540" i="1" s="1" a="1"/>
  <c r="H540" i="1" s="1"/>
  <c r="H541" i="1" s="1" a="1"/>
  <c r="H541" i="1" s="1"/>
  <c r="H542" i="1" s="1" a="1"/>
  <c r="H542" i="1" s="1"/>
  <c r="H543" i="1" s="1" a="1"/>
  <c r="H543" i="1" s="1"/>
  <c r="H544" i="1" s="1" a="1"/>
  <c r="H544" i="1" s="1"/>
  <c r="H545" i="1" s="1" a="1"/>
  <c r="H545" i="1" s="1"/>
  <c r="H546" i="1" s="1" a="1"/>
  <c r="H546" i="1" s="1"/>
  <c r="H547" i="1" s="1" a="1"/>
  <c r="H547" i="1" s="1"/>
  <c r="H548" i="1" s="1" a="1"/>
  <c r="H548" i="1" s="1"/>
  <c r="H549" i="1" s="1" a="1"/>
  <c r="H549" i="1" s="1"/>
  <c r="H550" i="1" s="1" a="1"/>
  <c r="H550" i="1" s="1"/>
  <c r="H551" i="1" s="1" a="1"/>
  <c r="H551" i="1" s="1"/>
  <c r="H552" i="1" s="1" a="1"/>
  <c r="H552" i="1" s="1"/>
  <c r="H553" i="1" s="1" a="1"/>
  <c r="H553" i="1" s="1"/>
  <c r="H554" i="1" s="1" a="1"/>
  <c r="H554" i="1" s="1"/>
  <c r="H555" i="1" s="1" a="1"/>
  <c r="H555" i="1" s="1"/>
  <c r="H556" i="1" s="1" a="1"/>
  <c r="H556" i="1" s="1"/>
  <c r="H557" i="1" s="1" a="1"/>
  <c r="H557" i="1" s="1"/>
  <c r="H558" i="1" s="1" a="1"/>
  <c r="H558" i="1" s="1"/>
  <c r="H559" i="1" s="1" a="1"/>
  <c r="H559" i="1" s="1"/>
  <c r="H560" i="1" s="1" a="1"/>
  <c r="H560" i="1" s="1"/>
  <c r="H561" i="1" s="1" a="1"/>
  <c r="H561" i="1" s="1"/>
  <c r="H562" i="1" s="1" a="1"/>
  <c r="H562" i="1" s="1"/>
  <c r="H563" i="1" s="1" a="1"/>
  <c r="H563" i="1" s="1"/>
  <c r="H564" i="1" s="1" a="1"/>
  <c r="H564" i="1" s="1"/>
  <c r="H565" i="1" s="1" a="1"/>
  <c r="H565" i="1" s="1"/>
  <c r="H566" i="1" s="1" a="1"/>
  <c r="H566" i="1" s="1"/>
  <c r="H567" i="1" s="1" a="1"/>
  <c r="H567" i="1" s="1"/>
  <c r="H568" i="1" s="1" a="1"/>
  <c r="H568" i="1" s="1"/>
  <c r="H569" i="1" s="1" a="1"/>
  <c r="H569" i="1" s="1"/>
  <c r="H570" i="1" s="1" a="1"/>
  <c r="H570" i="1" s="1"/>
  <c r="H571" i="1" s="1" a="1"/>
  <c r="H571" i="1" s="1"/>
  <c r="H572" i="1" s="1" a="1"/>
  <c r="H572" i="1" s="1"/>
  <c r="H573" i="1" s="1" a="1"/>
  <c r="H573" i="1" s="1"/>
  <c r="H574" i="1" s="1" a="1"/>
  <c r="H574" i="1" s="1"/>
  <c r="H575" i="1" s="1" a="1"/>
  <c r="H575" i="1" s="1"/>
  <c r="H576" i="1" s="1" a="1"/>
  <c r="H576" i="1" s="1"/>
  <c r="H577" i="1" s="1" a="1"/>
  <c r="H577" i="1" s="1"/>
  <c r="H578" i="1" s="1" a="1"/>
  <c r="H578" i="1" s="1"/>
  <c r="H579" i="1" s="1" a="1"/>
  <c r="H579" i="1" s="1"/>
  <c r="H580" i="1" s="1" a="1"/>
  <c r="H580" i="1" s="1"/>
  <c r="H581" i="1" s="1" a="1"/>
  <c r="H581" i="1" s="1"/>
  <c r="H582" i="1" s="1" a="1"/>
  <c r="H582" i="1" s="1"/>
  <c r="H583" i="1" s="1" a="1"/>
  <c r="H583" i="1" s="1"/>
  <c r="H584" i="1" s="1" a="1"/>
  <c r="H584" i="1" s="1"/>
  <c r="H585" i="1" s="1" a="1"/>
  <c r="H585" i="1" s="1"/>
  <c r="H586" i="1" s="1" a="1"/>
  <c r="H586" i="1" s="1"/>
  <c r="H587" i="1" s="1" a="1"/>
  <c r="H587" i="1" s="1"/>
  <c r="H588" i="1" s="1" a="1"/>
  <c r="H588" i="1" s="1"/>
  <c r="H589" i="1" s="1" a="1"/>
  <c r="H589" i="1" s="1"/>
  <c r="H590" i="1" s="1" a="1"/>
  <c r="H590" i="1" s="1"/>
  <c r="H591" i="1" s="1" a="1"/>
  <c r="H591" i="1" s="1"/>
  <c r="H592" i="1" s="1" a="1"/>
  <c r="H592" i="1" s="1"/>
  <c r="H593" i="1" s="1" a="1"/>
  <c r="H593" i="1" s="1"/>
  <c r="H594" i="1" s="1" a="1"/>
  <c r="H594" i="1" s="1"/>
  <c r="H595" i="1" s="1" a="1"/>
  <c r="H595" i="1" s="1"/>
  <c r="H596" i="1" s="1" a="1"/>
  <c r="H596" i="1" s="1"/>
  <c r="H597" i="1" s="1" a="1"/>
  <c r="H597" i="1" s="1"/>
  <c r="H598" i="1" s="1" a="1"/>
  <c r="H598" i="1" s="1"/>
  <c r="H599" i="1" s="1" a="1"/>
  <c r="H599" i="1" s="1"/>
  <c r="H600" i="1" s="1" a="1"/>
  <c r="H600" i="1" s="1"/>
  <c r="H601" i="1" s="1" a="1"/>
  <c r="H601" i="1" s="1"/>
  <c r="H602" i="1" s="1" a="1"/>
  <c r="H602" i="1" s="1"/>
  <c r="H603" i="1" s="1" a="1"/>
  <c r="H603" i="1" s="1"/>
  <c r="H604" i="1" s="1" a="1"/>
  <c r="H604" i="1" s="1"/>
  <c r="H605" i="1" s="1" a="1"/>
  <c r="H605" i="1" s="1"/>
  <c r="H606" i="1" s="1" a="1"/>
  <c r="H606" i="1" s="1"/>
  <c r="H607" i="1" s="1" a="1"/>
  <c r="H607" i="1" s="1"/>
  <c r="H608" i="1" s="1" a="1"/>
  <c r="H608" i="1" s="1"/>
  <c r="H609" i="1" s="1" a="1"/>
  <c r="H609" i="1" s="1"/>
  <c r="H610" i="1" s="1" a="1"/>
  <c r="H610" i="1" s="1"/>
  <c r="H611" i="1" s="1" a="1"/>
  <c r="H611" i="1" s="1"/>
  <c r="H612" i="1" s="1" a="1"/>
  <c r="H612" i="1" s="1"/>
  <c r="H613" i="1" s="1" a="1"/>
  <c r="H613" i="1" s="1"/>
  <c r="H614" i="1" s="1" a="1"/>
  <c r="H614" i="1" s="1"/>
  <c r="H615" i="1" s="1" a="1"/>
  <c r="H615" i="1" s="1"/>
  <c r="H616" i="1" s="1" a="1"/>
  <c r="H616" i="1" s="1"/>
  <c r="H617" i="1" s="1" a="1"/>
  <c r="H617" i="1" s="1"/>
  <c r="H618" i="1" s="1" a="1"/>
  <c r="H618" i="1" s="1"/>
  <c r="H619" i="1" s="1" a="1"/>
  <c r="H619" i="1" s="1"/>
  <c r="H620" i="1" s="1" a="1"/>
  <c r="H620" i="1" s="1"/>
  <c r="H621" i="1" s="1" a="1"/>
  <c r="H621" i="1" s="1"/>
  <c r="H622" i="1" s="1" a="1"/>
  <c r="H622" i="1" s="1"/>
  <c r="H623" i="1" s="1" a="1"/>
  <c r="H623" i="1" s="1"/>
  <c r="H624" i="1" s="1" a="1"/>
  <c r="H624" i="1" s="1"/>
  <c r="H625" i="1" s="1" a="1"/>
  <c r="H625" i="1" s="1"/>
  <c r="H626" i="1" s="1" a="1"/>
  <c r="H626" i="1" s="1"/>
  <c r="H627" i="1" s="1" a="1"/>
  <c r="H627" i="1" s="1"/>
  <c r="H628" i="1" s="1" a="1"/>
  <c r="H628" i="1" s="1"/>
  <c r="H629" i="1" s="1" a="1"/>
  <c r="H629" i="1" s="1"/>
  <c r="H630" i="1" s="1" a="1"/>
  <c r="H630" i="1" s="1"/>
  <c r="H631" i="1" s="1" a="1"/>
  <c r="H631" i="1" s="1"/>
  <c r="H632" i="1" s="1" a="1"/>
  <c r="H632" i="1" s="1"/>
  <c r="H633" i="1" s="1" a="1"/>
  <c r="H633" i="1" s="1"/>
  <c r="H634" i="1" s="1" a="1"/>
  <c r="H634" i="1" s="1"/>
  <c r="H635" i="1" s="1" a="1"/>
  <c r="H635" i="1" s="1"/>
  <c r="H636" i="1" s="1" a="1"/>
  <c r="H636" i="1" s="1"/>
  <c r="H637" i="1" s="1" a="1"/>
  <c r="H637" i="1" s="1"/>
  <c r="H638" i="1" s="1" a="1"/>
  <c r="H638" i="1" s="1"/>
  <c r="H639" i="1" s="1" a="1"/>
  <c r="H639" i="1" s="1"/>
  <c r="H640" i="1" s="1" a="1"/>
  <c r="H640" i="1" s="1"/>
  <c r="H641" i="1" s="1" a="1"/>
  <c r="H641" i="1" s="1"/>
  <c r="H642" i="1" s="1" a="1"/>
  <c r="H642" i="1" s="1"/>
  <c r="H643" i="1" s="1" a="1"/>
  <c r="H643" i="1" s="1"/>
  <c r="H644" i="1" s="1" a="1"/>
  <c r="H644" i="1" s="1"/>
  <c r="H645" i="1" s="1" a="1"/>
  <c r="H645" i="1" s="1"/>
  <c r="H646" i="1" s="1" a="1"/>
  <c r="H646" i="1" s="1"/>
  <c r="H647" i="1" s="1" a="1"/>
  <c r="H647" i="1" s="1"/>
  <c r="H648" i="1" s="1" a="1"/>
  <c r="H648" i="1" s="1"/>
  <c r="H649" i="1" s="1" a="1"/>
  <c r="H649" i="1" s="1"/>
  <c r="H650" i="1" s="1" a="1"/>
  <c r="H650" i="1" s="1"/>
  <c r="H651" i="1" s="1" a="1"/>
  <c r="H651" i="1" s="1"/>
  <c r="H652" i="1" s="1" a="1"/>
  <c r="H652" i="1" s="1"/>
  <c r="H653" i="1" s="1" a="1"/>
  <c r="H653" i="1" s="1"/>
  <c r="H654" i="1" s="1" a="1"/>
  <c r="H654" i="1" s="1"/>
  <c r="H655" i="1" s="1" a="1"/>
  <c r="H655" i="1" s="1"/>
  <c r="H656" i="1" s="1" a="1"/>
  <c r="H656" i="1" s="1"/>
  <c r="H657" i="1" s="1" a="1"/>
  <c r="H657" i="1" s="1"/>
  <c r="H658" i="1" s="1" a="1"/>
  <c r="H658" i="1" s="1"/>
  <c r="H659" i="1" s="1" a="1"/>
  <c r="H659" i="1" s="1"/>
  <c r="H660" i="1" s="1" a="1"/>
  <c r="H660" i="1" s="1"/>
  <c r="H661" i="1" s="1" a="1"/>
  <c r="H661" i="1" s="1"/>
  <c r="H662" i="1" s="1" a="1"/>
  <c r="H662" i="1" s="1"/>
  <c r="H663" i="1" s="1" a="1"/>
  <c r="H663" i="1" s="1"/>
  <c r="H664" i="1" s="1" a="1"/>
  <c r="H664" i="1" s="1"/>
  <c r="H665" i="1" s="1" a="1"/>
  <c r="H665" i="1" s="1"/>
  <c r="H666" i="1" s="1" a="1"/>
  <c r="H666" i="1" s="1"/>
  <c r="H667" i="1" s="1" a="1"/>
  <c r="H667" i="1" s="1"/>
  <c r="H668" i="1" s="1" a="1"/>
  <c r="H668" i="1" s="1"/>
  <c r="H669" i="1" s="1" a="1"/>
  <c r="H669" i="1" s="1"/>
  <c r="H670" i="1" s="1" a="1"/>
  <c r="H670" i="1" s="1"/>
  <c r="H671" i="1" s="1" a="1"/>
  <c r="H671" i="1" s="1"/>
  <c r="H672" i="1" s="1" a="1"/>
  <c r="H672" i="1" s="1"/>
  <c r="H673" i="1" s="1" a="1"/>
  <c r="H673" i="1" s="1"/>
  <c r="H674" i="1" s="1" a="1"/>
  <c r="H674" i="1" s="1"/>
  <c r="H675" i="1" s="1" a="1"/>
  <c r="H675" i="1" s="1"/>
  <c r="H676" i="1" s="1" a="1"/>
  <c r="H676" i="1" s="1"/>
  <c r="H677" i="1" s="1" a="1"/>
  <c r="H677" i="1" s="1"/>
  <c r="H678" i="1" s="1" a="1"/>
  <c r="H678" i="1" s="1"/>
  <c r="H679" i="1" s="1" a="1"/>
  <c r="H679" i="1" s="1"/>
  <c r="H680" i="1" s="1" a="1"/>
  <c r="H680" i="1" s="1"/>
  <c r="H681" i="1" s="1" a="1"/>
  <c r="H681" i="1" s="1"/>
  <c r="H682" i="1" s="1" a="1"/>
  <c r="H682" i="1" s="1"/>
  <c r="H683" i="1" s="1" a="1"/>
  <c r="H683" i="1" s="1"/>
  <c r="H684" i="1" s="1" a="1"/>
  <c r="H684" i="1" s="1"/>
  <c r="H685" i="1" s="1" a="1"/>
  <c r="H685" i="1" s="1"/>
  <c r="H686" i="1" s="1" a="1"/>
  <c r="H686" i="1" s="1"/>
  <c r="H687" i="1" s="1" a="1"/>
  <c r="H687" i="1" s="1"/>
  <c r="H688" i="1" s="1" a="1"/>
  <c r="H688" i="1" s="1"/>
  <c r="H689" i="1" s="1" a="1"/>
  <c r="H689" i="1" s="1"/>
  <c r="H690" i="1" s="1" a="1"/>
  <c r="H690" i="1" s="1"/>
  <c r="H691" i="1" s="1" a="1"/>
  <c r="H691" i="1" s="1"/>
  <c r="H692" i="1" s="1" a="1"/>
  <c r="H692" i="1" s="1"/>
  <c r="H693" i="1" s="1" a="1"/>
  <c r="H693" i="1" s="1"/>
  <c r="H694" i="1" s="1" a="1"/>
  <c r="H694" i="1" s="1"/>
  <c r="H695" i="1" s="1" a="1"/>
  <c r="H695" i="1" s="1"/>
  <c r="H696" i="1" s="1" a="1"/>
  <c r="H696" i="1" s="1"/>
  <c r="H697" i="1" s="1" a="1"/>
  <c r="H697" i="1" s="1"/>
  <c r="H698" i="1" s="1" a="1"/>
  <c r="H698" i="1" s="1"/>
  <c r="H699" i="1" s="1" a="1"/>
  <c r="H699" i="1" s="1"/>
  <c r="H700" i="1" s="1" a="1"/>
  <c r="H700" i="1" s="1"/>
  <c r="H701" i="1" s="1" a="1"/>
  <c r="H701" i="1" s="1"/>
  <c r="H702" i="1" s="1" a="1"/>
  <c r="H702" i="1" s="1"/>
  <c r="H703" i="1" s="1" a="1"/>
  <c r="H703" i="1" s="1"/>
  <c r="H704" i="1" s="1" a="1"/>
  <c r="H704" i="1" s="1"/>
  <c r="H705" i="1" s="1" a="1"/>
  <c r="H705" i="1" s="1"/>
  <c r="H706" i="1" s="1" a="1"/>
  <c r="H706" i="1" s="1"/>
  <c r="H707" i="1" s="1" a="1"/>
  <c r="H707" i="1" s="1"/>
  <c r="H708" i="1" s="1" a="1"/>
  <c r="H708" i="1" s="1"/>
  <c r="H709" i="1" s="1" a="1"/>
  <c r="H709" i="1" s="1"/>
  <c r="H710" i="1" s="1" a="1"/>
  <c r="H710" i="1" s="1"/>
  <c r="H711" i="1" s="1" a="1"/>
  <c r="H711" i="1" s="1"/>
  <c r="H712" i="1" s="1" a="1"/>
  <c r="H712" i="1" s="1"/>
  <c r="H713" i="1" s="1" a="1"/>
  <c r="H713" i="1" s="1"/>
  <c r="H714" i="1" s="1" a="1"/>
  <c r="H714" i="1" s="1"/>
  <c r="H715" i="1" s="1" a="1"/>
  <c r="H715" i="1" s="1"/>
  <c r="H716" i="1" s="1" a="1"/>
  <c r="H716" i="1" s="1"/>
  <c r="H717" i="1" s="1" a="1"/>
  <c r="H717" i="1" s="1"/>
  <c r="H718" i="1" s="1" a="1"/>
  <c r="H718" i="1" s="1"/>
  <c r="H719" i="1" s="1" a="1"/>
  <c r="H719" i="1" s="1"/>
  <c r="H720" i="1" s="1" a="1"/>
  <c r="H720" i="1" s="1"/>
  <c r="H721" i="1" s="1" a="1"/>
  <c r="H721" i="1" s="1"/>
  <c r="H722" i="1" s="1" a="1"/>
  <c r="H722" i="1" s="1"/>
  <c r="H723" i="1" s="1" a="1"/>
  <c r="H723" i="1" s="1"/>
  <c r="H724" i="1" s="1" a="1"/>
  <c r="H724" i="1" s="1"/>
  <c r="H725" i="1" s="1" a="1"/>
  <c r="H725" i="1" s="1"/>
  <c r="H726" i="1" s="1" a="1"/>
  <c r="H726" i="1" s="1"/>
  <c r="H727" i="1" s="1" a="1"/>
  <c r="H727" i="1" s="1"/>
  <c r="H728" i="1" s="1" a="1"/>
  <c r="H728" i="1" s="1"/>
  <c r="H729" i="1" s="1" a="1"/>
  <c r="H729" i="1" s="1"/>
  <c r="H730" i="1" s="1" a="1"/>
  <c r="H730" i="1" s="1"/>
  <c r="H731" i="1" s="1" a="1"/>
  <c r="H731" i="1" s="1"/>
  <c r="H732" i="1" s="1" a="1"/>
  <c r="H732" i="1" s="1"/>
  <c r="H733" i="1" s="1" a="1"/>
  <c r="H733" i="1" s="1"/>
  <c r="H734" i="1" s="1" a="1"/>
  <c r="H734" i="1" s="1"/>
  <c r="H735" i="1" s="1" a="1"/>
  <c r="H735" i="1" s="1"/>
  <c r="H736" i="1" s="1" a="1"/>
  <c r="H736" i="1" s="1"/>
  <c r="H737" i="1" s="1" a="1"/>
  <c r="H737" i="1" s="1"/>
  <c r="H738" i="1" s="1" a="1"/>
  <c r="H738" i="1" s="1"/>
  <c r="H739" i="1" s="1" a="1"/>
  <c r="H739" i="1" s="1"/>
  <c r="H740" i="1" s="1" a="1"/>
  <c r="H740" i="1" s="1"/>
  <c r="H741" i="1" s="1" a="1"/>
  <c r="H741" i="1" s="1"/>
  <c r="H742" i="1" s="1" a="1"/>
  <c r="H742" i="1" s="1"/>
  <c r="H743" i="1" s="1" a="1"/>
  <c r="H743" i="1" s="1"/>
  <c r="H744" i="1" s="1" a="1"/>
  <c r="H744" i="1" s="1"/>
  <c r="H745" i="1" s="1" a="1"/>
  <c r="H745" i="1" s="1"/>
  <c r="H746" i="1" s="1" a="1"/>
  <c r="H746" i="1" s="1"/>
  <c r="H747" i="1" s="1" a="1"/>
  <c r="H747" i="1" s="1"/>
  <c r="H748" i="1" s="1" a="1"/>
  <c r="H748" i="1" s="1"/>
  <c r="H749" i="1" s="1" a="1"/>
  <c r="H749" i="1" s="1"/>
  <c r="H750" i="1" s="1" a="1"/>
  <c r="H750" i="1" s="1"/>
  <c r="H751" i="1" s="1" a="1"/>
  <c r="H751" i="1" s="1"/>
  <c r="H752" i="1" s="1" a="1"/>
  <c r="H752" i="1" s="1"/>
  <c r="H753" i="1" s="1" a="1"/>
  <c r="H753" i="1" s="1"/>
  <c r="H754" i="1" s="1" a="1"/>
  <c r="H754" i="1" s="1"/>
  <c r="H755" i="1" s="1" a="1"/>
  <c r="H755" i="1" s="1"/>
  <c r="H756" i="1" s="1" a="1"/>
  <c r="H756" i="1" s="1"/>
  <c r="H757" i="1" s="1" a="1"/>
  <c r="H757" i="1" s="1"/>
  <c r="H758" i="1" s="1" a="1"/>
  <c r="H758" i="1" s="1"/>
  <c r="H759" i="1" s="1" a="1"/>
  <c r="H759" i="1" s="1"/>
  <c r="H760" i="1" s="1" a="1"/>
  <c r="H760" i="1" s="1"/>
  <c r="H761" i="1" s="1" a="1"/>
  <c r="H761" i="1" s="1"/>
  <c r="H762" i="1" s="1" a="1"/>
  <c r="H762" i="1" s="1"/>
  <c r="H763" i="1" s="1" a="1"/>
  <c r="H763" i="1" s="1"/>
  <c r="H764" i="1" s="1" a="1"/>
  <c r="H764" i="1" s="1"/>
  <c r="H765" i="1" s="1" a="1"/>
  <c r="H765" i="1" s="1"/>
  <c r="H766" i="1" s="1" a="1"/>
  <c r="H766" i="1" s="1"/>
  <c r="H767" i="1" s="1" a="1"/>
  <c r="H767" i="1" s="1"/>
  <c r="H768" i="1" s="1" a="1"/>
  <c r="H768" i="1" s="1"/>
  <c r="H769" i="1" s="1" a="1"/>
  <c r="H769" i="1" s="1"/>
  <c r="H770" i="1" s="1" a="1"/>
  <c r="H770" i="1" s="1"/>
  <c r="H771" i="1" s="1" a="1"/>
  <c r="H771" i="1" s="1"/>
  <c r="H772" i="1" s="1" a="1"/>
  <c r="H772" i="1" s="1"/>
  <c r="H773" i="1" s="1" a="1"/>
  <c r="H773" i="1" s="1"/>
  <c r="H774" i="1" s="1" a="1"/>
  <c r="H774" i="1" s="1"/>
  <c r="H775" i="1" s="1" a="1"/>
  <c r="H775" i="1" s="1"/>
  <c r="H776" i="1" s="1" a="1"/>
  <c r="H776" i="1" s="1"/>
  <c r="H777" i="1" s="1" a="1"/>
  <c r="H777" i="1" s="1"/>
  <c r="H778" i="1" s="1" a="1"/>
  <c r="H778" i="1" s="1"/>
  <c r="H779" i="1" s="1" a="1"/>
  <c r="H779" i="1" s="1"/>
  <c r="H780" i="1" s="1" a="1"/>
  <c r="H780" i="1" s="1"/>
  <c r="H781" i="1" s="1" a="1"/>
  <c r="H781" i="1" s="1"/>
  <c r="H782" i="1" s="1" a="1"/>
  <c r="H782" i="1" s="1"/>
  <c r="H783" i="1" s="1" a="1"/>
  <c r="H783" i="1" s="1"/>
  <c r="H784" i="1" s="1" a="1"/>
  <c r="H784" i="1" s="1"/>
  <c r="H785" i="1" s="1" a="1"/>
  <c r="H785" i="1" s="1"/>
  <c r="H786" i="1" s="1" a="1"/>
  <c r="H786" i="1" s="1"/>
  <c r="H787" i="1" s="1" a="1"/>
  <c r="H787" i="1" s="1"/>
  <c r="H788" i="1" s="1" a="1"/>
  <c r="H788" i="1" s="1"/>
  <c r="H789" i="1" s="1" a="1"/>
  <c r="H789" i="1" s="1"/>
  <c r="H790" i="1" s="1" a="1"/>
  <c r="H790" i="1" s="1"/>
  <c r="H791" i="1" s="1" a="1"/>
  <c r="H791" i="1" s="1"/>
  <c r="H792" i="1" s="1" a="1"/>
  <c r="H792" i="1" s="1"/>
  <c r="H793" i="1" s="1" a="1"/>
  <c r="H793" i="1" s="1"/>
  <c r="H794" i="1" s="1" a="1"/>
  <c r="H794" i="1" s="1"/>
  <c r="H795" i="1" s="1" a="1"/>
  <c r="H795" i="1" s="1"/>
  <c r="H796" i="1" s="1" a="1"/>
  <c r="H796" i="1" s="1"/>
  <c r="H797" i="1" s="1" a="1"/>
  <c r="H797" i="1" s="1"/>
  <c r="H798" i="1" s="1" a="1"/>
  <c r="H798" i="1" s="1"/>
  <c r="H799" i="1" s="1" a="1"/>
  <c r="H799" i="1" s="1"/>
  <c r="H800" i="1" s="1" a="1"/>
  <c r="H800" i="1" s="1"/>
  <c r="H801" i="1" s="1" a="1"/>
  <c r="H801" i="1" s="1"/>
  <c r="H802" i="1" s="1" a="1"/>
  <c r="H802" i="1" s="1"/>
  <c r="H803" i="1" s="1" a="1"/>
  <c r="H803" i="1" s="1"/>
  <c r="H804" i="1" s="1" a="1"/>
  <c r="H804" i="1" s="1"/>
  <c r="H805" i="1" s="1" a="1"/>
  <c r="H805" i="1" s="1"/>
  <c r="H806" i="1" s="1" a="1"/>
  <c r="H806" i="1" s="1"/>
  <c r="H807" i="1" s="1" a="1"/>
  <c r="H807" i="1" s="1"/>
  <c r="H808" i="1" s="1" a="1"/>
  <c r="H808" i="1" s="1"/>
  <c r="H809" i="1" s="1" a="1"/>
  <c r="H809" i="1" s="1"/>
  <c r="H810" i="1" s="1" a="1"/>
  <c r="H810" i="1" s="1"/>
  <c r="H811" i="1" s="1" a="1"/>
  <c r="H811" i="1" s="1"/>
  <c r="H812" i="1" s="1" a="1"/>
  <c r="H812" i="1" s="1"/>
  <c r="H813" i="1" s="1" a="1"/>
  <c r="H813" i="1" s="1"/>
  <c r="H814" i="1" s="1" a="1"/>
  <c r="H814" i="1" s="1"/>
  <c r="H815" i="1" s="1" a="1"/>
  <c r="H815" i="1" s="1"/>
  <c r="H816" i="1" s="1" a="1"/>
  <c r="H816" i="1" s="1"/>
  <c r="H817" i="1" s="1" a="1"/>
  <c r="H817" i="1" s="1"/>
  <c r="H818" i="1" s="1" a="1"/>
  <c r="H818" i="1" s="1"/>
  <c r="H819" i="1" s="1" a="1"/>
  <c r="H819" i="1" s="1"/>
  <c r="H820" i="1" s="1" a="1"/>
  <c r="H820" i="1" s="1"/>
  <c r="H821" i="1" s="1" a="1"/>
  <c r="H821" i="1" s="1"/>
  <c r="H822" i="1" s="1" a="1"/>
  <c r="H822" i="1" s="1"/>
  <c r="H823" i="1" s="1" a="1"/>
  <c r="H823" i="1" s="1"/>
  <c r="H824" i="1" s="1" a="1"/>
  <c r="H824" i="1" s="1"/>
  <c r="H825" i="1" s="1" a="1"/>
  <c r="H825" i="1" s="1"/>
  <c r="H826" i="1" s="1" a="1"/>
  <c r="H826" i="1" s="1"/>
  <c r="H827" i="1" s="1" a="1"/>
  <c r="H827" i="1" s="1"/>
  <c r="H828" i="1" s="1" a="1"/>
  <c r="H828" i="1" s="1"/>
  <c r="H829" i="1" s="1" a="1"/>
  <c r="H829" i="1" s="1"/>
  <c r="H830" i="1" s="1" a="1"/>
  <c r="H830" i="1" s="1"/>
  <c r="H831" i="1" s="1" a="1"/>
  <c r="H831" i="1" s="1"/>
  <c r="H832" i="1" s="1" a="1"/>
  <c r="H832" i="1" s="1"/>
  <c r="H833" i="1" s="1" a="1"/>
  <c r="H833" i="1" s="1"/>
  <c r="H834" i="1" s="1" a="1"/>
  <c r="H834" i="1" s="1"/>
  <c r="H835" i="1" s="1" a="1"/>
  <c r="H835" i="1" s="1"/>
  <c r="H836" i="1" s="1" a="1"/>
  <c r="H836" i="1" s="1"/>
  <c r="H837" i="1" s="1" a="1"/>
  <c r="H837" i="1" s="1"/>
  <c r="H838" i="1" s="1" a="1"/>
  <c r="H838" i="1" s="1"/>
  <c r="H839" i="1" s="1" a="1"/>
  <c r="H839" i="1" s="1"/>
  <c r="H840" i="1" s="1" a="1"/>
  <c r="H840" i="1" s="1"/>
  <c r="H841" i="1" s="1" a="1"/>
  <c r="H841" i="1" s="1"/>
  <c r="H842" i="1" s="1" a="1"/>
  <c r="H842" i="1" s="1"/>
  <c r="H843" i="1" s="1" a="1"/>
  <c r="H843" i="1" s="1"/>
  <c r="H844" i="1" s="1" a="1"/>
  <c r="H844" i="1" s="1"/>
  <c r="H845" i="1" s="1" a="1"/>
  <c r="H845" i="1" s="1"/>
  <c r="H846" i="1" s="1" a="1"/>
  <c r="H846" i="1" s="1"/>
  <c r="H847" i="1" s="1" a="1"/>
  <c r="H847" i="1" s="1"/>
  <c r="H848" i="1" s="1" a="1"/>
  <c r="H848" i="1" s="1"/>
  <c r="H849" i="1" s="1" a="1"/>
  <c r="H849" i="1" s="1"/>
  <c r="H850" i="1" s="1" a="1"/>
  <c r="H850" i="1" s="1"/>
  <c r="H851" i="1" s="1" a="1"/>
  <c r="H851" i="1" s="1"/>
  <c r="H852" i="1" s="1" a="1"/>
  <c r="H852" i="1" s="1"/>
  <c r="H853" i="1" s="1" a="1"/>
  <c r="H853" i="1" s="1"/>
  <c r="H854" i="1" s="1" a="1"/>
  <c r="H854" i="1" s="1"/>
  <c r="H855" i="1" s="1" a="1"/>
  <c r="H855" i="1" s="1"/>
  <c r="H856" i="1" s="1" a="1"/>
  <c r="H856" i="1" s="1"/>
  <c r="H857" i="1" s="1" a="1"/>
  <c r="H857" i="1" s="1"/>
  <c r="H858" i="1" s="1" a="1"/>
  <c r="H858" i="1" s="1"/>
  <c r="H859" i="1" s="1" a="1"/>
  <c r="H859" i="1" s="1"/>
  <c r="H860" i="1" s="1" a="1"/>
  <c r="H860" i="1" s="1"/>
  <c r="H861" i="1" s="1" a="1"/>
  <c r="H861" i="1" s="1"/>
  <c r="H862" i="1" s="1" a="1"/>
  <c r="H862" i="1" s="1"/>
  <c r="H863" i="1" s="1" a="1"/>
  <c r="H863" i="1" s="1"/>
  <c r="H864" i="1" s="1" a="1"/>
  <c r="H864" i="1" s="1"/>
  <c r="H865" i="1" s="1" a="1"/>
  <c r="H865" i="1" s="1"/>
  <c r="H866" i="1" s="1" a="1"/>
  <c r="H866" i="1" s="1"/>
  <c r="H867" i="1" s="1" a="1"/>
  <c r="H867" i="1" s="1"/>
  <c r="H868" i="1" s="1" a="1"/>
  <c r="H868" i="1" s="1"/>
  <c r="H869" i="1" s="1" a="1"/>
  <c r="H869" i="1" s="1"/>
  <c r="H870" i="1" s="1" a="1"/>
  <c r="H870" i="1" s="1"/>
  <c r="H871" i="1" s="1" a="1"/>
  <c r="H871" i="1" s="1"/>
  <c r="H872" i="1" s="1" a="1"/>
  <c r="H872" i="1" s="1"/>
  <c r="H873" i="1" s="1" a="1"/>
  <c r="H873" i="1" s="1"/>
  <c r="H874" i="1" s="1" a="1"/>
  <c r="H874" i="1" s="1"/>
  <c r="H875" i="1" s="1" a="1"/>
  <c r="H875" i="1" s="1"/>
  <c r="H876" i="1" s="1" a="1"/>
  <c r="H876" i="1" s="1"/>
  <c r="H877" i="1" s="1" a="1"/>
  <c r="H877" i="1" s="1"/>
  <c r="H878" i="1" s="1" a="1"/>
  <c r="H878" i="1" s="1"/>
  <c r="H879" i="1" s="1" a="1"/>
  <c r="H879" i="1" s="1"/>
  <c r="H880" i="1" s="1" a="1"/>
  <c r="H880" i="1" s="1"/>
  <c r="H881" i="1" s="1" a="1"/>
  <c r="H881" i="1" s="1"/>
  <c r="H882" i="1" s="1" a="1"/>
  <c r="H882" i="1" s="1"/>
  <c r="H883" i="1" s="1" a="1"/>
  <c r="H883" i="1" s="1"/>
  <c r="H884" i="1" s="1" a="1"/>
  <c r="H884" i="1" s="1"/>
  <c r="H885" i="1" s="1" a="1"/>
  <c r="H885" i="1" s="1"/>
  <c r="H886" i="1" s="1" a="1"/>
  <c r="H886" i="1" s="1"/>
  <c r="H887" i="1" s="1" a="1"/>
  <c r="H887" i="1" s="1"/>
  <c r="H888" i="1" s="1" a="1"/>
  <c r="H888" i="1" s="1"/>
  <c r="H889" i="1" s="1" a="1"/>
  <c r="H889" i="1" s="1"/>
  <c r="H890" i="1" s="1" a="1"/>
  <c r="H890" i="1" s="1"/>
  <c r="H891" i="1" s="1" a="1"/>
  <c r="H891" i="1" s="1"/>
  <c r="H892" i="1" s="1" a="1"/>
  <c r="H892" i="1" s="1"/>
  <c r="H893" i="1" s="1" a="1"/>
  <c r="H893" i="1" s="1"/>
  <c r="H894" i="1" s="1" a="1"/>
  <c r="H894" i="1" s="1"/>
  <c r="H895" i="1" s="1" a="1"/>
  <c r="H895" i="1" s="1"/>
  <c r="H896" i="1" s="1" a="1"/>
  <c r="H896" i="1" s="1"/>
  <c r="H897" i="1" s="1" a="1"/>
  <c r="H897" i="1" s="1"/>
  <c r="H898" i="1" s="1" a="1"/>
  <c r="H898" i="1" s="1"/>
  <c r="H899" i="1" s="1" a="1"/>
  <c r="H899" i="1" s="1"/>
  <c r="H900" i="1" s="1" a="1"/>
  <c r="H900" i="1" s="1"/>
  <c r="H901" i="1" s="1" a="1"/>
  <c r="H901" i="1" s="1"/>
  <c r="H902" i="1" s="1" a="1"/>
  <c r="H902" i="1" s="1"/>
  <c r="H903" i="1" s="1" a="1"/>
  <c r="H903" i="1" s="1"/>
  <c r="H904" i="1" s="1" a="1"/>
  <c r="H904" i="1" s="1"/>
  <c r="H905" i="1" s="1" a="1"/>
  <c r="H905" i="1" s="1"/>
  <c r="H906" i="1" s="1" a="1"/>
  <c r="H906" i="1" s="1"/>
  <c r="H907" i="1" s="1" a="1"/>
  <c r="H907" i="1" s="1"/>
  <c r="H908" i="1" s="1" a="1"/>
  <c r="H908" i="1" s="1"/>
  <c r="H909" i="1" s="1" a="1"/>
  <c r="H909" i="1" s="1"/>
  <c r="H910" i="1" s="1" a="1"/>
  <c r="H910" i="1" s="1"/>
  <c r="H911" i="1" s="1" a="1"/>
  <c r="H911" i="1" s="1"/>
  <c r="H912" i="1" s="1" a="1"/>
  <c r="H912" i="1" s="1"/>
  <c r="H913" i="1" s="1" a="1"/>
  <c r="H913" i="1" s="1"/>
  <c r="H914" i="1" s="1" a="1"/>
  <c r="H914" i="1" s="1"/>
  <c r="H915" i="1" s="1" a="1"/>
  <c r="H915" i="1" s="1"/>
  <c r="H916" i="1" s="1" a="1"/>
  <c r="H916" i="1" s="1"/>
  <c r="H917" i="1" s="1" a="1"/>
  <c r="H917" i="1" s="1"/>
  <c r="H918" i="1" s="1" a="1"/>
  <c r="H918" i="1" s="1"/>
  <c r="H919" i="1" s="1" a="1"/>
  <c r="H919" i="1" s="1"/>
  <c r="H920" i="1" s="1" a="1"/>
  <c r="H920" i="1" s="1"/>
  <c r="H921" i="1" s="1" a="1"/>
  <c r="H921" i="1" s="1"/>
  <c r="H922" i="1" s="1" a="1"/>
  <c r="H922" i="1" s="1"/>
  <c r="H923" i="1" s="1" a="1"/>
  <c r="H923" i="1" s="1"/>
  <c r="H924" i="1" s="1" a="1"/>
  <c r="H924" i="1" s="1"/>
  <c r="H925" i="1" s="1" a="1"/>
  <c r="H925" i="1" s="1"/>
  <c r="H926" i="1" s="1" a="1"/>
  <c r="H926" i="1" s="1"/>
  <c r="H927" i="1" s="1" a="1"/>
  <c r="H927" i="1" s="1"/>
  <c r="H928" i="1" s="1" a="1"/>
  <c r="H928" i="1" s="1"/>
  <c r="H929" i="1" s="1" a="1"/>
  <c r="H929" i="1" s="1"/>
  <c r="H930" i="1" s="1" a="1"/>
  <c r="H930" i="1" s="1"/>
  <c r="H931" i="1" s="1" a="1"/>
  <c r="H931" i="1" s="1"/>
  <c r="H932" i="1" s="1" a="1"/>
  <c r="H932" i="1" s="1"/>
  <c r="H933" i="1" s="1" a="1"/>
  <c r="H933" i="1" s="1"/>
  <c r="H934" i="1" s="1" a="1"/>
  <c r="H934" i="1" s="1"/>
  <c r="H935" i="1" s="1" a="1"/>
  <c r="H935" i="1" s="1"/>
  <c r="H936" i="1" s="1" a="1"/>
  <c r="H936" i="1" s="1"/>
  <c r="H937" i="1" s="1" a="1"/>
  <c r="H937" i="1" s="1"/>
  <c r="H938" i="1" s="1" a="1"/>
  <c r="H938" i="1" s="1"/>
  <c r="H939" i="1" s="1" a="1"/>
  <c r="H939" i="1" s="1"/>
  <c r="H940" i="1" s="1" a="1"/>
  <c r="H940" i="1" s="1"/>
  <c r="H941" i="1" s="1" a="1"/>
  <c r="H941" i="1" s="1"/>
  <c r="H942" i="1" s="1" a="1"/>
  <c r="H942" i="1" s="1"/>
  <c r="H943" i="1" s="1" a="1"/>
  <c r="H943" i="1" s="1"/>
  <c r="H944" i="1" s="1" a="1"/>
  <c r="H944" i="1" s="1"/>
  <c r="H945" i="1" s="1" a="1"/>
  <c r="H945" i="1" s="1"/>
  <c r="H946" i="1" s="1" a="1"/>
  <c r="H946" i="1" s="1"/>
  <c r="H947" i="1" s="1" a="1"/>
  <c r="H947" i="1" s="1"/>
  <c r="H948" i="1" s="1" a="1"/>
  <c r="H948" i="1" s="1"/>
  <c r="H949" i="1" s="1" a="1"/>
  <c r="H949" i="1" s="1"/>
  <c r="H950" i="1" s="1" a="1"/>
  <c r="H950" i="1" s="1"/>
  <c r="H951" i="1" s="1" a="1"/>
  <c r="H951" i="1" s="1"/>
  <c r="H952" i="1" s="1" a="1"/>
  <c r="H952" i="1" s="1"/>
  <c r="H953" i="1" s="1" a="1"/>
  <c r="H953" i="1" s="1"/>
  <c r="H954" i="1" s="1" a="1"/>
  <c r="H954" i="1" s="1"/>
  <c r="H955" i="1" s="1" a="1"/>
  <c r="H955" i="1" s="1"/>
  <c r="H956" i="1" s="1" a="1"/>
  <c r="H956" i="1" s="1"/>
  <c r="H957" i="1" s="1" a="1"/>
  <c r="H957" i="1" s="1"/>
  <c r="H958" i="1" s="1" a="1"/>
  <c r="H958" i="1" s="1"/>
  <c r="H959" i="1" s="1" a="1"/>
  <c r="H959" i="1" s="1"/>
  <c r="H960" i="1" s="1" a="1"/>
  <c r="H960" i="1" s="1"/>
  <c r="H961" i="1" s="1" a="1"/>
  <c r="H961" i="1" s="1"/>
  <c r="H962" i="1" s="1" a="1"/>
  <c r="H962" i="1" s="1"/>
  <c r="H963" i="1" s="1" a="1"/>
  <c r="H963" i="1" s="1"/>
  <c r="H964" i="1" s="1" a="1"/>
  <c r="H964" i="1" s="1"/>
  <c r="H965" i="1" s="1" a="1"/>
  <c r="H965" i="1" s="1"/>
  <c r="H966" i="1" s="1" a="1"/>
  <c r="H966" i="1" s="1"/>
  <c r="H967" i="1" s="1" a="1"/>
  <c r="H967" i="1" s="1"/>
  <c r="H968" i="1" s="1" a="1"/>
  <c r="H968" i="1" s="1"/>
  <c r="H969" i="1" s="1" a="1"/>
  <c r="H969" i="1" s="1"/>
  <c r="H970" i="1" s="1" a="1"/>
  <c r="H970" i="1" s="1"/>
  <c r="H971" i="1" s="1" a="1"/>
  <c r="H971" i="1" s="1"/>
  <c r="H972" i="1" s="1" a="1"/>
  <c r="H972" i="1" s="1"/>
  <c r="H973" i="1" s="1" a="1"/>
  <c r="H973" i="1" s="1"/>
  <c r="H974" i="1" s="1" a="1"/>
  <c r="H974" i="1" s="1"/>
  <c r="H975" i="1" s="1" a="1"/>
  <c r="H975" i="1" s="1"/>
  <c r="H976" i="1" s="1" a="1"/>
  <c r="H976" i="1" s="1"/>
  <c r="H977" i="1" s="1" a="1"/>
  <c r="H977" i="1" s="1"/>
  <c r="H978" i="1" s="1" a="1"/>
  <c r="H978" i="1" s="1"/>
  <c r="H979" i="1" s="1" a="1"/>
  <c r="H979" i="1" s="1"/>
  <c r="H980" i="1" s="1" a="1"/>
  <c r="H980" i="1" s="1"/>
  <c r="H981" i="1" s="1" a="1"/>
  <c r="H981" i="1" s="1"/>
  <c r="H982" i="1" s="1" a="1"/>
  <c r="H982" i="1" s="1"/>
  <c r="H983" i="1" s="1" a="1"/>
  <c r="H983" i="1" s="1"/>
  <c r="H984" i="1" s="1" a="1"/>
  <c r="H984" i="1" s="1"/>
  <c r="H985" i="1" s="1" a="1"/>
  <c r="H985" i="1" s="1"/>
  <c r="H986" i="1" s="1" a="1"/>
  <c r="H986" i="1" s="1"/>
  <c r="H987" i="1" s="1" a="1"/>
  <c r="H987" i="1" s="1"/>
  <c r="H988" i="1" s="1" a="1"/>
  <c r="H988" i="1" s="1"/>
  <c r="H989" i="1" s="1" a="1"/>
  <c r="H989" i="1" s="1"/>
  <c r="H990" i="1" s="1" a="1"/>
  <c r="H990" i="1" s="1"/>
  <c r="H991" i="1" s="1" a="1"/>
  <c r="H991" i="1" s="1"/>
  <c r="H992" i="1" s="1" a="1"/>
  <c r="H992" i="1" s="1"/>
  <c r="H993" i="1" s="1" a="1"/>
  <c r="H993" i="1" s="1"/>
  <c r="H994" i="1" s="1" a="1"/>
  <c r="H994" i="1" s="1"/>
  <c r="H995" i="1" s="1" a="1"/>
  <c r="H995" i="1" s="1"/>
  <c r="H996" i="1" s="1" a="1"/>
  <c r="H996" i="1" s="1"/>
  <c r="H997" i="1" s="1" a="1"/>
  <c r="H997" i="1" s="1"/>
  <c r="H998" i="1" s="1" a="1"/>
  <c r="H998" i="1" s="1"/>
  <c r="H999" i="1" s="1" a="1"/>
  <c r="H999" i="1" s="1"/>
  <c r="H1000" i="1" s="1" a="1"/>
  <c r="H1000" i="1" s="1"/>
  <c r="I36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<sst xmlns="http://schemas.openxmlformats.org/spreadsheetml/2006/main" count="66" uniqueCount="52">
  <si>
    <t>Institution Name</t>
  </si>
  <si>
    <t>Credential ID</t>
  </si>
  <si>
    <t>Next Cursor</t>
  </si>
  <si>
    <t>Balance</t>
  </si>
  <si>
    <t>Mask</t>
  </si>
  <si>
    <t>Name</t>
  </si>
  <si>
    <t>Plaid Account ID</t>
  </si>
  <si>
    <t>Subtype</t>
  </si>
  <si>
    <t>Type</t>
  </si>
  <si>
    <t>Account ID</t>
  </si>
  <si>
    <t>Action</t>
  </si>
  <si>
    <t>Amount</t>
  </si>
  <si>
    <t>Categories</t>
  </si>
  <si>
    <t>ISO Currency Code</t>
  </si>
  <si>
    <t>Merchant Name</t>
  </si>
  <si>
    <t>Payment Channel</t>
  </si>
  <si>
    <t>Pending</t>
  </si>
  <si>
    <t>Transaction ID</t>
  </si>
  <si>
    <t>Account Name</t>
  </si>
  <si>
    <t>Bank</t>
  </si>
  <si>
    <t>Custom Category</t>
  </si>
  <si>
    <t>Operation</t>
  </si>
  <si>
    <t>Datetime</t>
  </si>
  <si>
    <t>Custom Categories</t>
  </si>
  <si>
    <t>Month's Total</t>
  </si>
  <si>
    <t>Month</t>
  </si>
  <si>
    <t>Recent</t>
  </si>
  <si>
    <t>Budget</t>
  </si>
  <si>
    <t>Spending Report</t>
  </si>
  <si>
    <t>Budgets</t>
  </si>
  <si>
    <t>Frequency</t>
  </si>
  <si>
    <t>Weekly</t>
  </si>
  <si>
    <t>Daily</t>
  </si>
  <si>
    <t>Bi-Weekly</t>
  </si>
  <si>
    <t>Monthly</t>
  </si>
  <si>
    <t>Quartery</t>
  </si>
  <si>
    <t>Bi-Yearly</t>
  </si>
  <si>
    <t>Yearly</t>
  </si>
  <si>
    <t>Factor</t>
  </si>
  <si>
    <t>6M AVG</t>
  </si>
  <si>
    <t>Sel Month</t>
  </si>
  <si>
    <t>Spent</t>
  </si>
  <si>
    <t>Balances</t>
  </si>
  <si>
    <t>(blank)</t>
  </si>
  <si>
    <t>Institution</t>
  </si>
  <si>
    <t xml:space="preserve">Balance </t>
  </si>
  <si>
    <t>6M Average</t>
  </si>
  <si>
    <t xml:space="preserve">Budget </t>
  </si>
  <si>
    <t>Total</t>
  </si>
  <si>
    <t xml:space="preserve">Category </t>
  </si>
  <si>
    <t>Monthly Spending</t>
  </si>
  <si>
    <t>Month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</si>
</sst>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-&quot;$&quot;* #,##0.00_-;\-&quot;$&quot;* #,##0.00_-;_-&quot;$&quot;* &quot;-&quot;??_-;_-@_-"/>
    <numFmt numFmtId="164" formatCode="&quot;$&quot;#,##0"/>
    <numFmt numFmtId="165" formatCode="_-&quot;$&quot;* #,##0_-;\-&quot;$&quot;* #,##0_-;_-&quot;$&quot;* &quot;-&quot;??_-;_-@_-"/>
    <numFmt numFmtId="166" formatCode="yyyy\ mmmm"/>
    <numFmt numFmtId="167" formatCode="yyyy\ /\ mmm"/>
    <numFmt numFmtId="168" formatCode="&quot;$&quot;#,##0.00"/>
  </numFmts>
  <fonts count="20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11"/>
      <color rgb="FF000000"/>
      <name val="Aptos Narrow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-0.499984740745262"/>
        <bgColor theme="7" tint="-0.499984740745262"/>
      </patternFill>
    </fill>
    <fill>
      <patternFill patternType="solid">
        <fgColor theme="7" tint="0.79998168889431442"/>
        <bgColor theme="7" tint="0.79998168889431442"/>
      </patternFill>
    </fill>
    <fill>
      <patternFill patternType="solid">
        <fgColor theme="4"/>
        <bgColor indexed="64"/>
      </patternFill>
    </fill>
    <fill>
      <patternFill patternType="solid">
        <fgColor rgb="FFC0E4F5"/>
        <bgColor rgb="FFC0E4F5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theme="7"/>
      </bottom>
      <diagonal/>
    </border>
    <border>
      <left/>
      <right/>
      <top style="thin">
        <color theme="7" tint="0.39997558519241921"/>
      </top>
      <bottom style="thin">
        <color theme="7" tint="0.39997558519241921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6">
    <xf numFmtId="0" fontId="0" fillId="0" borderId="0" xfId="0"/>
    <xf numFmtId="14" fontId="0" fillId="0" borderId="0" xfId="0" applyNumberFormat="1"/>
    <xf numFmtId="0" fontId="18" fillId="0" borderId="0" xfId="0" applyFont="1"/>
    <xf numFmtId="165" fontId="0" fillId="0" borderId="0" xfId="42" applyNumberFormat="1" applyFont="1"/>
    <xf numFmtId="165" fontId="0" fillId="0" borderId="0" xfId="0" applyNumberFormat="1"/>
    <xf numFmtId="0" fontId="13" fillId="33" borderId="10" xfId="0" applyFont="1" applyFill="1" applyBorder="1" applyAlignment="1">
      <alignment horizontal="center" wrapText="1"/>
    </xf>
    <xf numFmtId="166" fontId="16" fillId="34" borderId="11" xfId="0" applyNumberFormat="1" applyFont="1" applyFill="1" applyBorder="1"/>
    <xf numFmtId="164" fontId="16" fillId="0" borderId="0" xfId="42" applyNumberFormat="1" applyFont="1"/>
    <xf numFmtId="9" fontId="0" fillId="0" borderId="0" xfId="43" applyFont="1"/>
    <xf numFmtId="167" fontId="0" fillId="0" borderId="0" xfId="0" applyNumberFormat="1"/>
    <xf numFmtId="0" fontId="0" fillId="0" borderId="0" xfId="0" applyAlignment="1">
      <alignment horizontal="left"/>
    </xf>
    <xf numFmtId="168" fontId="0" fillId="0" borderId="0" xfId="0" applyNumberFormat="1"/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164" fontId="0" fillId="0" borderId="0" xfId="0" applyNumberFormat="1"/>
    <xf numFmtId="164" fontId="16" fillId="35" borderId="0" xfId="42" applyNumberFormat="1" applyFont="1" applyFill="1"/>
    <xf numFmtId="0" fontId="0" fillId="35" borderId="0" xfId="0" applyFill="1" applyAlignment="1">
      <alignment horizontal="center"/>
    </xf>
    <xf numFmtId="0" fontId="0" fillId="0" borderId="0" xfId="42" applyNumberFormat="1" applyFont="1"/>
    <xf numFmtId="0" fontId="13" fillId="33" borderId="0" xfId="0" applyFont="1" applyFill="1" applyAlignment="1">
      <alignment horizontal="center" wrapText="1"/>
    </xf>
    <xf numFmtId="164" fontId="13" fillId="35" borderId="0" xfId="0" applyNumberFormat="1" applyFont="1" applyFill="1"/>
    <xf numFmtId="164" fontId="17" fillId="35" borderId="0" xfId="0" applyNumberFormat="1" applyFont="1" applyFill="1"/>
    <xf numFmtId="0" fontId="19" fillId="36" borderId="0" xfId="0" applyFont="1" applyFill="1"/>
    <xf numFmtId="164" fontId="16" fillId="35" borderId="0" xfId="0" applyNumberFormat="1" applyFont="1" applyFill="1"/>
    <xf numFmtId="14" fontId="19" fillId="36" borderId="0" xfId="0" applyNumberFormat="1" applyFont="1" applyFill="1"/>
    <xf numFmtId="0" fontId="17" fillId="35" borderId="0" xfId="0" applyFont="1" applyFill="1"/>
    <xf numFmtId="0" fontId="0" fillId="0" borderId="0" xfId="0" applyNumberFormat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urrency" xfId="42" builtinId="4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cent" xfId="43" builtinId="5"/>
    <cellStyle name="Title" xfId="1" builtinId="15" customBuiltin="1"/>
    <cellStyle name="Total" xfId="17" builtinId="25" customBuiltin="1"/>
    <cellStyle name="Warning Text" xfId="14" builtinId="11" customBuiltin="1"/>
  </cellStyles>
  <dxfs count="32">
    <dxf>
      <fill>
        <patternFill>
          <bgColor theme="7" tint="0.79998168889431442"/>
        </patternFill>
      </fill>
      <border>
        <top style="thin">
          <color theme="4" tint="0.39994506668294322"/>
        </top>
        <bottom style="thin">
          <color theme="4" tint="0.39994506668294322"/>
        </bottom>
      </border>
    </dxf>
    <dxf>
      <font>
        <b/>
        <i val="0"/>
        <color theme="0"/>
      </font>
      <fill>
        <patternFill>
          <bgColor theme="4" tint="-0.24994659260841701"/>
        </patternFill>
      </fill>
    </dxf>
    <dxf>
      <numFmt numFmtId="0" formatCode="General"/>
    </dxf>
    <dxf>
      <numFmt numFmtId="0" formatCode="General"/>
    </dxf>
    <dxf>
      <numFmt numFmtId="165" formatCode="_-&quot;$&quot;* #,##0_-;\-&quot;$&quot;* #,##0_-;_-&quot;$&quot;* &quot;-&quot;??_-;_-@_-"/>
    </dxf>
    <dxf>
      <numFmt numFmtId="0" formatCode="General"/>
    </dxf>
    <dxf>
      <numFmt numFmtId="19" formatCode="yyyy/mm/dd"/>
    </dxf>
    <dxf>
      <numFmt numFmtId="19" formatCode="yyyy/mm/dd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5" formatCode="_-&quot;$&quot;* #,##0_-;\-&quot;$&quot;* #,##0_-;_-&quot;$&quot;* &quot;-&quot;??_-;_-@_-"/>
    </dxf>
    <dxf>
      <numFmt numFmtId="165" formatCode="_-&quot;$&quot;* #,##0_-;\-&quot;$&quot;* #,##0_-;_-&quot;$&quot;* &quot;-&quot;??_-;_-@_-"/>
    </dxf>
    <dxf>
      <fill>
        <patternFill patternType="solid">
          <fgColor indexed="64"/>
          <bgColor theme="4"/>
        </patternFill>
      </fill>
    </dxf>
    <dxf>
      <border outline="0">
        <bottom style="thin">
          <color theme="7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7" tint="-0.499984740745262"/>
          <bgColor theme="7" tint="-0.499984740745262"/>
        </patternFill>
      </fill>
      <alignment horizontal="center" vertical="bottom" textRotation="0" wrapText="1" indent="0" justifyLastLine="0" shrinkToFit="0" readingOrder="0"/>
    </dxf>
    <dxf>
      <numFmt numFmtId="164" formatCode="&quot;$&quot;#,##0"/>
    </dxf>
    <dxf>
      <numFmt numFmtId="164" formatCode="&quot;$&quot;#,##0"/>
    </dxf>
    <dxf>
      <font>
        <color theme="0"/>
      </font>
    </dxf>
    <dxf>
      <font>
        <b/>
      </font>
      <numFmt numFmtId="164" formatCode="&quot;$&quot;#,##0"/>
      <alignment horizontal="general" vertical="bottom" textRotation="0" wrapText="0" indent="0" justifyLastLine="0" shrinkToFit="0" readingOrder="0"/>
    </dxf>
    <dxf>
      <fill>
        <patternFill patternType="solid">
          <bgColor theme="4"/>
        </patternFill>
      </fill>
    </dxf>
    <dxf>
      <fill>
        <patternFill patternType="solid">
          <bgColor theme="4"/>
        </patternFill>
      </fill>
    </dxf>
    <dxf>
      <font>
        <b/>
        <color theme="0"/>
      </font>
      <fill>
        <patternFill patternType="solid">
          <fgColor theme="7" tint="-0.499984740745262"/>
          <bgColor theme="7" tint="-0.499984740745262"/>
        </patternFill>
      </fill>
      <alignment horizontal="center" wrapText="1"/>
    </dxf>
    <dxf>
      <font>
        <color theme="0"/>
      </font>
    </dxf>
    <dxf>
      <font>
        <b/>
      </font>
      <numFmt numFmtId="164" formatCode="&quot;$&quot;#,##0"/>
      <alignment horizontal="general" vertical="bottom" textRotation="0" wrapText="0" indent="0" justifyLastLine="0" shrinkToFit="0" readingOrder="0"/>
    </dxf>
    <dxf>
      <font>
        <b/>
      </font>
      <numFmt numFmtId="164" formatCode="&quot;$&quot;#,##0"/>
      <alignment horizontal="general" vertical="bottom" textRotation="0" wrapText="0" indent="0" justifyLastLine="0" shrinkToFit="0" readingOrder="0"/>
    </dxf>
    <dxf>
      <font>
        <color theme="0"/>
      </font>
    </dxf>
    <dxf>
      <fill>
        <patternFill patternType="solid">
          <bgColor theme="4"/>
        </patternFill>
      </fill>
    </dxf>
    <dxf>
      <fill>
        <patternFill patternType="solid">
          <bgColor theme="4"/>
        </patternFill>
      </fill>
    </dxf>
    <dxf>
      <font>
        <b/>
        <color theme="0"/>
      </font>
      <fill>
        <patternFill patternType="solid">
          <fgColor theme="7" tint="-0.499984740745262"/>
          <bgColor theme="7" tint="-0.499984740745262"/>
        </patternFill>
      </fill>
      <alignment horizontal="center" wrapText="1"/>
    </dxf>
    <dxf>
      <font>
        <b/>
        <color theme="0"/>
      </font>
      <fill>
        <patternFill patternType="solid">
          <fgColor theme="7" tint="-0.499984740745262"/>
          <bgColor theme="7" tint="-0.499984740745262"/>
        </patternFill>
      </fill>
      <alignment horizontal="center" wrapText="1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calcChain" Target="calcChain.xml"/><Relationship Id="rId5" Type="http://schemas.openxmlformats.org/officeDocument/2006/relationships/pivotCacheDefinition" Target="pivotCache/pivotCacheDefinition1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nuel R Avila" refreshedDate="45480.459144097222" createdVersion="8" refreshedVersion="8" minRefreshableVersion="3" recordCount="1" xr:uid="{FFBA0F31-C7FA-4CE2-BE97-5179470F764B}">
  <cacheSource type="worksheet">
    <worksheetSource name="Accounts"/>
  </cacheSource>
  <cacheFields count="9">
    <cacheField name="Institution Name" numFmtId="0">
      <sharedItems containsNonDate="0" containsString="0" containsBlank="1" count="1">
        <m/>
      </sharedItems>
    </cacheField>
    <cacheField name="Credential ID" numFmtId="0">
      <sharedItems containsNonDate="0" containsString="0" containsBlank="1"/>
    </cacheField>
    <cacheField name="Next Cursor" numFmtId="0">
      <sharedItems containsNonDate="0" containsString="0" containsBlank="1"/>
    </cacheField>
    <cacheField name="Balance" numFmtId="0">
      <sharedItems containsNonDate="0" containsString="0" containsBlank="1"/>
    </cacheField>
    <cacheField name="Mask" numFmtId="0">
      <sharedItems containsNonDate="0" containsString="0" containsBlank="1"/>
    </cacheField>
    <cacheField name="Name" numFmtId="0">
      <sharedItems containsNonDate="0" containsString="0" containsBlank="1" count="1">
        <m/>
      </sharedItems>
    </cacheField>
    <cacheField name="Plaid Account ID" numFmtId="0">
      <sharedItems containsNonDate="0" containsString="0" containsBlank="1"/>
    </cacheField>
    <cacheField name="Subtype" numFmtId="0">
      <sharedItems containsNonDate="0" containsString="0" containsBlank="1"/>
    </cacheField>
    <cacheField name="Type" numFmtId="0">
      <sharedItems containsNonDate="0" containsString="0" containsBlank="1" count="1"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nuel R Avila" refreshedDate="45529.762758333331" createdVersion="8" refreshedVersion="8" minRefreshableVersion="3" recordCount="1" xr:uid="{4569BB4E-C062-4D37-8096-385C80C8726A}">
  <cacheSource type="worksheet">
    <worksheetSource name="Transactions"/>
  </cacheSource>
  <cacheFields count="21">
    <cacheField name="Account ID" numFmtId="0">
      <sharedItems containsNonDate="0" containsString="0" containsBlank="1"/>
    </cacheField>
    <cacheField name="Action" numFmtId="0">
      <sharedItems containsNonDate="0" containsString="0" containsBlank="1"/>
    </cacheField>
    <cacheField name="Amount" numFmtId="0">
      <sharedItems containsNonDate="0" containsString="0" containsBlank="1"/>
    </cacheField>
    <cacheField name="Categories" numFmtId="0">
      <sharedItems containsNonDate="0" containsString="0" containsBlank="1"/>
    </cacheField>
    <cacheField name="Datetime" numFmtId="14">
      <sharedItems containsNonDate="0" containsString="0" containsBlank="1"/>
    </cacheField>
    <cacheField name="ISO Currency Code" numFmtId="0">
      <sharedItems containsNonDate="0" containsString="0" containsBlank="1"/>
    </cacheField>
    <cacheField name="Merchant Name" numFmtId="0">
      <sharedItems containsNonDate="0" containsString="0" containsBlank="1"/>
    </cacheField>
    <cacheField name="Name" numFmtId="0">
      <sharedItems containsNonDate="0" containsBlank="1" count="20">
        <m/>
        <s v="TEMU.COM +18884958368, BC" u="1"/>
        <s v="e-Transfer - Autodeposit ANA MARIA AVILA AMAYA d0c98c4f285a4ea575289f47cf87f8b3" u="1"/>
        <s v="Loan interest" u="1"/>
        <s v="e-Transfer - Autodeposit ANA MARIA AVILA AMAYA 771d2f620e2c488447f5df4f668b9f92" u="1"/>
        <s v="Minecraft CA 6.99 USD @ 1.413400000000" u="1"/>
        <s v="LEGENDS MUSIC LLC Toronto ON" u="1"/>
        <s v="PAY 00001641069 219 GardaWorld Security Corp." u="1"/>
        <s v="VALUE VILLAGE # 2047 TORONTO, ON" u="1"/>
        <s v="NIYA LASER SPA 8774174551, ON" u="1"/>
        <s v="UBER CANADA/UBERTRIP TORONTO, ON" u="1"/>
        <s v="OPENAI *CHATGPT SUBSCR HTTPSOPENAI.C, CA 22.60 USD @ 1.429646" u="1"/>
        <s v="e-Transfer sent Paula Amariles 4VWMN7" u="1"/>
        <s v="EXPEDIA 72891108061870 EXPEDIA.CA ON" u="1"/>
        <s v="EUROSTAR INTERNATIONAL Paris FRA 26.00 EUR @ 1.561100000000" u="1"/>
        <s v="EXPEDIA 72891480622027 EXPEDIA.CA ON" u="1"/>
        <s v="Trainline +443332022222GBR" u="1"/>
        <s v="RYANAIR0000000000KW8SQW0 DUBLIN" u="1"/>
        <s v="Sncb - Nmbs Eu Bruxelles BEL 172.80 EUR @ 1.560900000000" u="1"/>
        <s v="ATM WITHDRAWAL INTERAC/TNS SCD 1127" u="1"/>
      </sharedItems>
    </cacheField>
    <cacheField name="Payment Channel" numFmtId="0">
      <sharedItems containsNonDate="0" containsString="0" containsBlank="1"/>
    </cacheField>
    <cacheField name="Pending" numFmtId="0">
      <sharedItems containsNonDate="0" containsString="0" containsBlank="1"/>
    </cacheField>
    <cacheField name="Transaction ID" numFmtId="0">
      <sharedItems containsNonDate="0" containsString="0" containsBlank="1"/>
    </cacheField>
    <cacheField name="Account Name" numFmtId="0">
      <sharedItems containsNonDate="0" containsString="0" containsBlank="1"/>
    </cacheField>
    <cacheField name="Bank" numFmtId="0">
      <sharedItems containsNonDate="0" containsString="0" containsBlank="1"/>
    </cacheField>
    <cacheField name="Operation" numFmtId="0">
      <sharedItems containsNonDate="0" containsString="0" containsBlank="1"/>
    </cacheField>
    <cacheField name="Custom Category" numFmtId="0">
      <sharedItems containsNonDate="0" containsBlank="1" count="15">
        <m/>
        <s v="Transfer, Credit" u="1"/>
        <s v="Service, Financial, Loans and Mortgages" u="1"/>
        <s v="Shops, Digital Purchase" u="1"/>
        <s v="Shops, Dance and Music" u="1"/>
        <s v="Transfer, Payroll" u="1"/>
        <s v="Shops, Vintage and Thrift" u="1"/>
        <s v="Service, Personal Care" u="1"/>
        <s v="Travel, Taxi" u="1"/>
        <s v="Food and Drink, Restaurants" u="1"/>
        <s v="Transfer, Debit" u="1"/>
        <s v="Service, Travel Agents and Tour Operators" u="1"/>
        <s v="Travel, Rail" u="1"/>
        <s v="Travel, Airlines and Aviation Services" u="1"/>
        <s v="Transfer, Withdrawal, ATM" u="1"/>
      </sharedItems>
    </cacheField>
    <cacheField name="Month" numFmtId="14">
      <sharedItems containsNonDate="0" containsString="0" containsBlank="1"/>
    </cacheField>
    <cacheField name="Recent" numFmtId="14">
      <sharedItems containsNonDate="0" containsString="0" containsBlank="1"/>
    </cacheField>
    <cacheField name="6M AVG" numFmtId="0">
      <sharedItems containsNonDate="0" containsString="0" containsBlank="1"/>
    </cacheField>
    <cacheField name="Month's Total" numFmtId="165">
      <sharedItems containsNonDate="0" containsString="0" containsBlank="1"/>
    </cacheField>
    <cacheField name="Budget" numFmtId="0">
      <sharedItems containsNonDate="0" containsString="0" containsBlank="1"/>
    </cacheField>
    <cacheField name="Sel Month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m/>
    <m/>
    <x v="0"/>
    <m/>
    <m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m/>
    <m/>
    <m/>
    <m/>
    <m/>
    <m/>
    <m/>
    <x v="0"/>
    <m/>
    <m/>
    <m/>
    <m/>
    <m/>
    <m/>
    <x v="0"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12E1D07-BEDC-4577-B86C-C6A483432D66}" name="Spending" cacheId="8" applyNumberFormats="0" applyBorderFormats="0" applyFontFormats="0" applyPatternFormats="0" applyAlignmentFormats="0" applyWidthHeightFormats="1" dataCaption="Values" grandTotalCaption="Total" updatedVersion="8" minRefreshableVersion="3" useAutoFormatting="1" itemPrintTitles="1" createdVersion="8" indent="0" outline="1" outlineData="1" multipleFieldFilters="0" rowHeaderCaption="Category ">
  <location ref="D2:G5" firstHeaderRow="0" firstDataRow="1" firstDataCol="1"/>
  <pivotFields count="21">
    <pivotField showAll="0"/>
    <pivotField showAll="0"/>
    <pivotField dataField="1" showAll="0"/>
    <pivotField showAll="0"/>
    <pivotField showAll="0"/>
    <pivotField showAll="0"/>
    <pivotField showAll="0"/>
    <pivotField axis="axisRow" showAll="0">
      <items count="21">
        <item x="0"/>
        <item m="1" x="1"/>
        <item m="1" x="2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t="default"/>
      </items>
    </pivotField>
    <pivotField showAll="0"/>
    <pivotField showAll="0"/>
    <pivotField showAll="0"/>
    <pivotField showAll="0"/>
    <pivotField showAll="0"/>
    <pivotField showAll="0"/>
    <pivotField axis="axisRow" showAll="0">
      <items count="16">
        <item x="0"/>
        <item m="1" x="1"/>
        <item m="1" x="2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t="default"/>
      </items>
    </pivotField>
    <pivotField showAll="0"/>
    <pivotField showAll="0"/>
    <pivotField dataField="1" showAll="0"/>
    <pivotField showAll="0"/>
    <pivotField dataField="1" showAll="0"/>
    <pivotField showAll="0"/>
  </pivotFields>
  <rowFields count="2">
    <field x="14"/>
    <field x="7"/>
  </rowFields>
  <rowItems count="3">
    <i>
      <x/>
    </i>
    <i r="1"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Month Total" fld="2" baseField="0" baseItem="0"/>
    <dataField name="6M Average" fld="17" subtotal="max" baseField="14" baseItem="0" numFmtId="164"/>
    <dataField name="Budget " fld="19" subtotal="max" baseField="14" baseItem="0" numFmtId="164"/>
  </dataFields>
  <formats count="7">
    <format dxfId="23">
      <pivotArea field="14" type="button" dataOnly="0" labelOnly="1" outline="0" axis="axisRow" fieldPosition="0"/>
    </format>
    <format dxfId="22">
      <pivotArea grandRow="1" outline="0" collapsedLevelsAreSubtotals="1" fieldPosition="0"/>
    </format>
    <format dxfId="21">
      <pivotArea dataOnly="0" labelOnly="1" grandRow="1" outline="0" fieldPosition="0"/>
    </format>
    <format dxfId="20">
      <pivotArea dataOnly="0" labelOnly="1" grandRow="1" outline="0" fieldPosition="0"/>
    </format>
    <format dxfId="19">
      <pivotArea dataOnly="0" grandRow="1" fieldPosition="0"/>
    </format>
    <format dxfId="18">
      <pivotArea outline="0" fieldPosition="0">
        <references count="1">
          <reference field="4294967294" count="1">
            <x v="1"/>
          </reference>
        </references>
      </pivotArea>
    </format>
    <format dxfId="17">
      <pivotArea outline="0" fieldPosition="0">
        <references count="1">
          <reference field="4294967294" count="1">
            <x v="2"/>
          </reference>
        </references>
      </pivotArea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AF3CA8-94B3-428E-80E6-86CF140773B8}" name="Balances" cacheId="7" applyNumberFormats="0" applyBorderFormats="0" applyFontFormats="0" applyPatternFormats="0" applyAlignmentFormats="0" applyWidthHeightFormats="1" dataCaption="Values" grandTotalCaption="Total" updatedVersion="8" minRefreshableVersion="3" useAutoFormatting="1" itemPrintTitles="1" createdVersion="8" indent="0" outline="1" outlineData="1" multipleFieldFilters="0" rowHeaderCaption="Institution">
  <location ref="A2:B6" firstHeaderRow="1" firstDataRow="1" firstDataCol="1"/>
  <pivotFields count="9">
    <pivotField axis="axisRow" showAll="0">
      <items count="2">
        <item x="0"/>
        <item t="default"/>
      </items>
    </pivotField>
    <pivotField showAll="0"/>
    <pivotField showAll="0"/>
    <pivotField dataField="1" showAll="0"/>
    <pivotField showAll="0"/>
    <pivotField axis="axisRow" showAll="0">
      <items count="2">
        <item x="0"/>
        <item t="default"/>
      </items>
    </pivotField>
    <pivotField showAll="0"/>
    <pivotField showAll="0"/>
    <pivotField axis="axisRow" showAll="0">
      <items count="2">
        <item x="0"/>
        <item t="default"/>
      </items>
    </pivotField>
  </pivotFields>
  <rowFields count="3">
    <field x="8"/>
    <field x="0"/>
    <field x="5"/>
  </rowFields>
  <rowItems count="4">
    <i>
      <x/>
    </i>
    <i r="1">
      <x/>
    </i>
    <i r="2">
      <x/>
    </i>
    <i t="grand">
      <x/>
    </i>
  </rowItems>
  <colItems count="1">
    <i/>
  </colItems>
  <dataFields count="1">
    <dataField name="Balance " fld="3" baseField="0" baseItem="0" numFmtId="168"/>
  </dataFields>
  <formats count="8">
    <format dxfId="31">
      <pivotArea field="8" type="button" dataOnly="0" labelOnly="1" outline="0" axis="axisRow" fieldPosition="0"/>
    </format>
    <format dxfId="30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9">
      <pivotArea grandRow="1" outline="0" collapsedLevelsAreSubtotals="1" fieldPosition="0"/>
    </format>
    <format dxfId="28">
      <pivotArea dataOnly="0" labelOnly="1" grandRow="1" outline="0" fieldPosition="0"/>
    </format>
    <format dxfId="27">
      <pivotArea dataOnly="0" labelOnly="1" grandRow="1" outline="0" fieldPosition="0"/>
    </format>
    <format dxfId="26">
      <pivotArea grandRow="1" outline="0" collapsedLevelsAreSubtotals="1" fieldPosition="0"/>
    </format>
    <format dxfId="25">
      <pivotArea dataOnly="0" labelOnly="1" grandRow="1" outline="0" fieldPosition="0"/>
    </format>
    <format dxfId="24">
      <pivotArea dataOnly="0" labelOnly="1" grandRow="1" outline="0" fieldPosition="0"/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AA342AE-9F64-43E9-9C24-D278F10FA61B}" name="Custom_Cat" displayName="Custom_Cat" ref="P2:R3" insertRow="1" totalsRowShown="0" headerRowDxfId="16" headerRowBorderDxfId="15">
  <autoFilter ref="P2:R3" xr:uid="{3AA342AE-9F64-43E9-9C24-D278F10FA61B}"/>
  <tableColumns count="3">
    <tableColumn id="2" xr3:uid="{1DE10980-B7CE-4858-9F8C-668E469FEF7B}" name="Name"/>
    <tableColumn id="5" xr3:uid="{87AE3E96-121A-4029-9F8F-CAA20184F5F6}" name="Amount"/>
    <tableColumn id="6" xr3:uid="{D16A0D9C-D130-444A-A9FB-9227E20F4C4E}" name="Custom Category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7B6DAEB-14C8-4F77-BCBD-9F35CCD9BA6B}" name="Budgets" displayName="Budgets" ref="K2:N3" insertRow="1" totalsRowShown="0" headerRowDxfId="14">
  <autoFilter ref="K2:N3" xr:uid="{97B6DAEB-14C8-4F77-BCBD-9F35CCD9BA6B}"/>
  <tableColumns count="4">
    <tableColumn id="2" xr3:uid="{3EC0B0AB-A09B-4166-B91A-F77A3697F501}" name="Custom Category"/>
    <tableColumn id="5" xr3:uid="{29B6E52D-18A5-4228-9BE9-F028F8440B9A}" name="Frequency"/>
    <tableColumn id="1" xr3:uid="{5C3B8725-4D93-4109-A2E9-FADB1B0D406A}" name="Amount" dataDxfId="13" dataCellStyle="Currency"/>
    <tableColumn id="3" xr3:uid="{FF2DA77A-5C08-472C-A461-1685E195818E}" name="Monthly" dataDxfId="12">
      <calculatedColumnFormula>Budgets[[#This Row],[Amount]]*_xlfn.XLOOKUP(Budgets[[#This Row],[Frequency]],Frequency[Frequency],Frequency[Factor],1,0)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0CC42E-E872-4757-9A7B-95D0F2C6FCA1}" name="Accounts" displayName="Accounts" ref="A1:I2" insertRow="1" totalsRowShown="0">
  <autoFilter ref="A1:I2" xr:uid="{D30CC42E-E872-4757-9A7B-95D0F2C6FCA1}"/>
  <tableColumns count="9">
    <tableColumn id="1" xr3:uid="{1C1F973D-7421-4E9E-A33C-5EC6AF57D061}" name="Institution Name"/>
    <tableColumn id="2" xr3:uid="{88739272-A437-45B3-AB08-442D6CE6422B}" name="Credential ID"/>
    <tableColumn id="3" xr3:uid="{DA4E3341-0413-4F1B-8A87-24EEF0A2789A}" name="Next Cursor"/>
    <tableColumn id="4" xr3:uid="{ECB3AE42-9C04-4AD7-8114-D0CE777DB9B9}" name="Balance"/>
    <tableColumn id="5" xr3:uid="{5ECD8CD2-CE7E-488B-AD87-C9937FFEE2E0}" name="Mask"/>
    <tableColumn id="6" xr3:uid="{AF743B31-A08D-40F9-89EC-3D5255949E9A}" name="Name"/>
    <tableColumn id="7" xr3:uid="{1C59C5AC-7623-40CD-95A7-98B4BF158C01}" name="Plaid Account ID"/>
    <tableColumn id="8" xr3:uid="{2A4A4452-2CAA-435C-8FCE-D44344540866}" name="Subtype"/>
    <tableColumn id="9" xr3:uid="{874F2CFA-78B9-45D3-9C90-FC93D3E12F49}" name="Typ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1D1956-10E9-47C2-94E2-17878B56C857}" name="Transactions" displayName="Transactions" ref="A1:U2" insertRow="1" totalsRowShown="0">
  <autoFilter ref="A1:U2" xr:uid="{9C1D1956-10E9-47C2-94E2-17878B56C857}"/>
  <tableColumns count="21">
    <tableColumn id="1" xr3:uid="{51422D36-8608-402D-9556-E21ADF235E19}" name="Account ID"/>
    <tableColumn id="2" xr3:uid="{70D00C6D-82FC-44EA-A188-8DD337183763}" name="Action"/>
    <tableColumn id="3" xr3:uid="{8A8261D0-0207-43EC-8022-AB0EEF2AD790}" name="Amount"/>
    <tableColumn id="4" xr3:uid="{4CA7917F-D21A-40C7-8E8E-D46E718BFB4A}" name="Categories"/>
    <tableColumn id="16" xr3:uid="{27066D41-1BF1-4973-BB0A-2BAA6E9C038E}" name="Datetime"/>
    <tableColumn id="6" xr3:uid="{E52EABFC-6041-4F1E-9E9E-16E710A8C058}" name="ISO Currency Code"/>
    <tableColumn id="7" xr3:uid="{BD48680A-5F96-4A54-B799-B9D32BA9DFA8}" name="Merchant Name"/>
    <tableColumn id="8" xr3:uid="{9863C03B-47E9-4B7F-AD43-12D173B61697}" name="Name"/>
    <tableColumn id="9" xr3:uid="{8809F606-8D59-48E1-9DA3-8D175347E23A}" name="Payment Channel"/>
    <tableColumn id="10" xr3:uid="{E12A8AEC-3150-482F-A321-E8C64CE312E2}" name="Pending"/>
    <tableColumn id="11" xr3:uid="{E99C4E9D-5566-4001-812B-BA0744191FBD}" name="Transaction ID"/>
    <tableColumn id="12" xr3:uid="{F15D2B2F-3ECF-4B44-B153-7021FFA8E60C}" name="Account Name" dataDxfId="11">
      <calculatedColumnFormula>IFERROR(_xlfn.XLOOKUP(Transactions[[#This Row],[Account ID]], Accounts[Plaid Account ID], Accounts[Name]),"Account Not Found")</calculatedColumnFormula>
    </tableColumn>
    <tableColumn id="13" xr3:uid="{8E174EF5-A9D6-42F7-AB5D-D912A144E77B}" name="Bank" dataDxfId="10">
      <calculatedColumnFormula>_xlfn.XLOOKUP(Transactions[[#This Row],[Account ID]],Accounts[Plaid Account ID],Accounts[Institution Name],"Not Found",0)</calculatedColumnFormula>
    </tableColumn>
    <tableColumn id="15" xr3:uid="{7184C2C1-CC86-4ADF-B1EA-DAA18A3DBCFD}" name="Operation" dataDxfId="9">
      <calculatedColumnFormula>IF(Transactions[[#This Row],[Amount]]&lt;0,"credit","debit")</calculatedColumnFormula>
    </tableColumn>
    <tableColumn id="14" xr3:uid="{63F95195-6109-4F2E-B0D6-A0CB6C7B9505}" name="Custom Category" dataDxfId="8">
      <calculatedColumnFormula array="1">_xlfn.LET(
    _xlpm.name_match, ISNUMBER(SEARCH(LOWER(Custom_Cat[Name]), LOWER(Transactions[[#This Row],[Name]]))),
    _xlpm.name_length, LEN(Custom_Cat[Name]) &gt;= 3,
    _xlpm.amount_check,
        IF(Custom_Cat[Amount] = "0|",
            Transactions[[#This Row],[Amount]] &gt;= 0,
            IF(ISNUMBER(VALUE(Custom_Cat[Amount])),
                Transactions[[#This Row],[Amount]] = VALUE(Custom_Cat[Amount]),
                _xlfn.LET(
                    _xlpm.split, FIND("|", Custom_Cat[Amount]&amp;"|"),
                    _xlpm.left_val, IF(_xlpm.split&gt;1, VALUE(LEFT(Custom_Cat[Amount], _xlpm.split-1)), -1E+300),
                    _xlpm.right_val, IF(LEN(Custom_Cat[Amount])&gt;_xlpm.split, VALUE(MID(Custom_Cat[Amount], _xlpm.split+1, 999)), 1E+300),
                    AND(Transactions[[#This Row],[Amount]] &gt;= _xlpm.left_val, Transactions[[#This Row],[Amount]] &lt;= _xlpm.right_val)
                )
            )
        ),
    _xlpm.match_all, _xlpm.name_match * _xlpm.name_length * _xlpm.amount_check,
    _xlpm.category_match, ISNUMBER(MATCH(Transactions[[#This Row],[Categories]], _xlfn._xlws.FILTER(Custom_Cat[Name], LEN(Custom_Cat[Name]) &gt;= 3), 0)),
    IF(COUNTA(Custom_Cat[Name]) = 1,
        IF(_xlpm.match_all, Custom_Cat[Custom Category], Transactions[[#This Row],[Categories]]),
        IF(_xlpm.category_match,
            INDEX(Custom_Cat[Custom Category], MATCH(Transactions[[#This Row],[Categories]], _xlfn._xlws.FILTER(Custom_Cat[Name], LEN(Custom_Cat[Name]) &gt;= 3), 0)),
            IFERROR(
                INDEX(Custom_Cat[Custom Category], MATCH(1, _xlpm.match_all, 0)),
                Transactions[[#This Row],[Categories]]
            )
        )
    )
)</calculatedColumnFormula>
    </tableColumn>
    <tableColumn id="19" xr3:uid="{B93D5812-027F-4158-855E-DF1B2AC36DA5}" name="Month" dataDxfId="7">
      <calculatedColumnFormula>DATE(YEAR(Transactions[[#This Row],[Datetime]]),MONTH(Transactions[[#This Row],[Datetime]]),1)</calculatedColumnFormula>
    </tableColumn>
    <tableColumn id="17" xr3:uid="{6992B076-C5E4-4386-B486-B5CCF9425AA7}" name="Recent" dataDxfId="6">
      <calculatedColumnFormula>AND(Transactions[[#This Row],[Datetime]]&gt;=EDATE(MAX(Transactions[Datetime]),-6),Transactions[[#This Row],[Datetime]]&lt;=TODAY())</calculatedColumnFormula>
    </tableColumn>
    <tableColumn id="21" xr3:uid="{FD248E00-CFDF-4194-8637-1627E9D25D38}" name="6M AVG" dataDxfId="5" dataCellStyle="Currency">
      <calculatedColumnFormula>IFERROR(AVERAGEIFS(Transactions[Month''s Total],Transactions[Recent],TRUE,Transactions[Custom Category],Transactions[[#This Row],[Custom Category]]),0)</calculatedColumnFormula>
    </tableColumn>
    <tableColumn id="18" xr3:uid="{FB0F68A0-09BE-4DFC-9D8C-F2F45CE00EC7}" name="Month's Total" dataDxfId="4" dataCellStyle="Currency">
      <calculatedColumnFormula>SUMIFS(Transactions[Amount],Transactions[Month],Transactions[[#This Row],[Month]],Transactions[Custom Category],Transactions[[#This Row],[Custom Category]])</calculatedColumnFormula>
    </tableColumn>
    <tableColumn id="20" xr3:uid="{6DF09082-20C1-468F-A4B4-4F5E30F307D9}" name="Budget" dataDxfId="3">
      <calculatedColumnFormula>IF(COUNTIF(Budgets[Custom Category],Transactions[[#This Row],[Custom Category]])=0,Transactions[[#This Row],[6M AVG]],_xlfn.XLOOKUP(Transactions[[#This Row],[Custom Category]],Budgets[Custom Category],Budgets[Monthly],0,0))</calculatedColumnFormula>
    </tableColumn>
    <tableColumn id="23" xr3:uid="{AC57BF83-C480-477C-B5D0-FF43C0E76C8F}" name="Sel Month" dataDxfId="2">
      <calculatedColumnFormula>IF(Transactions[[#This Row],[Month]]=Sel_Month,Transactions[[#This Row],[Amount]],0)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AE87A8B-9592-49B6-B54F-1919543F54A3}" name="Frequency" displayName="Frequency" ref="A1:B8" totalsRowShown="0">
  <autoFilter ref="A1:B8" xr:uid="{5AE87A8B-9592-49B6-B54F-1919543F54A3}"/>
  <tableColumns count="2">
    <tableColumn id="1" xr3:uid="{D7BA4E04-1AE1-43A9-A966-18DB2247326A}" name="Frequency"/>
    <tableColumn id="2" xr3:uid="{125A5E8B-A376-4599-BB58-76287B58F06B}" name="Factor"/>
  </tableColumns>
  <tableStyleInfo name="TableStyleMedium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" visibility="0" width="438" row="7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2890b82-86e7-4f79-9a57-bf6c14c7714d}">
  <we:reference id="12890b82-86e7-4f79-9a57-bf6c14c7714d" version="1.0.0.0" store="developer" storeType="Registry"/>
  <we:alternateReferences/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1000"/>
  <sheetViews>
    <sheetView tabSelected="1" zoomScaleNormal="100" workbookViewId="0">
      <selection activeCell="G2" sqref="G2"/>
    </sheetView>
  </sheetViews>
  <sheetFormatPr defaultRowHeight="14.4" x14ac:dyDescent="0.3"/>
  <cols>
    <col min="1" max="1" width="42.44140625" customWidth="1"/>
    <col min="2" max="2" width="16" customWidth="1"/>
    <col min="3" max="3" width="7.109375" customWidth="1"/>
    <col min="4" max="4" width="13.6640625" bestFit="1" customWidth="1"/>
    <col min="5" max="5" width="11.5546875" bestFit="1" customWidth="1"/>
    <col min="6" max="6" width="11.109375" bestFit="1" customWidth="1"/>
    <col min="7" max="7" width="7.6640625" customWidth="1"/>
    <col min="8" max="9" width="13.44140625" customWidth="1"/>
    <col min="10" max="10" width="7.88671875" customWidth="1"/>
    <col min="11" max="11" width="26.33203125" customWidth="1"/>
    <col min="12" max="12" width="17.44140625" customWidth="1"/>
    <col min="13" max="13" width="11.5546875" customWidth="1"/>
    <col min="14" max="14" width="10.6640625" bestFit="1" customWidth="1"/>
    <col min="15" max="15" width="7.33203125" customWidth="1"/>
    <col min="16" max="16" width="21.6640625" customWidth="1"/>
    <col min="17" max="17" width="11.109375" bestFit="1" customWidth="1"/>
    <col min="18" max="18" width="26.5546875" bestFit="1" customWidth="1"/>
    <col min="19" max="19" width="14.5546875" bestFit="1" customWidth="1"/>
    <col min="20" max="20" width="16.6640625" bestFit="1" customWidth="1"/>
    <col min="21" max="21" width="15.6640625" bestFit="1" customWidth="1"/>
    <col min="22" max="22" width="24.5546875" bestFit="1" customWidth="1"/>
    <col min="23" max="23" width="26.44140625" bestFit="1" customWidth="1"/>
    <col min="24" max="24" width="29" bestFit="1" customWidth="1"/>
    <col min="25" max="25" width="35.5546875" bestFit="1" customWidth="1"/>
    <col min="26" max="26" width="11.33203125" bestFit="1" customWidth="1"/>
  </cols>
  <sheetData>
    <row r="1" spans="1:18" ht="21" x14ac:dyDescent="0.4">
      <c r="A1" s="2" t="s">
        <v>42</v>
      </c>
      <c r="D1" s="2" t="s">
        <v>28</v>
      </c>
      <c r="H1" s="5" t="s">
        <v>25</v>
      </c>
      <c r="I1" s="6"/>
      <c r="K1" s="2" t="s">
        <v>29</v>
      </c>
      <c r="P1" s="2" t="s">
        <v>23</v>
      </c>
    </row>
    <row r="2" spans="1:18" ht="28.8" x14ac:dyDescent="0.3">
      <c r="A2" s="18" t="s">
        <v>44</v>
      </c>
      <c r="B2" t="s">
        <v>45</v>
      </c>
      <c r="D2" s="18" t="s">
        <v>49</v>
      </c>
      <c r="E2" t="s">
        <v>51</v>
      </c>
      <c r="F2" t="s">
        <v>46</v>
      </c>
      <c r="G2" t="s">
        <v>47</v>
      </c>
      <c r="H2" s="5" t="s">
        <v>50</v>
      </c>
      <c r="I2" s="5" t="s">
        <v>41</v>
      </c>
      <c r="K2" s="5" t="s">
        <v>20</v>
      </c>
      <c r="L2" s="5" t="s">
        <v>30</v>
      </c>
      <c r="M2" s="5" t="s">
        <v>11</v>
      </c>
      <c r="N2" s="16" t="s">
        <v>34</v>
      </c>
      <c r="P2" s="5" t="s">
        <v>5</v>
      </c>
      <c r="Q2" s="5" t="s">
        <v>11</v>
      </c>
      <c r="R2" s="5" t="s">
        <v>20</v>
      </c>
    </row>
    <row r="3" spans="1:18" x14ac:dyDescent="0.3">
      <c r="A3" s="10" t="s">
        <v>43</v>
      </c>
      <c r="B3" s="11"/>
      <c r="D3" s="10" t="s">
        <v>43</v>
      </c>
      <c r="F3" s="14"/>
      <c r="G3" s="14"/>
      <c r="H3" s="7" cm="1">
        <f t="array" ref="H3">_xlfn.IFS(D3="","",D3="Grand Total",SUM(H$2:H2),TRUE,IF(COUNTIF(Transactions[Custom Category],D3)&gt;0,SUMIFS(Transactions[Amount],Transactions[Custom Category],D3,Transactions[Month],Sel_Month),SUMIFS(Transactions[Amount],Transactions[Name],D3,Transactions[Month],Sel_Month)))</f>
        <v>0</v>
      </c>
      <c r="I3" s="8" t="str">
        <f>IF(F3="","",IF(F3=0,0,1-((F3-H3)/F3)))</f>
        <v/>
      </c>
      <c r="M3" s="3"/>
      <c r="N3" s="4"/>
    </row>
    <row r="4" spans="1:18" x14ac:dyDescent="0.3">
      <c r="A4" s="12" t="s">
        <v>43</v>
      </c>
      <c r="B4" s="11"/>
      <c r="D4" s="12" t="s">
        <v>43</v>
      </c>
      <c r="F4" s="14"/>
      <c r="G4" s="14"/>
      <c r="H4" s="7" cm="1">
        <f t="array" ref="H4">_xlfn.IFS(D4="","",D4="Grand Total",SUM(H$2:H3),TRUE,IF(COUNTIF(Transactions[Custom Category],D4)&gt;0,SUMIFS(Transactions[Amount],Transactions[Custom Category],D4,Transactions[Month],Sel_Month),SUMIFS(Transactions[Amount],Transactions[Name],D4,Transactions[Month],Sel_Month)))</f>
        <v>0</v>
      </c>
      <c r="I4" s="8" t="str">
        <f t="shared" ref="I4:I67" si="0">IF(F4="","",IF(F4=0,0,1-((F4-H4)/F4)))</f>
        <v/>
      </c>
    </row>
    <row r="5" spans="1:18" x14ac:dyDescent="0.3">
      <c r="A5" s="13" t="s">
        <v>43</v>
      </c>
      <c r="B5" s="11"/>
      <c r="D5" s="19" t="s">
        <v>48</v>
      </c>
      <c r="E5" s="24"/>
      <c r="F5" s="20"/>
      <c r="G5" s="20"/>
      <c r="H5" s="15" cm="1">
        <f t="array" ref="H5">_xlfn.IFS(D5="","",D5="Grand Total",SUM(H$2:H4),TRUE,IF(COUNTIF(Transactions[Custom Category],D5)&gt;0,SUMIFS(Transactions[Amount],Transactions[Custom Category],D5,Transactions[Month],Sel_Month),SUMIFS(Transactions[Amount],Transactions[Name],D5,Transactions[Month],Sel_Month)))</f>
        <v>0</v>
      </c>
      <c r="I5" s="8" t="str">
        <f t="shared" si="0"/>
        <v/>
      </c>
    </row>
    <row r="6" spans="1:18" x14ac:dyDescent="0.3">
      <c r="A6" s="19" t="s">
        <v>48</v>
      </c>
      <c r="B6" s="22"/>
      <c r="H6" s="7" t="str" cm="1">
        <f t="array" ref="H6">_xlfn.IFS(D6="","",D6="Grand Total",SUM(H$2:H5),TRUE,IF(COUNTIF(Transactions[Custom Category],D6)&gt;0,SUMIFS(Transactions[Amount],Transactions[Custom Category],D6,Transactions[Month],Sel_Month),SUMIFS(Transactions[Amount],Transactions[Name],D6,Transactions[Month],Sel_Month)))</f>
        <v/>
      </c>
      <c r="I6" s="8" t="str">
        <f t="shared" si="0"/>
        <v/>
      </c>
    </row>
    <row r="7" spans="1:18" x14ac:dyDescent="0.3">
      <c r="H7" s="7" t="str" cm="1">
        <f t="array" ref="H7">_xlfn.IFS(D7="","",D7="Grand Total",SUM(H$2:H6),TRUE,IF(COUNTIF(Transactions[Custom Category],D7)&gt;0,SUMIFS(Transactions[Amount],Transactions[Custom Category],D7,Transactions[Month],Sel_Month),SUMIFS(Transactions[Amount],Transactions[Name],D7,Transactions[Month],Sel_Month)))</f>
        <v/>
      </c>
      <c r="I7" s="8" t="str">
        <f t="shared" si="0"/>
        <v/>
      </c>
    </row>
    <row r="8" spans="1:18" x14ac:dyDescent="0.3">
      <c r="C8" s="7"/>
      <c r="H8" s="7" t="str" cm="1">
        <f t="array" ref="H8">_xlfn.IFS(D8="","",D8="Grand Total",SUM(H$2:H7),TRUE,IF(COUNTIF(Transactions[Custom Category],D8)&gt;0,SUMIFS(Transactions[Amount],Transactions[Custom Category],D8,Transactions[Month],Sel_Month),SUMIFS(Transactions[Amount],Transactions[Name],D8,Transactions[Month],Sel_Month)))</f>
        <v/>
      </c>
      <c r="I8" s="8" t="str">
        <f t="shared" si="0"/>
        <v/>
      </c>
    </row>
    <row r="9" spans="1:18" x14ac:dyDescent="0.3">
      <c r="C9" s="7"/>
      <c r="H9" s="7" t="str" cm="1">
        <f t="array" ref="H9">_xlfn.IFS(D9="","",D9="Grand Total",SUM(H$2:H8),TRUE,IF(COUNTIF(Transactions[Custom Category],D9)&gt;0,SUMIFS(Transactions[Amount],Transactions[Custom Category],D9,Transactions[Month],Sel_Month),SUMIFS(Transactions[Amount],Transactions[Name],D9,Transactions[Month],Sel_Month)))</f>
        <v/>
      </c>
      <c r="I9" s="8" t="str">
        <f t="shared" si="0"/>
        <v/>
      </c>
    </row>
    <row r="10" spans="1:18" x14ac:dyDescent="0.3">
      <c r="C10" s="7"/>
      <c r="H10" s="7" t="str" cm="1">
        <f t="array" ref="H10">_xlfn.IFS(D10="","",D10="Grand Total",SUM(H$2:H9),TRUE,IF(COUNTIF(Transactions[Custom Category],D10)&gt;0,SUMIFS(Transactions[Amount],Transactions[Custom Category],D10,Transactions[Month],Sel_Month),SUMIFS(Transactions[Amount],Transactions[Name],D10,Transactions[Month],Sel_Month)))</f>
        <v/>
      </c>
      <c r="I10" s="8" t="str">
        <f t="shared" si="0"/>
        <v/>
      </c>
    </row>
    <row r="11" spans="1:18" x14ac:dyDescent="0.3">
      <c r="C11" s="7"/>
      <c r="H11" s="7" t="str" cm="1">
        <f t="array" ref="H11">_xlfn.IFS(D11="","",D11="Grand Total",SUM(H$2:H10),TRUE,IF(COUNTIF(Transactions[Custom Category],D11)&gt;0,SUMIFS(Transactions[Amount],Transactions[Custom Category],D11,Transactions[Month],Sel_Month),SUMIFS(Transactions[Amount],Transactions[Name],D11,Transactions[Month],Sel_Month)))</f>
        <v/>
      </c>
      <c r="I11" s="8" t="str">
        <f t="shared" si="0"/>
        <v/>
      </c>
    </row>
    <row r="12" spans="1:18" x14ac:dyDescent="0.3">
      <c r="H12" s="7" t="str" cm="1">
        <f t="array" ref="H12">_xlfn.IFS(D12="","",D12="Grand Total",SUM(H$2:H11),TRUE,IF(COUNTIF(Transactions[Custom Category],D12)&gt;0,SUMIFS(Transactions[Amount],Transactions[Custom Category],D12,Transactions[Month],Sel_Month),SUMIFS(Transactions[Amount],Transactions[Name],D12,Transactions[Month],Sel_Month)))</f>
        <v/>
      </c>
      <c r="I12" s="8" t="str">
        <f t="shared" si="0"/>
        <v/>
      </c>
    </row>
    <row r="13" spans="1:18" x14ac:dyDescent="0.3">
      <c r="H13" s="7" t="str" cm="1">
        <f t="array" ref="H13">_xlfn.IFS(D13="","",D13="Grand Total",SUM(H$2:H12),TRUE,IF(COUNTIF(Transactions[Custom Category],D13)&gt;0,SUMIFS(Transactions[Amount],Transactions[Custom Category],D13,Transactions[Month],Sel_Month),SUMIFS(Transactions[Amount],Transactions[Name],D13,Transactions[Month],Sel_Month)))</f>
        <v/>
      </c>
      <c r="I13" s="8" t="str">
        <f t="shared" si="0"/>
        <v/>
      </c>
    </row>
    <row r="14" spans="1:18" x14ac:dyDescent="0.3">
      <c r="H14" s="7" t="str" cm="1">
        <f t="array" ref="H14">_xlfn.IFS(D14="","",D14="Grand Total",SUM(H$2:H13),TRUE,IF(COUNTIF(Transactions[Custom Category],D14)&gt;0,SUMIFS(Transactions[Amount],Transactions[Custom Category],D14,Transactions[Month],Sel_Month),SUMIFS(Transactions[Amount],Transactions[Name],D14,Transactions[Month],Sel_Month)))</f>
        <v/>
      </c>
      <c r="I14" s="8" t="str">
        <f t="shared" si="0"/>
        <v/>
      </c>
    </row>
    <row r="15" spans="1:18" x14ac:dyDescent="0.3">
      <c r="H15" s="7" t="str" cm="1">
        <f t="array" ref="H15">_xlfn.IFS(D15="","",D15="Grand Total",SUM(H$2:H14),TRUE,IF(COUNTIF(Transactions[Custom Category],D15)&gt;0,SUMIFS(Transactions[Amount],Transactions[Custom Category],D15,Transactions[Month],Sel_Month),SUMIFS(Transactions[Amount],Transactions[Name],D15,Transactions[Month],Sel_Month)))</f>
        <v/>
      </c>
      <c r="I15" s="8" t="str">
        <f t="shared" si="0"/>
        <v/>
      </c>
    </row>
    <row r="16" spans="1:18" x14ac:dyDescent="0.3">
      <c r="H16" s="7" t="str" cm="1">
        <f t="array" ref="H16">_xlfn.IFS(D16="","",D16="Grand Total",SUM(H$2:H15),TRUE,IF(COUNTIF(Transactions[Custom Category],D16)&gt;0,SUMIFS(Transactions[Amount],Transactions[Custom Category],D16,Transactions[Month],Sel_Month),SUMIFS(Transactions[Amount],Transactions[Name],D16,Transactions[Month],Sel_Month)))</f>
        <v/>
      </c>
      <c r="I16" s="8" t="str">
        <f t="shared" si="0"/>
        <v/>
      </c>
    </row>
    <row r="17" spans="3:9" x14ac:dyDescent="0.3">
      <c r="C17" s="7"/>
      <c r="H17" s="7" t="str" cm="1">
        <f t="array" ref="H17">_xlfn.IFS(D17="","",D17="Grand Total",SUM(H$2:H16),TRUE,IF(COUNTIF(Transactions[Custom Category],D17)&gt;0,SUMIFS(Transactions[Amount],Transactions[Custom Category],D17,Transactions[Month],Sel_Month),SUMIFS(Transactions[Amount],Transactions[Name],D17,Transactions[Month],Sel_Month)))</f>
        <v/>
      </c>
      <c r="I17" s="8" t="str">
        <f t="shared" si="0"/>
        <v/>
      </c>
    </row>
    <row r="18" spans="3:9" x14ac:dyDescent="0.3">
      <c r="C18" s="7"/>
      <c r="H18" s="7" t="str" cm="1">
        <f t="array" ref="H18">_xlfn.IFS(D18="","",D18="Grand Total",SUM(H$2:H17),TRUE,IF(COUNTIF(Transactions[Custom Category],D18)&gt;0,SUMIFS(Transactions[Amount],Transactions[Custom Category],D18,Transactions[Month],Sel_Month),SUMIFS(Transactions[Amount],Transactions[Name],D18,Transactions[Month],Sel_Month)))</f>
        <v/>
      </c>
      <c r="I18" s="8" t="str">
        <f t="shared" si="0"/>
        <v/>
      </c>
    </row>
    <row r="19" spans="3:9" x14ac:dyDescent="0.3">
      <c r="C19" s="7"/>
      <c r="H19" s="7" t="str" cm="1">
        <f t="array" ref="H19">_xlfn.IFS(D19="","",D19="Grand Total",SUM(H$2:H18),TRUE,IF(COUNTIF(Transactions[Custom Category],D19)&gt;0,SUMIFS(Transactions[Amount],Transactions[Custom Category],D19,Transactions[Month],Sel_Month),SUMIFS(Transactions[Amount],Transactions[Name],D19,Transactions[Month],Sel_Month)))</f>
        <v/>
      </c>
      <c r="I19" s="8" t="str">
        <f t="shared" si="0"/>
        <v/>
      </c>
    </row>
    <row r="20" spans="3:9" x14ac:dyDescent="0.3">
      <c r="C20" s="7"/>
      <c r="H20" s="7" t="str" cm="1">
        <f t="array" ref="H20">_xlfn.IFS(D20="","",D20="Grand Total",SUM(H$2:H19),TRUE,IF(COUNTIF(Transactions[Custom Category],D20)&gt;0,SUMIFS(Transactions[Amount],Transactions[Custom Category],D20,Transactions[Month],Sel_Month),SUMIFS(Transactions[Amount],Transactions[Name],D20,Transactions[Month],Sel_Month)))</f>
        <v/>
      </c>
      <c r="I20" s="8" t="str">
        <f t="shared" si="0"/>
        <v/>
      </c>
    </row>
    <row r="21" spans="3:9" x14ac:dyDescent="0.3">
      <c r="C21" s="7"/>
      <c r="H21" s="7" t="str" cm="1">
        <f t="array" ref="H21">_xlfn.IFS(D21="","",D21="Grand Total",SUM(H$2:H20),TRUE,IF(COUNTIF(Transactions[Custom Category],D21)&gt;0,SUMIFS(Transactions[Amount],Transactions[Custom Category],D21,Transactions[Month],Sel_Month),SUMIFS(Transactions[Amount],Transactions[Name],D21,Transactions[Month],Sel_Month)))</f>
        <v/>
      </c>
      <c r="I21" s="8" t="str">
        <f t="shared" si="0"/>
        <v/>
      </c>
    </row>
    <row r="22" spans="3:9" x14ac:dyDescent="0.3">
      <c r="C22" s="7"/>
      <c r="H22" s="7" t="str" cm="1">
        <f t="array" ref="H22">_xlfn.IFS(D22="","",D22="Grand Total",SUM(H$2:H21),TRUE,IF(COUNTIF(Transactions[Custom Category],D22)&gt;0,SUMIFS(Transactions[Amount],Transactions[Custom Category],D22,Transactions[Month],Sel_Month),SUMIFS(Transactions[Amount],Transactions[Name],D22,Transactions[Month],Sel_Month)))</f>
        <v/>
      </c>
      <c r="I22" s="8" t="str">
        <f t="shared" si="0"/>
        <v/>
      </c>
    </row>
    <row r="23" spans="3:9" x14ac:dyDescent="0.3">
      <c r="C23" s="7"/>
      <c r="H23" s="7" t="str" cm="1">
        <f t="array" ref="H23">_xlfn.IFS(D23="","",D23="Grand Total",SUM(H$2:H22),TRUE,IF(COUNTIF(Transactions[Custom Category],D23)&gt;0,SUMIFS(Transactions[Amount],Transactions[Custom Category],D23,Transactions[Month],Sel_Month),SUMIFS(Transactions[Amount],Transactions[Name],D23,Transactions[Month],Sel_Month)))</f>
        <v/>
      </c>
      <c r="I23" s="8" t="str">
        <f t="shared" si="0"/>
        <v/>
      </c>
    </row>
    <row r="24" spans="3:9" x14ac:dyDescent="0.3">
      <c r="C24" s="7"/>
      <c r="H24" s="7" t="str" cm="1">
        <f t="array" ref="H24">_xlfn.IFS(D24="","",D24="Grand Total",SUM(H$2:H23),TRUE,IF(COUNTIF(Transactions[Custom Category],D24)&gt;0,SUMIFS(Transactions[Amount],Transactions[Custom Category],D24,Transactions[Month],Sel_Month),SUMIFS(Transactions[Amount],Transactions[Name],D24,Transactions[Month],Sel_Month)))</f>
        <v/>
      </c>
      <c r="I24" s="8" t="str">
        <f t="shared" si="0"/>
        <v/>
      </c>
    </row>
    <row r="25" spans="3:9" x14ac:dyDescent="0.3">
      <c r="C25" s="7"/>
      <c r="H25" s="7" t="str" cm="1">
        <f t="array" ref="H25">_xlfn.IFS(D25="","",D25="Grand Total",SUM(H$2:H24),TRUE,IF(COUNTIF(Transactions[Custom Category],D25)&gt;0,SUMIFS(Transactions[Amount],Transactions[Custom Category],D25,Transactions[Month],Sel_Month),SUMIFS(Transactions[Amount],Transactions[Name],D25,Transactions[Month],Sel_Month)))</f>
        <v/>
      </c>
      <c r="I25" s="8" t="str">
        <f t="shared" si="0"/>
        <v/>
      </c>
    </row>
    <row r="26" spans="3:9" x14ac:dyDescent="0.3">
      <c r="C26" s="7"/>
      <c r="H26" s="7" t="str" cm="1">
        <f t="array" ref="H26">_xlfn.IFS(D26="","",D26="Grand Total",SUM(H$2:H25),TRUE,IF(COUNTIF(Transactions[Custom Category],D26)&gt;0,SUMIFS(Transactions[Amount],Transactions[Custom Category],D26,Transactions[Month],Sel_Month),SUMIFS(Transactions[Amount],Transactions[Name],D26,Transactions[Month],Sel_Month)))</f>
        <v/>
      </c>
      <c r="I26" s="8" t="str">
        <f t="shared" si="0"/>
        <v/>
      </c>
    </row>
    <row r="27" spans="3:9" x14ac:dyDescent="0.3">
      <c r="C27" s="7"/>
      <c r="H27" s="7" t="str" cm="1">
        <f t="array" ref="H27">_xlfn.IFS(D27="","",D27="Grand Total",SUM(H$2:H26),TRUE,IF(COUNTIF(Transactions[Custom Category],D27)&gt;0,SUMIFS(Transactions[Amount],Transactions[Custom Category],D27,Transactions[Month],Sel_Month),SUMIFS(Transactions[Amount],Transactions[Name],D27,Transactions[Month],Sel_Month)))</f>
        <v/>
      </c>
      <c r="I27" s="8" t="str">
        <f t="shared" si="0"/>
        <v/>
      </c>
    </row>
    <row r="28" spans="3:9" x14ac:dyDescent="0.3">
      <c r="C28" s="7"/>
      <c r="H28" s="7" t="str" cm="1">
        <f t="array" ref="H28">_xlfn.IFS(D28="","",D28="Grand Total",SUM(H$2:H27),TRUE,IF(COUNTIF(Transactions[Custom Category],D28)&gt;0,SUMIFS(Transactions[Amount],Transactions[Custom Category],D28,Transactions[Month],Sel_Month),SUMIFS(Transactions[Amount],Transactions[Name],D28,Transactions[Month],Sel_Month)))</f>
        <v/>
      </c>
      <c r="I28" s="8" t="str">
        <f t="shared" si="0"/>
        <v/>
      </c>
    </row>
    <row r="29" spans="3:9" x14ac:dyDescent="0.3">
      <c r="C29" s="7"/>
      <c r="H29" s="7" t="str" cm="1">
        <f t="array" ref="H29">_xlfn.IFS(D29="","",D29="Grand Total",SUM(H$2:H28),TRUE,IF(COUNTIF(Transactions[Custom Category],D29)&gt;0,SUMIFS(Transactions[Amount],Transactions[Custom Category],D29,Transactions[Month],Sel_Month),SUMIFS(Transactions[Amount],Transactions[Name],D29,Transactions[Month],Sel_Month)))</f>
        <v/>
      </c>
      <c r="I29" s="8" t="str">
        <f t="shared" si="0"/>
        <v/>
      </c>
    </row>
    <row r="30" spans="3:9" x14ac:dyDescent="0.3">
      <c r="C30" s="7"/>
      <c r="H30" s="7" t="str" cm="1">
        <f t="array" ref="H30">_xlfn.IFS(D30="","",D30="Grand Total",SUM(H$2:H29),TRUE,IF(COUNTIF(Transactions[Custom Category],D30)&gt;0,SUMIFS(Transactions[Amount],Transactions[Custom Category],D30,Transactions[Month],Sel_Month),SUMIFS(Transactions[Amount],Transactions[Name],D30,Transactions[Month],Sel_Month)))</f>
        <v/>
      </c>
      <c r="I30" s="8" t="str">
        <f t="shared" si="0"/>
        <v/>
      </c>
    </row>
    <row r="31" spans="3:9" x14ac:dyDescent="0.3">
      <c r="C31" s="7"/>
      <c r="H31" s="7" t="str" cm="1">
        <f t="array" ref="H31">_xlfn.IFS(D31="","",D31="Grand Total",SUM(H$2:H30),TRUE,IF(COUNTIF(Transactions[Custom Category],D31)&gt;0,SUMIFS(Transactions[Amount],Transactions[Custom Category],D31,Transactions[Month],Sel_Month),SUMIFS(Transactions[Amount],Transactions[Name],D31,Transactions[Month],Sel_Month)))</f>
        <v/>
      </c>
      <c r="I31" s="8" t="str">
        <f t="shared" si="0"/>
        <v/>
      </c>
    </row>
    <row r="32" spans="3:9" x14ac:dyDescent="0.3">
      <c r="C32" s="7"/>
      <c r="H32" s="7" t="str" cm="1">
        <f t="array" ref="H32">_xlfn.IFS(D32="","",D32="Grand Total",SUM(H$2:H31),TRUE,IF(COUNTIF(Transactions[Custom Category],D32)&gt;0,SUMIFS(Transactions[Amount],Transactions[Custom Category],D32,Transactions[Month],Sel_Month),SUMIFS(Transactions[Amount],Transactions[Name],D32,Transactions[Month],Sel_Month)))</f>
        <v/>
      </c>
      <c r="I32" s="8" t="str">
        <f t="shared" si="0"/>
        <v/>
      </c>
    </row>
    <row r="33" spans="3:9" x14ac:dyDescent="0.3">
      <c r="C33" s="7"/>
      <c r="H33" s="7" t="str" cm="1">
        <f t="array" ref="H33">_xlfn.IFS(D33="","",D33="Grand Total",SUM(H$2:H32),TRUE,IF(COUNTIF(Transactions[Custom Category],D33)&gt;0,SUMIFS(Transactions[Amount],Transactions[Custom Category],D33,Transactions[Month],Sel_Month),SUMIFS(Transactions[Amount],Transactions[Name],D33,Transactions[Month],Sel_Month)))</f>
        <v/>
      </c>
      <c r="I33" s="8" t="str">
        <f t="shared" si="0"/>
        <v/>
      </c>
    </row>
    <row r="34" spans="3:9" x14ac:dyDescent="0.3">
      <c r="C34" s="7"/>
      <c r="H34" s="7" t="str" cm="1">
        <f t="array" ref="H34">_xlfn.IFS(D34="","",D34="Grand Total",SUM(H$2:H33),TRUE,IF(COUNTIF(Transactions[Custom Category],D34)&gt;0,SUMIFS(Transactions[Amount],Transactions[Custom Category],D34,Transactions[Month],Sel_Month),SUMIFS(Transactions[Amount],Transactions[Name],D34,Transactions[Month],Sel_Month)))</f>
        <v/>
      </c>
      <c r="I34" s="8" t="str">
        <f t="shared" si="0"/>
        <v/>
      </c>
    </row>
    <row r="35" spans="3:9" x14ac:dyDescent="0.3">
      <c r="C35" s="7"/>
      <c r="H35" s="7" t="str" cm="1">
        <f t="array" ref="H35">_xlfn.IFS(D35="","",D35="Grand Total",SUM(H$2:H34),TRUE,IF(COUNTIF(Transactions[Custom Category],D35)&gt;0,SUMIFS(Transactions[Amount],Transactions[Custom Category],D35,Transactions[Month],Sel_Month),SUMIFS(Transactions[Amount],Transactions[Name],D35,Transactions[Month],Sel_Month)))</f>
        <v/>
      </c>
      <c r="I35" s="8" t="str">
        <f t="shared" si="0"/>
        <v/>
      </c>
    </row>
    <row r="36" spans="3:9" x14ac:dyDescent="0.3">
      <c r="C36" s="7"/>
      <c r="H36" s="7" t="str" cm="1">
        <f t="array" ref="H36">_xlfn.IFS(D36="","",D36="Grand Total",SUM(H$2:H35),TRUE,IF(COUNTIF(Transactions[Custom Category],D36)&gt;0,SUMIFS(Transactions[Amount],Transactions[Custom Category],D36,Transactions[Month],Sel_Month),SUMIFS(Transactions[Amount],Transactions[Name],D36,Transactions[Month],Sel_Month)))</f>
        <v/>
      </c>
      <c r="I36" s="8" t="str">
        <f t="shared" si="0"/>
        <v/>
      </c>
    </row>
    <row r="37" spans="3:9" x14ac:dyDescent="0.3">
      <c r="C37" s="7"/>
      <c r="H37" s="7" t="str" cm="1">
        <f t="array" ref="H37">_xlfn.IFS(D37="","",D37="Grand Total",SUM(H$2:H36),TRUE,IF(COUNTIF(Transactions[Custom Category],D37)&gt;0,SUMIFS(Transactions[Amount],Transactions[Custom Category],D37,Transactions[Month],Sel_Month),SUMIFS(Transactions[Amount],Transactions[Name],D37,Transactions[Month],Sel_Month)))</f>
        <v/>
      </c>
      <c r="I37" s="8" t="str">
        <f t="shared" si="0"/>
        <v/>
      </c>
    </row>
    <row r="38" spans="3:9" x14ac:dyDescent="0.3">
      <c r="C38" s="7"/>
      <c r="H38" s="7" t="str" cm="1">
        <f t="array" ref="H38">_xlfn.IFS(D38="","",D38="Grand Total",SUM(H$2:H37),TRUE,IF(COUNTIF(Transactions[Custom Category],D38)&gt;0,SUMIFS(Transactions[Amount],Transactions[Custom Category],D38,Transactions[Month],Sel_Month),SUMIFS(Transactions[Amount],Transactions[Name],D38,Transactions[Month],Sel_Month)))</f>
        <v/>
      </c>
      <c r="I38" s="8" t="str">
        <f t="shared" si="0"/>
        <v/>
      </c>
    </row>
    <row r="39" spans="3:9" x14ac:dyDescent="0.3">
      <c r="C39" s="7"/>
      <c r="H39" s="7" t="str" cm="1">
        <f t="array" ref="H39">_xlfn.IFS(D39="","",D39="Grand Total",SUM(H$2:H38),TRUE,IF(COUNTIF(Transactions[Custom Category],D39)&gt;0,SUMIFS(Transactions[Amount],Transactions[Custom Category],D39,Transactions[Month],Sel_Month),SUMIFS(Transactions[Amount],Transactions[Name],D39,Transactions[Month],Sel_Month)))</f>
        <v/>
      </c>
      <c r="I39" s="8" t="str">
        <f t="shared" si="0"/>
        <v/>
      </c>
    </row>
    <row r="40" spans="3:9" x14ac:dyDescent="0.3">
      <c r="C40" s="7"/>
      <c r="H40" s="7" t="str" cm="1">
        <f t="array" ref="H40">_xlfn.IFS(D40="","",D40="Grand Total",SUM(H$2:H39),TRUE,IF(COUNTIF(Transactions[Custom Category],D40)&gt;0,SUMIFS(Transactions[Amount],Transactions[Custom Category],D40,Transactions[Month],Sel_Month),SUMIFS(Transactions[Amount],Transactions[Name],D40,Transactions[Month],Sel_Month)))</f>
        <v/>
      </c>
      <c r="I40" s="8" t="str">
        <f t="shared" si="0"/>
        <v/>
      </c>
    </row>
    <row r="41" spans="3:9" x14ac:dyDescent="0.3">
      <c r="C41" s="7"/>
      <c r="H41" s="7" t="str" cm="1">
        <f t="array" ref="H41">_xlfn.IFS(D41="","",D41="Grand Total",SUM(H$2:H40),TRUE,IF(COUNTIF(Transactions[Custom Category],D41)&gt;0,SUMIFS(Transactions[Amount],Transactions[Custom Category],D41,Transactions[Month],Sel_Month),SUMIFS(Transactions[Amount],Transactions[Name],D41,Transactions[Month],Sel_Month)))</f>
        <v/>
      </c>
      <c r="I41" s="8" t="str">
        <f t="shared" si="0"/>
        <v/>
      </c>
    </row>
    <row r="42" spans="3:9" x14ac:dyDescent="0.3">
      <c r="C42" s="7"/>
      <c r="H42" s="7" t="str" cm="1">
        <f t="array" ref="H42">_xlfn.IFS(D42="","",D42="Grand Total",SUM(H$2:H41),TRUE,IF(COUNTIF(Transactions[Custom Category],D42)&gt;0,SUMIFS(Transactions[Amount],Transactions[Custom Category],D42,Transactions[Month],Sel_Month),SUMIFS(Transactions[Amount],Transactions[Name],D42,Transactions[Month],Sel_Month)))</f>
        <v/>
      </c>
      <c r="I42" s="8" t="str">
        <f t="shared" si="0"/>
        <v/>
      </c>
    </row>
    <row r="43" spans="3:9" x14ac:dyDescent="0.3">
      <c r="C43" s="7"/>
      <c r="H43" s="7" t="str" cm="1">
        <f t="array" ref="H43">_xlfn.IFS(D43="","",D43="Grand Total",SUM(H$2:H42),TRUE,IF(COUNTIF(Transactions[Custom Category],D43)&gt;0,SUMIFS(Transactions[Amount],Transactions[Custom Category],D43,Transactions[Month],Sel_Month),SUMIFS(Transactions[Amount],Transactions[Name],D43,Transactions[Month],Sel_Month)))</f>
        <v/>
      </c>
      <c r="I43" s="8" t="str">
        <f t="shared" si="0"/>
        <v/>
      </c>
    </row>
    <row r="44" spans="3:9" x14ac:dyDescent="0.3">
      <c r="C44" s="7"/>
      <c r="H44" s="7" t="str" cm="1">
        <f t="array" ref="H44">_xlfn.IFS(D44="","",D44="Grand Total",SUM(H$2:H43),TRUE,IF(COUNTIF(Transactions[Custom Category],D44)&gt;0,SUMIFS(Transactions[Amount],Transactions[Custom Category],D44,Transactions[Month],Sel_Month),SUMIFS(Transactions[Amount],Transactions[Name],D44,Transactions[Month],Sel_Month)))</f>
        <v/>
      </c>
      <c r="I44" s="8" t="str">
        <f t="shared" si="0"/>
        <v/>
      </c>
    </row>
    <row r="45" spans="3:9" x14ac:dyDescent="0.3">
      <c r="C45" s="7"/>
      <c r="H45" s="7" t="str" cm="1">
        <f t="array" ref="H45">_xlfn.IFS(D45="","",D45="Grand Total",SUM(H$2:H44),TRUE,IF(COUNTIF(Transactions[Custom Category],D45)&gt;0,SUMIFS(Transactions[Amount],Transactions[Custom Category],D45,Transactions[Month],Sel_Month),SUMIFS(Transactions[Amount],Transactions[Name],D45,Transactions[Month],Sel_Month)))</f>
        <v/>
      </c>
      <c r="I45" s="8" t="str">
        <f t="shared" si="0"/>
        <v/>
      </c>
    </row>
    <row r="46" spans="3:9" x14ac:dyDescent="0.3">
      <c r="C46" s="7"/>
      <c r="H46" s="7" t="str" cm="1">
        <f t="array" ref="H46">_xlfn.IFS(D46="","",D46="Grand Total",SUM(H$2:H45),TRUE,IF(COUNTIF(Transactions[Custom Category],D46)&gt;0,SUMIFS(Transactions[Amount],Transactions[Custom Category],D46,Transactions[Month],Sel_Month),SUMIFS(Transactions[Amount],Transactions[Name],D46,Transactions[Month],Sel_Month)))</f>
        <v/>
      </c>
      <c r="I46" s="8" t="str">
        <f t="shared" si="0"/>
        <v/>
      </c>
    </row>
    <row r="47" spans="3:9" x14ac:dyDescent="0.3">
      <c r="C47" s="7"/>
      <c r="H47" s="7" t="str" cm="1">
        <f t="array" ref="H47">_xlfn.IFS(D47="","",D47="Grand Total",SUM(H$2:H46),TRUE,IF(COUNTIF(Transactions[Custom Category],D47)&gt;0,SUMIFS(Transactions[Amount],Transactions[Custom Category],D47,Transactions[Month],Sel_Month),SUMIFS(Transactions[Amount],Transactions[Name],D47,Transactions[Month],Sel_Month)))</f>
        <v/>
      </c>
      <c r="I47" s="8" t="str">
        <f t="shared" si="0"/>
        <v/>
      </c>
    </row>
    <row r="48" spans="3:9" x14ac:dyDescent="0.3">
      <c r="C48" s="7"/>
      <c r="H48" s="7" t="str" cm="1">
        <f t="array" ref="H48">_xlfn.IFS(D48="","",D48="Grand Total",SUM(H$2:H47),TRUE,IF(COUNTIF(Transactions[Custom Category],D48)&gt;0,SUMIFS(Transactions[Amount],Transactions[Custom Category],D48,Transactions[Month],Sel_Month),SUMIFS(Transactions[Amount],Transactions[Name],D48,Transactions[Month],Sel_Month)))</f>
        <v/>
      </c>
      <c r="I48" s="8" t="str">
        <f t="shared" si="0"/>
        <v/>
      </c>
    </row>
    <row r="49" spans="3:9" x14ac:dyDescent="0.3">
      <c r="C49" s="7"/>
      <c r="H49" s="7" t="str" cm="1">
        <f t="array" ref="H49">_xlfn.IFS(D49="","",D49="Grand Total",SUM(H$2:H48),TRUE,IF(COUNTIF(Transactions[Custom Category],D49)&gt;0,SUMIFS(Transactions[Amount],Transactions[Custom Category],D49,Transactions[Month],Sel_Month),SUMIFS(Transactions[Amount],Transactions[Name],D49,Transactions[Month],Sel_Month)))</f>
        <v/>
      </c>
      <c r="I49" s="8" t="str">
        <f t="shared" si="0"/>
        <v/>
      </c>
    </row>
    <row r="50" spans="3:9" x14ac:dyDescent="0.3">
      <c r="C50" s="7"/>
      <c r="H50" s="7" t="str" cm="1">
        <f t="array" ref="H50">_xlfn.IFS(D50="","",D50="Grand Total",SUM(H$2:H49),TRUE,IF(COUNTIF(Transactions[Custom Category],D50)&gt;0,SUMIFS(Transactions[Amount],Transactions[Custom Category],D50,Transactions[Month],Sel_Month),SUMIFS(Transactions[Amount],Transactions[Name],D50,Transactions[Month],Sel_Month)))</f>
        <v/>
      </c>
      <c r="I50" s="8" t="str">
        <f t="shared" si="0"/>
        <v/>
      </c>
    </row>
    <row r="51" spans="3:9" x14ac:dyDescent="0.3">
      <c r="C51" s="7"/>
      <c r="H51" s="7" t="str" cm="1">
        <f t="array" ref="H51">_xlfn.IFS(D51="","",D51="Grand Total",SUM(H$2:H50),TRUE,IF(COUNTIF(Transactions[Custom Category],D51)&gt;0,SUMIFS(Transactions[Amount],Transactions[Custom Category],D51,Transactions[Month],Sel_Month),SUMIFS(Transactions[Amount],Transactions[Name],D51,Transactions[Month],Sel_Month)))</f>
        <v/>
      </c>
      <c r="I51" s="8" t="str">
        <f t="shared" si="0"/>
        <v/>
      </c>
    </row>
    <row r="52" spans="3:9" x14ac:dyDescent="0.3">
      <c r="C52" s="7"/>
      <c r="H52" s="7" t="str" cm="1">
        <f t="array" ref="H52">_xlfn.IFS(D52="","",D52="Grand Total",SUM(H$2:H51),TRUE,IF(COUNTIF(Transactions[Custom Category],D52)&gt;0,SUMIFS(Transactions[Amount],Transactions[Custom Category],D52,Transactions[Month],Sel_Month),SUMIFS(Transactions[Amount],Transactions[Name],D52,Transactions[Month],Sel_Month)))</f>
        <v/>
      </c>
      <c r="I52" s="8" t="str">
        <f t="shared" si="0"/>
        <v/>
      </c>
    </row>
    <row r="53" spans="3:9" x14ac:dyDescent="0.3">
      <c r="C53" s="7"/>
      <c r="H53" s="7" t="str" cm="1">
        <f t="array" ref="H53">_xlfn.IFS(D53="","",D53="Grand Total",SUM(H$2:H52),TRUE,IF(COUNTIF(Transactions[Custom Category],D53)&gt;0,SUMIFS(Transactions[Amount],Transactions[Custom Category],D53,Transactions[Month],Sel_Month),SUMIFS(Transactions[Amount],Transactions[Name],D53,Transactions[Month],Sel_Month)))</f>
        <v/>
      </c>
      <c r="I53" s="8" t="str">
        <f t="shared" si="0"/>
        <v/>
      </c>
    </row>
    <row r="54" spans="3:9" x14ac:dyDescent="0.3">
      <c r="C54" s="7"/>
      <c r="H54" s="7" t="str" cm="1">
        <f t="array" ref="H54">_xlfn.IFS(D54="","",D54="Grand Total",SUM(H$2:H53),TRUE,IF(COUNTIF(Transactions[Custom Category],D54)&gt;0,SUMIFS(Transactions[Amount],Transactions[Custom Category],D54,Transactions[Month],Sel_Month),SUMIFS(Transactions[Amount],Transactions[Name],D54,Transactions[Month],Sel_Month)))</f>
        <v/>
      </c>
      <c r="I54" s="8" t="str">
        <f t="shared" si="0"/>
        <v/>
      </c>
    </row>
    <row r="55" spans="3:9" x14ac:dyDescent="0.3">
      <c r="C55" s="7"/>
      <c r="H55" s="7" t="str" cm="1">
        <f t="array" ref="H55">_xlfn.IFS(D55="","",D55="Grand Total",SUM(H$2:H54),TRUE,IF(COUNTIF(Transactions[Custom Category],D55)&gt;0,SUMIFS(Transactions[Amount],Transactions[Custom Category],D55,Transactions[Month],Sel_Month),SUMIFS(Transactions[Amount],Transactions[Name],D55,Transactions[Month],Sel_Month)))</f>
        <v/>
      </c>
      <c r="I55" s="8" t="str">
        <f t="shared" si="0"/>
        <v/>
      </c>
    </row>
    <row r="56" spans="3:9" x14ac:dyDescent="0.3">
      <c r="C56" s="7"/>
      <c r="H56" s="7" t="str" cm="1">
        <f t="array" ref="H56">_xlfn.IFS(D56="","",D56="Grand Total",SUM(H$2:H55),TRUE,IF(COUNTIF(Transactions[Custom Category],D56)&gt;0,SUMIFS(Transactions[Amount],Transactions[Custom Category],D56,Transactions[Month],Sel_Month),SUMIFS(Transactions[Amount],Transactions[Name],D56,Transactions[Month],Sel_Month)))</f>
        <v/>
      </c>
      <c r="I56" s="8" t="str">
        <f t="shared" si="0"/>
        <v/>
      </c>
    </row>
    <row r="57" spans="3:9" x14ac:dyDescent="0.3">
      <c r="C57" s="7"/>
      <c r="H57" s="7" t="str" cm="1">
        <f t="array" ref="H57">_xlfn.IFS(D57="","",D57="Grand Total",SUM(H$2:H56),TRUE,IF(COUNTIF(Transactions[Custom Category],D57)&gt;0,SUMIFS(Transactions[Amount],Transactions[Custom Category],D57,Transactions[Month],Sel_Month),SUMIFS(Transactions[Amount],Transactions[Name],D57,Transactions[Month],Sel_Month)))</f>
        <v/>
      </c>
      <c r="I57" s="8" t="str">
        <f t="shared" si="0"/>
        <v/>
      </c>
    </row>
    <row r="58" spans="3:9" x14ac:dyDescent="0.3">
      <c r="C58" s="7"/>
      <c r="H58" s="7" t="str" cm="1">
        <f t="array" ref="H58">_xlfn.IFS(D58="","",D58="Grand Total",SUM(H$2:H57),TRUE,IF(COUNTIF(Transactions[Custom Category],D58)&gt;0,SUMIFS(Transactions[Amount],Transactions[Custom Category],D58,Transactions[Month],Sel_Month),SUMIFS(Transactions[Amount],Transactions[Name],D58,Transactions[Month],Sel_Month)))</f>
        <v/>
      </c>
      <c r="I58" s="8" t="str">
        <f t="shared" si="0"/>
        <v/>
      </c>
    </row>
    <row r="59" spans="3:9" x14ac:dyDescent="0.3">
      <c r="C59" s="7"/>
      <c r="H59" s="7" t="str" cm="1">
        <f t="array" ref="H59">_xlfn.IFS(D59="","",D59="Grand Total",SUM(H$2:H58),TRUE,IF(COUNTIF(Transactions[Custom Category],D59)&gt;0,SUMIFS(Transactions[Amount],Transactions[Custom Category],D59,Transactions[Month],Sel_Month),SUMIFS(Transactions[Amount],Transactions[Name],D59,Transactions[Month],Sel_Month)))</f>
        <v/>
      </c>
      <c r="I59" s="8" t="str">
        <f t="shared" si="0"/>
        <v/>
      </c>
    </row>
    <row r="60" spans="3:9" x14ac:dyDescent="0.3">
      <c r="C60" s="7"/>
      <c r="H60" s="7" t="str" cm="1">
        <f t="array" ref="H60">_xlfn.IFS(D60="","",D60="Grand Total",SUM(H$2:H59),TRUE,IF(COUNTIF(Transactions[Custom Category],D60)&gt;0,SUMIFS(Transactions[Amount],Transactions[Custom Category],D60,Transactions[Month],Sel_Month),SUMIFS(Transactions[Amount],Transactions[Name],D60,Transactions[Month],Sel_Month)))</f>
        <v/>
      </c>
      <c r="I60" s="8" t="str">
        <f t="shared" si="0"/>
        <v/>
      </c>
    </row>
    <row r="61" spans="3:9" x14ac:dyDescent="0.3">
      <c r="C61" s="7"/>
      <c r="H61" s="7" t="str" cm="1">
        <f t="array" ref="H61">_xlfn.IFS(D61="","",D61="Grand Total",SUM(H$2:H60),TRUE,IF(COUNTIF(Transactions[Custom Category],D61)&gt;0,SUMIFS(Transactions[Amount],Transactions[Custom Category],D61,Transactions[Month],Sel_Month),SUMIFS(Transactions[Amount],Transactions[Name],D61,Transactions[Month],Sel_Month)))</f>
        <v/>
      </c>
      <c r="I61" s="8" t="str">
        <f t="shared" si="0"/>
        <v/>
      </c>
    </row>
    <row r="62" spans="3:9" x14ac:dyDescent="0.3">
      <c r="C62" s="7"/>
      <c r="H62" s="7" t="str" cm="1">
        <f t="array" ref="H62">_xlfn.IFS(D62="","",D62="Grand Total",SUM(H$2:H61),TRUE,IF(COUNTIF(Transactions[Custom Category],D62)&gt;0,SUMIFS(Transactions[Amount],Transactions[Custom Category],D62,Transactions[Month],Sel_Month),SUMIFS(Transactions[Amount],Transactions[Name],D62,Transactions[Month],Sel_Month)))</f>
        <v/>
      </c>
      <c r="I62" s="8" t="str">
        <f t="shared" si="0"/>
        <v/>
      </c>
    </row>
    <row r="63" spans="3:9" x14ac:dyDescent="0.3">
      <c r="C63" s="7"/>
      <c r="H63" s="7" t="str" cm="1">
        <f t="array" ref="H63">_xlfn.IFS(D63="","",D63="Grand Total",SUM(H$2:H62),TRUE,IF(COUNTIF(Transactions[Custom Category],D63)&gt;0,SUMIFS(Transactions[Amount],Transactions[Custom Category],D63,Transactions[Month],Sel_Month),SUMIFS(Transactions[Amount],Transactions[Name],D63,Transactions[Month],Sel_Month)))</f>
        <v/>
      </c>
      <c r="I63" s="8" t="str">
        <f t="shared" si="0"/>
        <v/>
      </c>
    </row>
    <row r="64" spans="3:9" x14ac:dyDescent="0.3">
      <c r="C64" s="7"/>
      <c r="H64" s="7" t="str" cm="1">
        <f t="array" ref="H64">_xlfn.IFS(D64="","",D64="Grand Total",SUM(H$2:H63),TRUE,IF(COUNTIF(Transactions[Custom Category],D64)&gt;0,SUMIFS(Transactions[Amount],Transactions[Custom Category],D64,Transactions[Month],Sel_Month),SUMIFS(Transactions[Amount],Transactions[Name],D64,Transactions[Month],Sel_Month)))</f>
        <v/>
      </c>
      <c r="I64" s="8" t="str">
        <f t="shared" si="0"/>
        <v/>
      </c>
    </row>
    <row r="65" spans="3:9" x14ac:dyDescent="0.3">
      <c r="C65" s="7"/>
      <c r="H65" s="7" t="str" cm="1">
        <f t="array" ref="H65">_xlfn.IFS(D65="","",D65="Grand Total",SUM(H$2:H64),TRUE,IF(COUNTIF(Transactions[Custom Category],D65)&gt;0,SUMIFS(Transactions[Amount],Transactions[Custom Category],D65,Transactions[Month],Sel_Month),SUMIFS(Transactions[Amount],Transactions[Name],D65,Transactions[Month],Sel_Month)))</f>
        <v/>
      </c>
      <c r="I65" s="8" t="str">
        <f t="shared" si="0"/>
        <v/>
      </c>
    </row>
    <row r="66" spans="3:9" x14ac:dyDescent="0.3">
      <c r="C66" s="7"/>
      <c r="H66" s="7" t="str" cm="1">
        <f t="array" ref="H66">_xlfn.IFS(D66="","",D66="Grand Total",SUM(H$2:H65),TRUE,IF(COUNTIF(Transactions[Custom Category],D66)&gt;0,SUMIFS(Transactions[Amount],Transactions[Custom Category],D66,Transactions[Month],Sel_Month),SUMIFS(Transactions[Amount],Transactions[Name],D66,Transactions[Month],Sel_Month)))</f>
        <v/>
      </c>
      <c r="I66" s="8" t="str">
        <f t="shared" si="0"/>
        <v/>
      </c>
    </row>
    <row r="67" spans="3:9" x14ac:dyDescent="0.3">
      <c r="C67" s="7"/>
      <c r="H67" s="7" t="str" cm="1">
        <f t="array" ref="H67">_xlfn.IFS(D67="","",D67="Grand Total",SUM(H$2:H66),TRUE,IF(COUNTIF(Transactions[Custom Category],D67)&gt;0,SUMIFS(Transactions[Amount],Transactions[Custom Category],D67,Transactions[Month],Sel_Month),SUMIFS(Transactions[Amount],Transactions[Name],D67,Transactions[Month],Sel_Month)))</f>
        <v/>
      </c>
      <c r="I67" s="8" t="str">
        <f t="shared" si="0"/>
        <v/>
      </c>
    </row>
    <row r="68" spans="3:9" x14ac:dyDescent="0.3">
      <c r="C68" s="7"/>
      <c r="H68" s="7" t="str" cm="1">
        <f t="array" ref="H68">_xlfn.IFS(D68="","",D68="Grand Total",SUM(H$2:H67),TRUE,IF(COUNTIF(Transactions[Custom Category],D68)&gt;0,SUMIFS(Transactions[Amount],Transactions[Custom Category],D68,Transactions[Month],Sel_Month),SUMIFS(Transactions[Amount],Transactions[Name],D68,Transactions[Month],Sel_Month)))</f>
        <v/>
      </c>
      <c r="I68" s="8" t="str">
        <f t="shared" ref="I68:I131" si="1">IF(F68="","",IF(F68=0,0,1-((F68-H68)/F68)))</f>
        <v/>
      </c>
    </row>
    <row r="69" spans="3:9" x14ac:dyDescent="0.3">
      <c r="C69" s="7"/>
      <c r="H69" s="7" t="str" cm="1">
        <f t="array" ref="H69">_xlfn.IFS(D69="","",D69="Grand Total",SUM(H$2:H68),TRUE,IF(COUNTIF(Transactions[Custom Category],D69)&gt;0,SUMIFS(Transactions[Amount],Transactions[Custom Category],D69,Transactions[Month],Sel_Month),SUMIFS(Transactions[Amount],Transactions[Name],D69,Transactions[Month],Sel_Month)))</f>
        <v/>
      </c>
      <c r="I69" s="8" t="str">
        <f t="shared" si="1"/>
        <v/>
      </c>
    </row>
    <row r="70" spans="3:9" x14ac:dyDescent="0.3">
      <c r="C70" s="7"/>
      <c r="H70" s="7" t="str" cm="1">
        <f t="array" ref="H70">_xlfn.IFS(D70="","",D70="Grand Total",SUM(H$2:H69),TRUE,IF(COUNTIF(Transactions[Custom Category],D70)&gt;0,SUMIFS(Transactions[Amount],Transactions[Custom Category],D70,Transactions[Month],Sel_Month),SUMIFS(Transactions[Amount],Transactions[Name],D70,Transactions[Month],Sel_Month)))</f>
        <v/>
      </c>
      <c r="I70" s="8" t="str">
        <f t="shared" si="1"/>
        <v/>
      </c>
    </row>
    <row r="71" spans="3:9" x14ac:dyDescent="0.3">
      <c r="C71" s="7"/>
      <c r="H71" s="7" t="str" cm="1">
        <f t="array" ref="H71">_xlfn.IFS(D71="","",D71="Grand Total",SUM(H$2:H70),TRUE,IF(COUNTIF(Transactions[Custom Category],D71)&gt;0,SUMIFS(Transactions[Amount],Transactions[Custom Category],D71,Transactions[Month],Sel_Month),SUMIFS(Transactions[Amount],Transactions[Name],D71,Transactions[Month],Sel_Month)))</f>
        <v/>
      </c>
      <c r="I71" s="8" t="str">
        <f t="shared" si="1"/>
        <v/>
      </c>
    </row>
    <row r="72" spans="3:9" x14ac:dyDescent="0.3">
      <c r="C72" s="7"/>
      <c r="H72" s="7" t="str" cm="1">
        <f t="array" ref="H72">_xlfn.IFS(D72="","",D72="Grand Total",SUM(H$2:H71),TRUE,IF(COUNTIF(Transactions[Custom Category],D72)&gt;0,SUMIFS(Transactions[Amount],Transactions[Custom Category],D72,Transactions[Month],Sel_Month),SUMIFS(Transactions[Amount],Transactions[Name],D72,Transactions[Month],Sel_Month)))</f>
        <v/>
      </c>
      <c r="I72" s="8" t="str">
        <f t="shared" si="1"/>
        <v/>
      </c>
    </row>
    <row r="73" spans="3:9" x14ac:dyDescent="0.3">
      <c r="C73" s="7"/>
      <c r="H73" s="7" t="str" cm="1">
        <f t="array" ref="H73">_xlfn.IFS(D73="","",D73="Grand Total",SUM(H$2:H72),TRUE,IF(COUNTIF(Transactions[Custom Category],D73)&gt;0,SUMIFS(Transactions[Amount],Transactions[Custom Category],D73,Transactions[Month],Sel_Month),SUMIFS(Transactions[Amount],Transactions[Name],D73,Transactions[Month],Sel_Month)))</f>
        <v/>
      </c>
      <c r="I73" s="8" t="str">
        <f t="shared" si="1"/>
        <v/>
      </c>
    </row>
    <row r="74" spans="3:9" x14ac:dyDescent="0.3">
      <c r="C74" s="7"/>
      <c r="H74" s="7" t="str" cm="1">
        <f t="array" ref="H74">_xlfn.IFS(D74="","",D74="Grand Total",SUM(H$2:H73),TRUE,IF(COUNTIF(Transactions[Custom Category],D74)&gt;0,SUMIFS(Transactions[Amount],Transactions[Custom Category],D74,Transactions[Month],Sel_Month),SUMIFS(Transactions[Amount],Transactions[Name],D74,Transactions[Month],Sel_Month)))</f>
        <v/>
      </c>
      <c r="I74" s="8" t="str">
        <f t="shared" si="1"/>
        <v/>
      </c>
    </row>
    <row r="75" spans="3:9" x14ac:dyDescent="0.3">
      <c r="C75" s="7"/>
      <c r="H75" s="7" t="str" cm="1">
        <f t="array" ref="H75">_xlfn.IFS(D75="","",D75="Grand Total",SUM(H$2:H74),TRUE,IF(COUNTIF(Transactions[Custom Category],D75)&gt;0,SUMIFS(Transactions[Amount],Transactions[Custom Category],D75,Transactions[Month],Sel_Month),SUMIFS(Transactions[Amount],Transactions[Name],D75,Transactions[Month],Sel_Month)))</f>
        <v/>
      </c>
      <c r="I75" s="8" t="str">
        <f t="shared" si="1"/>
        <v/>
      </c>
    </row>
    <row r="76" spans="3:9" x14ac:dyDescent="0.3">
      <c r="C76" s="7"/>
      <c r="H76" s="7" t="str" cm="1">
        <f t="array" ref="H76">_xlfn.IFS(D76="","",D76="Grand Total",SUM(H$2:H75),TRUE,IF(COUNTIF(Transactions[Custom Category],D76)&gt;0,SUMIFS(Transactions[Amount],Transactions[Custom Category],D76,Transactions[Month],Sel_Month),SUMIFS(Transactions[Amount],Transactions[Name],D76,Transactions[Month],Sel_Month)))</f>
        <v/>
      </c>
      <c r="I76" s="8" t="str">
        <f t="shared" si="1"/>
        <v/>
      </c>
    </row>
    <row r="77" spans="3:9" x14ac:dyDescent="0.3">
      <c r="C77" s="7"/>
      <c r="H77" s="7" t="str" cm="1">
        <f t="array" ref="H77">_xlfn.IFS(D77="","",D77="Grand Total",SUM(H$2:H76),TRUE,IF(COUNTIF(Transactions[Custom Category],D77)&gt;0,SUMIFS(Transactions[Amount],Transactions[Custom Category],D77,Transactions[Month],Sel_Month),SUMIFS(Transactions[Amount],Transactions[Name],D77,Transactions[Month],Sel_Month)))</f>
        <v/>
      </c>
      <c r="I77" s="8" t="str">
        <f t="shared" si="1"/>
        <v/>
      </c>
    </row>
    <row r="78" spans="3:9" x14ac:dyDescent="0.3">
      <c r="C78" s="7"/>
      <c r="H78" s="7" t="str" cm="1">
        <f t="array" ref="H78">_xlfn.IFS(D78="","",D78="Grand Total",SUM(H$2:H77),TRUE,IF(COUNTIF(Transactions[Custom Category],D78)&gt;0,SUMIFS(Transactions[Amount],Transactions[Custom Category],D78,Transactions[Month],Sel_Month),SUMIFS(Transactions[Amount],Transactions[Name],D78,Transactions[Month],Sel_Month)))</f>
        <v/>
      </c>
      <c r="I78" s="8" t="str">
        <f t="shared" si="1"/>
        <v/>
      </c>
    </row>
    <row r="79" spans="3:9" x14ac:dyDescent="0.3">
      <c r="C79" s="7"/>
      <c r="H79" s="7" t="str" cm="1">
        <f t="array" ref="H79">_xlfn.IFS(D79="","",D79="Grand Total",SUM(H$2:H78),TRUE,IF(COUNTIF(Transactions[Custom Category],D79)&gt;0,SUMIFS(Transactions[Amount],Transactions[Custom Category],D79,Transactions[Month],Sel_Month),SUMIFS(Transactions[Amount],Transactions[Name],D79,Transactions[Month],Sel_Month)))</f>
        <v/>
      </c>
      <c r="I79" s="8" t="str">
        <f t="shared" si="1"/>
        <v/>
      </c>
    </row>
    <row r="80" spans="3:9" x14ac:dyDescent="0.3">
      <c r="C80" s="7"/>
      <c r="H80" s="7" t="str" cm="1">
        <f t="array" ref="H80">_xlfn.IFS(D80="","",D80="Grand Total",SUM(H$2:H79),TRUE,IF(COUNTIF(Transactions[Custom Category],D80)&gt;0,SUMIFS(Transactions[Amount],Transactions[Custom Category],D80,Transactions[Month],Sel_Month),SUMIFS(Transactions[Amount],Transactions[Name],D80,Transactions[Month],Sel_Month)))</f>
        <v/>
      </c>
      <c r="I80" s="8" t="str">
        <f t="shared" si="1"/>
        <v/>
      </c>
    </row>
    <row r="81" spans="3:9" x14ac:dyDescent="0.3">
      <c r="C81" s="7"/>
      <c r="H81" s="7" t="str" cm="1">
        <f t="array" ref="H81">_xlfn.IFS(D81="","",D81="Grand Total",SUM(H$2:H80),TRUE,IF(COUNTIF(Transactions[Custom Category],D81)&gt;0,SUMIFS(Transactions[Amount],Transactions[Custom Category],D81,Transactions[Month],Sel_Month),SUMIFS(Transactions[Amount],Transactions[Name],D81,Transactions[Month],Sel_Month)))</f>
        <v/>
      </c>
      <c r="I81" s="8" t="str">
        <f t="shared" si="1"/>
        <v/>
      </c>
    </row>
    <row r="82" spans="3:9" x14ac:dyDescent="0.3">
      <c r="C82" s="7"/>
      <c r="H82" s="7" t="str" cm="1">
        <f t="array" ref="H82">_xlfn.IFS(D82="","",D82="Grand Total",SUM(H$2:H81),TRUE,IF(COUNTIF(Transactions[Custom Category],D82)&gt;0,SUMIFS(Transactions[Amount],Transactions[Custom Category],D82,Transactions[Month],Sel_Month),SUMIFS(Transactions[Amount],Transactions[Name],D82,Transactions[Month],Sel_Month)))</f>
        <v/>
      </c>
      <c r="I82" s="8" t="str">
        <f t="shared" si="1"/>
        <v/>
      </c>
    </row>
    <row r="83" spans="3:9" x14ac:dyDescent="0.3">
      <c r="C83" s="7"/>
      <c r="H83" s="7" t="str" cm="1">
        <f t="array" ref="H83">_xlfn.IFS(D83="","",D83="Grand Total",SUM(H$2:H82),TRUE,IF(COUNTIF(Transactions[Custom Category],D83)&gt;0,SUMIFS(Transactions[Amount],Transactions[Custom Category],D83,Transactions[Month],Sel_Month),SUMIFS(Transactions[Amount],Transactions[Name],D83,Transactions[Month],Sel_Month)))</f>
        <v/>
      </c>
      <c r="I83" s="8" t="str">
        <f t="shared" si="1"/>
        <v/>
      </c>
    </row>
    <row r="84" spans="3:9" x14ac:dyDescent="0.3">
      <c r="C84" s="7"/>
      <c r="H84" s="7" t="str" cm="1">
        <f t="array" ref="H84">_xlfn.IFS(D84="","",D84="Grand Total",SUM(H$2:H83),TRUE,IF(COUNTIF(Transactions[Custom Category],D84)&gt;0,SUMIFS(Transactions[Amount],Transactions[Custom Category],D84,Transactions[Month],Sel_Month),SUMIFS(Transactions[Amount],Transactions[Name],D84,Transactions[Month],Sel_Month)))</f>
        <v/>
      </c>
      <c r="I84" s="8" t="str">
        <f t="shared" si="1"/>
        <v/>
      </c>
    </row>
    <row r="85" spans="3:9" x14ac:dyDescent="0.3">
      <c r="C85" s="7"/>
      <c r="H85" s="7" t="str" cm="1">
        <f t="array" ref="H85">_xlfn.IFS(D85="","",D85="Grand Total",SUM(H$2:H84),TRUE,IF(COUNTIF(Transactions[Custom Category],D85)&gt;0,SUMIFS(Transactions[Amount],Transactions[Custom Category],D85,Transactions[Month],Sel_Month),SUMIFS(Transactions[Amount],Transactions[Name],D85,Transactions[Month],Sel_Month)))</f>
        <v/>
      </c>
      <c r="I85" s="8" t="str">
        <f t="shared" si="1"/>
        <v/>
      </c>
    </row>
    <row r="86" spans="3:9" x14ac:dyDescent="0.3">
      <c r="C86" s="7"/>
      <c r="H86" s="7" t="str" cm="1">
        <f t="array" ref="H86">_xlfn.IFS(D86="","",D86="Grand Total",SUM(H$2:H85),TRUE,IF(COUNTIF(Transactions[Custom Category],D86)&gt;0,SUMIFS(Transactions[Amount],Transactions[Custom Category],D86,Transactions[Month],Sel_Month),SUMIFS(Transactions[Amount],Transactions[Name],D86,Transactions[Month],Sel_Month)))</f>
        <v/>
      </c>
      <c r="I86" s="8" t="str">
        <f t="shared" si="1"/>
        <v/>
      </c>
    </row>
    <row r="87" spans="3:9" x14ac:dyDescent="0.3">
      <c r="C87" s="7"/>
      <c r="H87" s="7" t="str" cm="1">
        <f t="array" ref="H87">_xlfn.IFS(D87="","",D87="Grand Total",SUM(H$2:H86),TRUE,IF(COUNTIF(Transactions[Custom Category],D87)&gt;0,SUMIFS(Transactions[Amount],Transactions[Custom Category],D87,Transactions[Month],Sel_Month),SUMIFS(Transactions[Amount],Transactions[Name],D87,Transactions[Month],Sel_Month)))</f>
        <v/>
      </c>
      <c r="I87" s="8" t="str">
        <f t="shared" si="1"/>
        <v/>
      </c>
    </row>
    <row r="88" spans="3:9" x14ac:dyDescent="0.3">
      <c r="C88" s="7"/>
      <c r="H88" s="7" t="str" cm="1">
        <f t="array" ref="H88">_xlfn.IFS(D88="","",D88="Grand Total",SUM(H$2:H87),TRUE,IF(COUNTIF(Transactions[Custom Category],D88)&gt;0,SUMIFS(Transactions[Amount],Transactions[Custom Category],D88,Transactions[Month],Sel_Month),SUMIFS(Transactions[Amount],Transactions[Name],D88,Transactions[Month],Sel_Month)))</f>
        <v/>
      </c>
      <c r="I88" s="8" t="str">
        <f t="shared" si="1"/>
        <v/>
      </c>
    </row>
    <row r="89" spans="3:9" x14ac:dyDescent="0.3">
      <c r="C89" s="7"/>
      <c r="H89" s="7" t="str" cm="1">
        <f t="array" ref="H89">_xlfn.IFS(D89="","",D89="Grand Total",SUM(H$2:H88),TRUE,IF(COUNTIF(Transactions[Custom Category],D89)&gt;0,SUMIFS(Transactions[Amount],Transactions[Custom Category],D89,Transactions[Month],Sel_Month),SUMIFS(Transactions[Amount],Transactions[Name],D89,Transactions[Month],Sel_Month)))</f>
        <v/>
      </c>
      <c r="I89" s="8" t="str">
        <f t="shared" si="1"/>
        <v/>
      </c>
    </row>
    <row r="90" spans="3:9" x14ac:dyDescent="0.3">
      <c r="C90" s="7"/>
      <c r="H90" s="7" t="str" cm="1">
        <f t="array" ref="H90">_xlfn.IFS(D90="","",D90="Grand Total",SUM(H$2:H89),TRUE,IF(COUNTIF(Transactions[Custom Category],D90)&gt;0,SUMIFS(Transactions[Amount],Transactions[Custom Category],D90,Transactions[Month],Sel_Month),SUMIFS(Transactions[Amount],Transactions[Name],D90,Transactions[Month],Sel_Month)))</f>
        <v/>
      </c>
      <c r="I90" s="8" t="str">
        <f t="shared" si="1"/>
        <v/>
      </c>
    </row>
    <row r="91" spans="3:9" x14ac:dyDescent="0.3">
      <c r="C91" s="7"/>
      <c r="H91" s="7" t="str" cm="1">
        <f t="array" ref="H91">_xlfn.IFS(D91="","",D91="Grand Total",SUM(H$2:H90),TRUE,IF(COUNTIF(Transactions[Custom Category],D91)&gt;0,SUMIFS(Transactions[Amount],Transactions[Custom Category],D91,Transactions[Month],Sel_Month),SUMIFS(Transactions[Amount],Transactions[Name],D91,Transactions[Month],Sel_Month)))</f>
        <v/>
      </c>
      <c r="I91" s="8" t="str">
        <f t="shared" si="1"/>
        <v/>
      </c>
    </row>
    <row r="92" spans="3:9" x14ac:dyDescent="0.3">
      <c r="C92" s="7"/>
      <c r="H92" s="7" t="str" cm="1">
        <f t="array" ref="H92">_xlfn.IFS(D92="","",D92="Grand Total",SUM(H$2:H91),TRUE,IF(COUNTIF(Transactions[Custom Category],D92)&gt;0,SUMIFS(Transactions[Amount],Transactions[Custom Category],D92,Transactions[Month],Sel_Month),SUMIFS(Transactions[Amount],Transactions[Name],D92,Transactions[Month],Sel_Month)))</f>
        <v/>
      </c>
      <c r="I92" s="8" t="str">
        <f t="shared" si="1"/>
        <v/>
      </c>
    </row>
    <row r="93" spans="3:9" x14ac:dyDescent="0.3">
      <c r="C93" s="7"/>
      <c r="H93" s="7" t="str" cm="1">
        <f t="array" ref="H93">_xlfn.IFS(D93="","",D93="Grand Total",SUM(H$2:H92),TRUE,IF(COUNTIF(Transactions[Custom Category],D93)&gt;0,SUMIFS(Transactions[Amount],Transactions[Custom Category],D93,Transactions[Month],Sel_Month),SUMIFS(Transactions[Amount],Transactions[Name],D93,Transactions[Month],Sel_Month)))</f>
        <v/>
      </c>
      <c r="I93" s="8" t="str">
        <f t="shared" si="1"/>
        <v/>
      </c>
    </row>
    <row r="94" spans="3:9" x14ac:dyDescent="0.3">
      <c r="C94" s="7"/>
      <c r="H94" s="7" t="str" cm="1">
        <f t="array" ref="H94">_xlfn.IFS(D94="","",D94="Grand Total",SUM(H$2:H93),TRUE,IF(COUNTIF(Transactions[Custom Category],D94)&gt;0,SUMIFS(Transactions[Amount],Transactions[Custom Category],D94,Transactions[Month],Sel_Month),SUMIFS(Transactions[Amount],Transactions[Name],D94,Transactions[Month],Sel_Month)))</f>
        <v/>
      </c>
      <c r="I94" s="8" t="str">
        <f t="shared" si="1"/>
        <v/>
      </c>
    </row>
    <row r="95" spans="3:9" x14ac:dyDescent="0.3">
      <c r="C95" s="7"/>
      <c r="H95" s="7" t="str" cm="1">
        <f t="array" ref="H95">_xlfn.IFS(D95="","",D95="Grand Total",SUM(H$2:H94),TRUE,IF(COUNTIF(Transactions[Custom Category],D95)&gt;0,SUMIFS(Transactions[Amount],Transactions[Custom Category],D95,Transactions[Month],Sel_Month),SUMIFS(Transactions[Amount],Transactions[Name],D95,Transactions[Month],Sel_Month)))</f>
        <v/>
      </c>
      <c r="I95" s="8" t="str">
        <f t="shared" si="1"/>
        <v/>
      </c>
    </row>
    <row r="96" spans="3:9" x14ac:dyDescent="0.3">
      <c r="C96" s="7"/>
      <c r="H96" s="7" t="str" cm="1">
        <f t="array" ref="H96">_xlfn.IFS(D96="","",D96="Grand Total",SUM(H$2:H95),TRUE,IF(COUNTIF(Transactions[Custom Category],D96)&gt;0,SUMIFS(Transactions[Amount],Transactions[Custom Category],D96,Transactions[Month],Sel_Month),SUMIFS(Transactions[Amount],Transactions[Name],D96,Transactions[Month],Sel_Month)))</f>
        <v/>
      </c>
      <c r="I96" s="8" t="str">
        <f t="shared" si="1"/>
        <v/>
      </c>
    </row>
    <row r="97" spans="3:9" x14ac:dyDescent="0.3">
      <c r="C97" s="7"/>
      <c r="H97" s="7" t="str" cm="1">
        <f t="array" ref="H97">_xlfn.IFS(D97="","",D97="Grand Total",SUM(H$2:H96),TRUE,IF(COUNTIF(Transactions[Custom Category],D97)&gt;0,SUMIFS(Transactions[Amount],Transactions[Custom Category],D97,Transactions[Month],Sel_Month),SUMIFS(Transactions[Amount],Transactions[Name],D97,Transactions[Month],Sel_Month)))</f>
        <v/>
      </c>
      <c r="I97" s="8" t="str">
        <f t="shared" si="1"/>
        <v/>
      </c>
    </row>
    <row r="98" spans="3:9" x14ac:dyDescent="0.3">
      <c r="C98" s="7"/>
      <c r="H98" s="7" t="str" cm="1">
        <f t="array" ref="H98">_xlfn.IFS(D98="","",D98="Grand Total",SUM(H$2:H97),TRUE,IF(COUNTIF(Transactions[Custom Category],D98)&gt;0,SUMIFS(Transactions[Amount],Transactions[Custom Category],D98,Transactions[Month],Sel_Month),SUMIFS(Transactions[Amount],Transactions[Name],D98,Transactions[Month],Sel_Month)))</f>
        <v/>
      </c>
      <c r="I98" s="8" t="str">
        <f t="shared" si="1"/>
        <v/>
      </c>
    </row>
    <row r="99" spans="3:9" x14ac:dyDescent="0.3">
      <c r="C99" s="7"/>
      <c r="H99" s="7" t="str" cm="1">
        <f t="array" ref="H99">_xlfn.IFS(D99="","",D99="Grand Total",SUM(H$2:H98),TRUE,IF(COUNTIF(Transactions[Custom Category],D99)&gt;0,SUMIFS(Transactions[Amount],Transactions[Custom Category],D99,Transactions[Month],Sel_Month),SUMIFS(Transactions[Amount],Transactions[Name],D99,Transactions[Month],Sel_Month)))</f>
        <v/>
      </c>
      <c r="I99" s="8" t="str">
        <f t="shared" si="1"/>
        <v/>
      </c>
    </row>
    <row r="100" spans="3:9" x14ac:dyDescent="0.3">
      <c r="C100" s="7"/>
      <c r="H100" s="7" t="str" cm="1">
        <f t="array" ref="H100">_xlfn.IFS(D100="","",D100="Grand Total",SUM(H$2:H99),TRUE,IF(COUNTIF(Transactions[Custom Category],D100)&gt;0,SUMIFS(Transactions[Amount],Transactions[Custom Category],D100,Transactions[Month],Sel_Month),SUMIFS(Transactions[Amount],Transactions[Name],D100,Transactions[Month],Sel_Month)))</f>
        <v/>
      </c>
      <c r="I100" s="8" t="str">
        <f t="shared" si="1"/>
        <v/>
      </c>
    </row>
    <row r="101" spans="3:9" x14ac:dyDescent="0.3">
      <c r="C101" s="7"/>
      <c r="H101" s="7" t="str" cm="1">
        <f t="array" ref="H101">_xlfn.IFS(D101="","",D101="Grand Total",SUM(H$2:H100),TRUE,IF(COUNTIF(Transactions[Custom Category],D101)&gt;0,SUMIFS(Transactions[Amount],Transactions[Custom Category],D101,Transactions[Month],Sel_Month),SUMIFS(Transactions[Amount],Transactions[Name],D101,Transactions[Month],Sel_Month)))</f>
        <v/>
      </c>
      <c r="I101" s="8" t="str">
        <f t="shared" si="1"/>
        <v/>
      </c>
    </row>
    <row r="102" spans="3:9" x14ac:dyDescent="0.3">
      <c r="C102" s="7"/>
      <c r="H102" s="7" t="str" cm="1">
        <f t="array" ref="H102">_xlfn.IFS(D102="","",D102="Grand Total",SUM(H$2:H101),TRUE,IF(COUNTIF(Transactions[Custom Category],D102)&gt;0,SUMIFS(Transactions[Amount],Transactions[Custom Category],D102,Transactions[Month],Sel_Month),SUMIFS(Transactions[Amount],Transactions[Name],D102,Transactions[Month],Sel_Month)))</f>
        <v/>
      </c>
      <c r="I102" s="8" t="str">
        <f t="shared" si="1"/>
        <v/>
      </c>
    </row>
    <row r="103" spans="3:9" x14ac:dyDescent="0.3">
      <c r="C103" s="7"/>
      <c r="H103" s="7" t="str" cm="1">
        <f t="array" ref="H103">_xlfn.IFS(D103="","",D103="Grand Total",SUM(H$2:H102),TRUE,IF(COUNTIF(Transactions[Custom Category],D103)&gt;0,SUMIFS(Transactions[Amount],Transactions[Custom Category],D103,Transactions[Month],Sel_Month),SUMIFS(Transactions[Amount],Transactions[Name],D103,Transactions[Month],Sel_Month)))</f>
        <v/>
      </c>
      <c r="I103" s="8" t="str">
        <f t="shared" si="1"/>
        <v/>
      </c>
    </row>
    <row r="104" spans="3:9" x14ac:dyDescent="0.3">
      <c r="C104" s="7"/>
      <c r="H104" s="7" t="str" cm="1">
        <f t="array" ref="H104">_xlfn.IFS(D104="","",D104="Grand Total",SUM(H$2:H103),TRUE,IF(COUNTIF(Transactions[Custom Category],D104)&gt;0,SUMIFS(Transactions[Amount],Transactions[Custom Category],D104,Transactions[Month],Sel_Month),SUMIFS(Transactions[Amount],Transactions[Name],D104,Transactions[Month],Sel_Month)))</f>
        <v/>
      </c>
      <c r="I104" s="8" t="str">
        <f t="shared" si="1"/>
        <v/>
      </c>
    </row>
    <row r="105" spans="3:9" x14ac:dyDescent="0.3">
      <c r="C105" s="7"/>
      <c r="H105" s="7" t="str" cm="1">
        <f t="array" ref="H105">_xlfn.IFS(D105="","",D105="Grand Total",SUM(H$2:H104),TRUE,IF(COUNTIF(Transactions[Custom Category],D105)&gt;0,SUMIFS(Transactions[Amount],Transactions[Custom Category],D105,Transactions[Month],Sel_Month),SUMIFS(Transactions[Amount],Transactions[Name],D105,Transactions[Month],Sel_Month)))</f>
        <v/>
      </c>
      <c r="I105" s="8" t="str">
        <f t="shared" si="1"/>
        <v/>
      </c>
    </row>
    <row r="106" spans="3:9" x14ac:dyDescent="0.3">
      <c r="C106" s="7"/>
      <c r="H106" s="7" t="str" cm="1">
        <f t="array" ref="H106">_xlfn.IFS(D106="","",D106="Grand Total",SUM(H$2:H105),TRUE,IF(COUNTIF(Transactions[Custom Category],D106)&gt;0,SUMIFS(Transactions[Amount],Transactions[Custom Category],D106,Transactions[Month],Sel_Month),SUMIFS(Transactions[Amount],Transactions[Name],D106,Transactions[Month],Sel_Month)))</f>
        <v/>
      </c>
      <c r="I106" s="8" t="str">
        <f t="shared" si="1"/>
        <v/>
      </c>
    </row>
    <row r="107" spans="3:9" x14ac:dyDescent="0.3">
      <c r="C107" s="7"/>
      <c r="H107" s="7" t="str" cm="1">
        <f t="array" ref="H107">_xlfn.IFS(D107="","",D107="Grand Total",SUM(H$2:H106),TRUE,IF(COUNTIF(Transactions[Custom Category],D107)&gt;0,SUMIFS(Transactions[Amount],Transactions[Custom Category],D107,Transactions[Month],Sel_Month),SUMIFS(Transactions[Amount],Transactions[Name],D107,Transactions[Month],Sel_Month)))</f>
        <v/>
      </c>
      <c r="I107" s="8" t="str">
        <f t="shared" si="1"/>
        <v/>
      </c>
    </row>
    <row r="108" spans="3:9" x14ac:dyDescent="0.3">
      <c r="C108" s="7"/>
      <c r="H108" s="7" t="str" cm="1">
        <f t="array" ref="H108">_xlfn.IFS(D108="","",D108="Grand Total",SUM(H$2:H107),TRUE,IF(COUNTIF(Transactions[Custom Category],D108)&gt;0,SUMIFS(Transactions[Amount],Transactions[Custom Category],D108,Transactions[Month],Sel_Month),SUMIFS(Transactions[Amount],Transactions[Name],D108,Transactions[Month],Sel_Month)))</f>
        <v/>
      </c>
      <c r="I108" s="8" t="str">
        <f t="shared" si="1"/>
        <v/>
      </c>
    </row>
    <row r="109" spans="3:9" x14ac:dyDescent="0.3">
      <c r="C109" s="7"/>
      <c r="H109" s="7" t="str" cm="1">
        <f t="array" ref="H109">_xlfn.IFS(D109="","",D109="Grand Total",SUM(H$2:H108),TRUE,IF(COUNTIF(Transactions[Custom Category],D109)&gt;0,SUMIFS(Transactions[Amount],Transactions[Custom Category],D109,Transactions[Month],Sel_Month),SUMIFS(Transactions[Amount],Transactions[Name],D109,Transactions[Month],Sel_Month)))</f>
        <v/>
      </c>
      <c r="I109" s="8" t="str">
        <f t="shared" si="1"/>
        <v/>
      </c>
    </row>
    <row r="110" spans="3:9" x14ac:dyDescent="0.3">
      <c r="C110" s="7"/>
      <c r="H110" s="7" t="str" cm="1">
        <f t="array" ref="H110">_xlfn.IFS(D110="","",D110="Grand Total",SUM(H$2:H109),TRUE,IF(COUNTIF(Transactions[Custom Category],D110)&gt;0,SUMIFS(Transactions[Amount],Transactions[Custom Category],D110,Transactions[Month],Sel_Month),SUMIFS(Transactions[Amount],Transactions[Name],D110,Transactions[Month],Sel_Month)))</f>
        <v/>
      </c>
      <c r="I110" s="8" t="str">
        <f t="shared" si="1"/>
        <v/>
      </c>
    </row>
    <row r="111" spans="3:9" x14ac:dyDescent="0.3">
      <c r="C111" s="7"/>
      <c r="H111" s="7" t="str" cm="1">
        <f t="array" ref="H111">_xlfn.IFS(D111="","",D111="Grand Total",SUM(H$2:H110),TRUE,IF(COUNTIF(Transactions[Custom Category],D111)&gt;0,SUMIFS(Transactions[Amount],Transactions[Custom Category],D111,Transactions[Month],Sel_Month),SUMIFS(Transactions[Amount],Transactions[Name],D111,Transactions[Month],Sel_Month)))</f>
        <v/>
      </c>
      <c r="I111" s="8" t="str">
        <f t="shared" si="1"/>
        <v/>
      </c>
    </row>
    <row r="112" spans="3:9" x14ac:dyDescent="0.3">
      <c r="C112" s="7"/>
      <c r="H112" s="7" t="str" cm="1">
        <f t="array" ref="H112">_xlfn.IFS(D112="","",D112="Grand Total",SUM(H$2:H111),TRUE,IF(COUNTIF(Transactions[Custom Category],D112)&gt;0,SUMIFS(Transactions[Amount],Transactions[Custom Category],D112,Transactions[Month],Sel_Month),SUMIFS(Transactions[Amount],Transactions[Name],D112,Transactions[Month],Sel_Month)))</f>
        <v/>
      </c>
      <c r="I112" s="8" t="str">
        <f t="shared" si="1"/>
        <v/>
      </c>
    </row>
    <row r="113" spans="3:9" x14ac:dyDescent="0.3">
      <c r="C113" s="7"/>
      <c r="H113" s="7" t="str" cm="1">
        <f t="array" ref="H113">_xlfn.IFS(D113="","",D113="Grand Total",SUM(H$2:H112),TRUE,IF(COUNTIF(Transactions[Custom Category],D113)&gt;0,SUMIFS(Transactions[Amount],Transactions[Custom Category],D113,Transactions[Month],Sel_Month),SUMIFS(Transactions[Amount],Transactions[Name],D113,Transactions[Month],Sel_Month)))</f>
        <v/>
      </c>
      <c r="I113" s="8" t="str">
        <f t="shared" si="1"/>
        <v/>
      </c>
    </row>
    <row r="114" spans="3:9" x14ac:dyDescent="0.3">
      <c r="C114" s="7"/>
      <c r="H114" s="7" t="str" cm="1">
        <f t="array" ref="H114">_xlfn.IFS(D114="","",D114="Grand Total",SUM(H$2:H113),TRUE,IF(COUNTIF(Transactions[Custom Category],D114)&gt;0,SUMIFS(Transactions[Amount],Transactions[Custom Category],D114,Transactions[Month],Sel_Month),SUMIFS(Transactions[Amount],Transactions[Name],D114,Transactions[Month],Sel_Month)))</f>
        <v/>
      </c>
      <c r="I114" s="8" t="str">
        <f t="shared" si="1"/>
        <v/>
      </c>
    </row>
    <row r="115" spans="3:9" x14ac:dyDescent="0.3">
      <c r="C115" s="7"/>
      <c r="H115" s="7" t="str" cm="1">
        <f t="array" ref="H115">_xlfn.IFS(D115="","",D115="Grand Total",SUM(H$2:H114),TRUE,IF(COUNTIF(Transactions[Custom Category],D115)&gt;0,SUMIFS(Transactions[Amount],Transactions[Custom Category],D115,Transactions[Month],Sel_Month),SUMIFS(Transactions[Amount],Transactions[Name],D115,Transactions[Month],Sel_Month)))</f>
        <v/>
      </c>
      <c r="I115" s="8" t="str">
        <f t="shared" si="1"/>
        <v/>
      </c>
    </row>
    <row r="116" spans="3:9" x14ac:dyDescent="0.3">
      <c r="C116" s="7"/>
      <c r="H116" s="7" t="str" cm="1">
        <f t="array" ref="H116">_xlfn.IFS(D116="","",D116="Grand Total",SUM(H$2:H115),TRUE,IF(COUNTIF(Transactions[Custom Category],D116)&gt;0,SUMIFS(Transactions[Amount],Transactions[Custom Category],D116,Transactions[Month],Sel_Month),SUMIFS(Transactions[Amount],Transactions[Name],D116,Transactions[Month],Sel_Month)))</f>
        <v/>
      </c>
      <c r="I116" s="8" t="str">
        <f t="shared" si="1"/>
        <v/>
      </c>
    </row>
    <row r="117" spans="3:9" x14ac:dyDescent="0.3">
      <c r="C117" s="7"/>
      <c r="H117" s="7" t="str" cm="1">
        <f t="array" ref="H117">_xlfn.IFS(D117="","",D117="Grand Total",SUM(H$2:H116),TRUE,IF(COUNTIF(Transactions[Custom Category],D117)&gt;0,SUMIFS(Transactions[Amount],Transactions[Custom Category],D117,Transactions[Month],Sel_Month),SUMIFS(Transactions[Amount],Transactions[Name],D117,Transactions[Month],Sel_Month)))</f>
        <v/>
      </c>
      <c r="I117" s="8" t="str">
        <f t="shared" si="1"/>
        <v/>
      </c>
    </row>
    <row r="118" spans="3:9" x14ac:dyDescent="0.3">
      <c r="C118" s="7"/>
      <c r="H118" s="7" t="str" cm="1">
        <f t="array" ref="H118">_xlfn.IFS(D118="","",D118="Grand Total",SUM(H$2:H117),TRUE,IF(COUNTIF(Transactions[Custom Category],D118)&gt;0,SUMIFS(Transactions[Amount],Transactions[Custom Category],D118,Transactions[Month],Sel_Month),SUMIFS(Transactions[Amount],Transactions[Name],D118,Transactions[Month],Sel_Month)))</f>
        <v/>
      </c>
      <c r="I118" s="8" t="str">
        <f t="shared" si="1"/>
        <v/>
      </c>
    </row>
    <row r="119" spans="3:9" x14ac:dyDescent="0.3">
      <c r="C119" s="7"/>
      <c r="H119" s="7" t="str" cm="1">
        <f t="array" ref="H119">_xlfn.IFS(D119="","",D119="Grand Total",SUM(H$2:H118),TRUE,IF(COUNTIF(Transactions[Custom Category],D119)&gt;0,SUMIFS(Transactions[Amount],Transactions[Custom Category],D119,Transactions[Month],Sel_Month),SUMIFS(Transactions[Amount],Transactions[Name],D119,Transactions[Month],Sel_Month)))</f>
        <v/>
      </c>
      <c r="I119" s="8" t="str">
        <f t="shared" si="1"/>
        <v/>
      </c>
    </row>
    <row r="120" spans="3:9" x14ac:dyDescent="0.3">
      <c r="C120" s="7"/>
      <c r="H120" s="7" t="str" cm="1">
        <f t="array" ref="H120">_xlfn.IFS(D120="","",D120="Grand Total",SUM(H$2:H119),TRUE,IF(COUNTIF(Transactions[Custom Category],D120)&gt;0,SUMIFS(Transactions[Amount],Transactions[Custom Category],D120,Transactions[Month],Sel_Month),SUMIFS(Transactions[Amount],Transactions[Name],D120,Transactions[Month],Sel_Month)))</f>
        <v/>
      </c>
      <c r="I120" s="8" t="str">
        <f t="shared" si="1"/>
        <v/>
      </c>
    </row>
    <row r="121" spans="3:9" x14ac:dyDescent="0.3">
      <c r="C121" s="7"/>
      <c r="H121" s="7" t="str" cm="1">
        <f t="array" ref="H121">_xlfn.IFS(D121="","",D121="Grand Total",SUM(H$2:H120),TRUE,IF(COUNTIF(Transactions[Custom Category],D121)&gt;0,SUMIFS(Transactions[Amount],Transactions[Custom Category],D121,Transactions[Month],Sel_Month),SUMIFS(Transactions[Amount],Transactions[Name],D121,Transactions[Month],Sel_Month)))</f>
        <v/>
      </c>
      <c r="I121" s="8" t="str">
        <f t="shared" si="1"/>
        <v/>
      </c>
    </row>
    <row r="122" spans="3:9" x14ac:dyDescent="0.3">
      <c r="C122" s="7"/>
      <c r="H122" s="7" t="str" cm="1">
        <f t="array" ref="H122">_xlfn.IFS(D122="","",D122="Grand Total",SUM(H$2:H121),TRUE,IF(COUNTIF(Transactions[Custom Category],D122)&gt;0,SUMIFS(Transactions[Amount],Transactions[Custom Category],D122,Transactions[Month],Sel_Month),SUMIFS(Transactions[Amount],Transactions[Name],D122,Transactions[Month],Sel_Month)))</f>
        <v/>
      </c>
      <c r="I122" s="8" t="str">
        <f t="shared" si="1"/>
        <v/>
      </c>
    </row>
    <row r="123" spans="3:9" x14ac:dyDescent="0.3">
      <c r="C123" s="7"/>
      <c r="H123" s="7" t="str" cm="1">
        <f t="array" ref="H123">_xlfn.IFS(D123="","",D123="Grand Total",SUM(H$2:H122),TRUE,IF(COUNTIF(Transactions[Custom Category],D123)&gt;0,SUMIFS(Transactions[Amount],Transactions[Custom Category],D123,Transactions[Month],Sel_Month),SUMIFS(Transactions[Amount],Transactions[Name],D123,Transactions[Month],Sel_Month)))</f>
        <v/>
      </c>
      <c r="I123" s="8" t="str">
        <f t="shared" si="1"/>
        <v/>
      </c>
    </row>
    <row r="124" spans="3:9" x14ac:dyDescent="0.3">
      <c r="C124" s="7"/>
      <c r="H124" s="7" t="str" cm="1">
        <f t="array" ref="H124">_xlfn.IFS(D124="","",D124="Grand Total",SUM(H$2:H123),TRUE,IF(COUNTIF(Transactions[Custom Category],D124)&gt;0,SUMIFS(Transactions[Amount],Transactions[Custom Category],D124,Transactions[Month],Sel_Month),SUMIFS(Transactions[Amount],Transactions[Name],D124,Transactions[Month],Sel_Month)))</f>
        <v/>
      </c>
      <c r="I124" s="8" t="str">
        <f t="shared" si="1"/>
        <v/>
      </c>
    </row>
    <row r="125" spans="3:9" x14ac:dyDescent="0.3">
      <c r="C125" s="7"/>
      <c r="H125" s="7" t="str" cm="1">
        <f t="array" ref="H125">_xlfn.IFS(D125="","",D125="Grand Total",SUM(H$2:H124),TRUE,IF(COUNTIF(Transactions[Custom Category],D125)&gt;0,SUMIFS(Transactions[Amount],Transactions[Custom Category],D125,Transactions[Month],Sel_Month),SUMIFS(Transactions[Amount],Transactions[Name],D125,Transactions[Month],Sel_Month)))</f>
        <v/>
      </c>
      <c r="I125" s="8" t="str">
        <f t="shared" si="1"/>
        <v/>
      </c>
    </row>
    <row r="126" spans="3:9" x14ac:dyDescent="0.3">
      <c r="C126" s="7"/>
      <c r="H126" s="7" t="str" cm="1">
        <f t="array" ref="H126">_xlfn.IFS(D126="","",D126="Grand Total",SUM(H$2:H125),TRUE,IF(COUNTIF(Transactions[Custom Category],D126)&gt;0,SUMIFS(Transactions[Amount],Transactions[Custom Category],D126,Transactions[Month],Sel_Month),SUMIFS(Transactions[Amount],Transactions[Name],D126,Transactions[Month],Sel_Month)))</f>
        <v/>
      </c>
      <c r="I126" s="8" t="str">
        <f t="shared" si="1"/>
        <v/>
      </c>
    </row>
    <row r="127" spans="3:9" x14ac:dyDescent="0.3">
      <c r="C127" s="7"/>
      <c r="H127" s="7" t="str" cm="1">
        <f t="array" ref="H127">_xlfn.IFS(D127="","",D127="Grand Total",SUM(H$2:H126),TRUE,IF(COUNTIF(Transactions[Custom Category],D127)&gt;0,SUMIFS(Transactions[Amount],Transactions[Custom Category],D127,Transactions[Month],Sel_Month),SUMIFS(Transactions[Amount],Transactions[Name],D127,Transactions[Month],Sel_Month)))</f>
        <v/>
      </c>
      <c r="I127" s="8" t="str">
        <f t="shared" si="1"/>
        <v/>
      </c>
    </row>
    <row r="128" spans="3:9" x14ac:dyDescent="0.3">
      <c r="C128" s="7"/>
      <c r="H128" s="7" t="str" cm="1">
        <f t="array" ref="H128">_xlfn.IFS(D128="","",D128="Grand Total",SUM(H$2:H127),TRUE,IF(COUNTIF(Transactions[Custom Category],D128)&gt;0,SUMIFS(Transactions[Amount],Transactions[Custom Category],D128,Transactions[Month],Sel_Month),SUMIFS(Transactions[Amount],Transactions[Name],D128,Transactions[Month],Sel_Month)))</f>
        <v/>
      </c>
      <c r="I128" s="8" t="str">
        <f t="shared" si="1"/>
        <v/>
      </c>
    </row>
    <row r="129" spans="3:9" x14ac:dyDescent="0.3">
      <c r="C129" s="7"/>
      <c r="H129" s="7" t="str" cm="1">
        <f t="array" ref="H129">_xlfn.IFS(D129="","",D129="Grand Total",SUM(H$2:H128),TRUE,IF(COUNTIF(Transactions[Custom Category],D129)&gt;0,SUMIFS(Transactions[Amount],Transactions[Custom Category],D129,Transactions[Month],Sel_Month),SUMIFS(Transactions[Amount],Transactions[Name],D129,Transactions[Month],Sel_Month)))</f>
        <v/>
      </c>
      <c r="I129" s="8" t="str">
        <f t="shared" si="1"/>
        <v/>
      </c>
    </row>
    <row r="130" spans="3:9" x14ac:dyDescent="0.3">
      <c r="C130" s="7"/>
      <c r="H130" s="7" t="str" cm="1">
        <f t="array" ref="H130">_xlfn.IFS(D130="","",D130="Grand Total",SUM(H$2:H129),TRUE,IF(COUNTIF(Transactions[Custom Category],D130)&gt;0,SUMIFS(Transactions[Amount],Transactions[Custom Category],D130,Transactions[Month],Sel_Month),SUMIFS(Transactions[Amount],Transactions[Name],D130,Transactions[Month],Sel_Month)))</f>
        <v/>
      </c>
      <c r="I130" s="8" t="str">
        <f t="shared" si="1"/>
        <v/>
      </c>
    </row>
    <row r="131" spans="3:9" x14ac:dyDescent="0.3">
      <c r="C131" s="7"/>
      <c r="H131" s="7" t="str" cm="1">
        <f t="array" ref="H131">_xlfn.IFS(D131="","",D131="Grand Total",SUM(H$2:H130),TRUE,IF(COUNTIF(Transactions[Custom Category],D131)&gt;0,SUMIFS(Transactions[Amount],Transactions[Custom Category],D131,Transactions[Month],Sel_Month),SUMIFS(Transactions[Amount],Transactions[Name],D131,Transactions[Month],Sel_Month)))</f>
        <v/>
      </c>
      <c r="I131" s="8" t="str">
        <f t="shared" si="1"/>
        <v/>
      </c>
    </row>
    <row r="132" spans="3:9" x14ac:dyDescent="0.3">
      <c r="C132" s="7"/>
      <c r="H132" s="7" t="str" cm="1">
        <f t="array" ref="H132">_xlfn.IFS(D132="","",D132="Grand Total",SUM(H$2:H131),TRUE,IF(COUNTIF(Transactions[Custom Category],D132)&gt;0,SUMIFS(Transactions[Amount],Transactions[Custom Category],D132,Transactions[Month],Sel_Month),SUMIFS(Transactions[Amount],Transactions[Name],D132,Transactions[Month],Sel_Month)))</f>
        <v/>
      </c>
      <c r="I132" s="8" t="str">
        <f t="shared" ref="I132:I195" si="2">IF(F132="","",IF(F132=0,0,1-((F132-H132)/F132)))</f>
        <v/>
      </c>
    </row>
    <row r="133" spans="3:9" x14ac:dyDescent="0.3">
      <c r="C133" s="7"/>
      <c r="H133" s="7" t="str" cm="1">
        <f t="array" ref="H133">_xlfn.IFS(D133="","",D133="Grand Total",SUM(H$2:H132),TRUE,IF(COUNTIF(Transactions[Custom Category],D133)&gt;0,SUMIFS(Transactions[Amount],Transactions[Custom Category],D133,Transactions[Month],Sel_Month),SUMIFS(Transactions[Amount],Transactions[Name],D133,Transactions[Month],Sel_Month)))</f>
        <v/>
      </c>
      <c r="I133" s="8" t="str">
        <f t="shared" si="2"/>
        <v/>
      </c>
    </row>
    <row r="134" spans="3:9" x14ac:dyDescent="0.3">
      <c r="C134" s="7"/>
      <c r="H134" s="7" t="str" cm="1">
        <f t="array" ref="H134">_xlfn.IFS(D134="","",D134="Grand Total",SUM(H$2:H133),TRUE,IF(COUNTIF(Transactions[Custom Category],D134)&gt;0,SUMIFS(Transactions[Amount],Transactions[Custom Category],D134,Transactions[Month],Sel_Month),SUMIFS(Transactions[Amount],Transactions[Name],D134,Transactions[Month],Sel_Month)))</f>
        <v/>
      </c>
      <c r="I134" s="8" t="str">
        <f t="shared" si="2"/>
        <v/>
      </c>
    </row>
    <row r="135" spans="3:9" x14ac:dyDescent="0.3">
      <c r="C135" s="7"/>
      <c r="H135" s="7" t="str" cm="1">
        <f t="array" ref="H135">_xlfn.IFS(D135="","",D135="Grand Total",SUM(H$2:H134),TRUE,IF(COUNTIF(Transactions[Custom Category],D135)&gt;0,SUMIFS(Transactions[Amount],Transactions[Custom Category],D135,Transactions[Month],Sel_Month),SUMIFS(Transactions[Amount],Transactions[Name],D135,Transactions[Month],Sel_Month)))</f>
        <v/>
      </c>
      <c r="I135" s="8" t="str">
        <f t="shared" si="2"/>
        <v/>
      </c>
    </row>
    <row r="136" spans="3:9" x14ac:dyDescent="0.3">
      <c r="C136" s="7"/>
      <c r="H136" s="7" t="str" cm="1">
        <f t="array" ref="H136">_xlfn.IFS(D136="","",D136="Grand Total",SUM(H$2:H135),TRUE,IF(COUNTIF(Transactions[Custom Category],D136)&gt;0,SUMIFS(Transactions[Amount],Transactions[Custom Category],D136,Transactions[Month],Sel_Month),SUMIFS(Transactions[Amount],Transactions[Name],D136,Transactions[Month],Sel_Month)))</f>
        <v/>
      </c>
      <c r="I136" s="8" t="str">
        <f t="shared" si="2"/>
        <v/>
      </c>
    </row>
    <row r="137" spans="3:9" x14ac:dyDescent="0.3">
      <c r="C137" s="7"/>
      <c r="H137" s="7" t="str" cm="1">
        <f t="array" ref="H137">_xlfn.IFS(D137="","",D137="Grand Total",SUM(H$2:H136),TRUE,IF(COUNTIF(Transactions[Custom Category],D137)&gt;0,SUMIFS(Transactions[Amount],Transactions[Custom Category],D137,Transactions[Month],Sel_Month),SUMIFS(Transactions[Amount],Transactions[Name],D137,Transactions[Month],Sel_Month)))</f>
        <v/>
      </c>
      <c r="I137" s="8" t="str">
        <f t="shared" si="2"/>
        <v/>
      </c>
    </row>
    <row r="138" spans="3:9" x14ac:dyDescent="0.3">
      <c r="C138" s="7"/>
      <c r="H138" s="7" t="str" cm="1">
        <f t="array" ref="H138">_xlfn.IFS(D138="","",D138="Grand Total",SUM(H$2:H137),TRUE,IF(COUNTIF(Transactions[Custom Category],D138)&gt;0,SUMIFS(Transactions[Amount],Transactions[Custom Category],D138,Transactions[Month],Sel_Month),SUMIFS(Transactions[Amount],Transactions[Name],D138,Transactions[Month],Sel_Month)))</f>
        <v/>
      </c>
      <c r="I138" s="8" t="str">
        <f t="shared" si="2"/>
        <v/>
      </c>
    </row>
    <row r="139" spans="3:9" x14ac:dyDescent="0.3">
      <c r="C139" s="7"/>
      <c r="H139" s="7" t="str" cm="1">
        <f t="array" ref="H139">_xlfn.IFS(D139="","",D139="Grand Total",SUM(H$2:H138),TRUE,IF(COUNTIF(Transactions[Custom Category],D139)&gt;0,SUMIFS(Transactions[Amount],Transactions[Custom Category],D139,Transactions[Month],Sel_Month),SUMIFS(Transactions[Amount],Transactions[Name],D139,Transactions[Month],Sel_Month)))</f>
        <v/>
      </c>
      <c r="I139" s="8" t="str">
        <f t="shared" si="2"/>
        <v/>
      </c>
    </row>
    <row r="140" spans="3:9" x14ac:dyDescent="0.3">
      <c r="C140" s="7"/>
      <c r="H140" s="7" t="str" cm="1">
        <f t="array" ref="H140">_xlfn.IFS(D140="","",D140="Grand Total",SUM(H$2:H139),TRUE,IF(COUNTIF(Transactions[Custom Category],D140)&gt;0,SUMIFS(Transactions[Amount],Transactions[Custom Category],D140,Transactions[Month],Sel_Month),SUMIFS(Transactions[Amount],Transactions[Name],D140,Transactions[Month],Sel_Month)))</f>
        <v/>
      </c>
      <c r="I140" s="8" t="str">
        <f t="shared" si="2"/>
        <v/>
      </c>
    </row>
    <row r="141" spans="3:9" x14ac:dyDescent="0.3">
      <c r="C141" s="7"/>
      <c r="H141" s="7" t="str" cm="1">
        <f t="array" ref="H141">_xlfn.IFS(D141="","",D141="Grand Total",SUM(H$2:H140),TRUE,IF(COUNTIF(Transactions[Custom Category],D141)&gt;0,SUMIFS(Transactions[Amount],Transactions[Custom Category],D141,Transactions[Month],Sel_Month),SUMIFS(Transactions[Amount],Transactions[Name],D141,Transactions[Month],Sel_Month)))</f>
        <v/>
      </c>
      <c r="I141" s="8" t="str">
        <f t="shared" si="2"/>
        <v/>
      </c>
    </row>
    <row r="142" spans="3:9" x14ac:dyDescent="0.3">
      <c r="C142" s="7"/>
      <c r="H142" s="7" t="str" cm="1">
        <f t="array" ref="H142">_xlfn.IFS(D142="","",D142="Grand Total",SUM(H$2:H141),TRUE,IF(COUNTIF(Transactions[Custom Category],D142)&gt;0,SUMIFS(Transactions[Amount],Transactions[Custom Category],D142,Transactions[Month],Sel_Month),SUMIFS(Transactions[Amount],Transactions[Name],D142,Transactions[Month],Sel_Month)))</f>
        <v/>
      </c>
      <c r="I142" s="8" t="str">
        <f t="shared" si="2"/>
        <v/>
      </c>
    </row>
    <row r="143" spans="3:9" x14ac:dyDescent="0.3">
      <c r="C143" s="7"/>
      <c r="H143" s="7" t="str" cm="1">
        <f t="array" ref="H143">_xlfn.IFS(D143="","",D143="Grand Total",SUM(H$2:H142),TRUE,IF(COUNTIF(Transactions[Custom Category],D143)&gt;0,SUMIFS(Transactions[Amount],Transactions[Custom Category],D143,Transactions[Month],Sel_Month),SUMIFS(Transactions[Amount],Transactions[Name],D143,Transactions[Month],Sel_Month)))</f>
        <v/>
      </c>
      <c r="I143" s="8" t="str">
        <f t="shared" si="2"/>
        <v/>
      </c>
    </row>
    <row r="144" spans="3:9" x14ac:dyDescent="0.3">
      <c r="C144" s="7"/>
      <c r="H144" s="7" t="str" cm="1">
        <f t="array" ref="H144">_xlfn.IFS(D144="","",D144="Grand Total",SUM(H$2:H143),TRUE,IF(COUNTIF(Transactions[Custom Category],D144)&gt;0,SUMIFS(Transactions[Amount],Transactions[Custom Category],D144,Transactions[Month],Sel_Month),SUMIFS(Transactions[Amount],Transactions[Name],D144,Transactions[Month],Sel_Month)))</f>
        <v/>
      </c>
      <c r="I144" s="8" t="str">
        <f t="shared" si="2"/>
        <v/>
      </c>
    </row>
    <row r="145" spans="3:9" x14ac:dyDescent="0.3">
      <c r="C145" s="7"/>
      <c r="H145" s="7" t="str" cm="1">
        <f t="array" ref="H145">_xlfn.IFS(D145="","",D145="Grand Total",SUM(H$2:H144),TRUE,IF(COUNTIF(Transactions[Custom Category],D145)&gt;0,SUMIFS(Transactions[Amount],Transactions[Custom Category],D145,Transactions[Month],Sel_Month),SUMIFS(Transactions[Amount],Transactions[Name],D145,Transactions[Month],Sel_Month)))</f>
        <v/>
      </c>
      <c r="I145" s="8" t="str">
        <f t="shared" si="2"/>
        <v/>
      </c>
    </row>
    <row r="146" spans="3:9" x14ac:dyDescent="0.3">
      <c r="C146" s="7"/>
      <c r="H146" s="7" t="str" cm="1">
        <f t="array" ref="H146">_xlfn.IFS(D146="","",D146="Grand Total",SUM(H$2:H145),TRUE,IF(COUNTIF(Transactions[Custom Category],D146)&gt;0,SUMIFS(Transactions[Amount],Transactions[Custom Category],D146,Transactions[Month],Sel_Month),SUMIFS(Transactions[Amount],Transactions[Name],D146,Transactions[Month],Sel_Month)))</f>
        <v/>
      </c>
      <c r="I146" s="8" t="str">
        <f t="shared" si="2"/>
        <v/>
      </c>
    </row>
    <row r="147" spans="3:9" x14ac:dyDescent="0.3">
      <c r="C147" s="7"/>
      <c r="H147" s="7" t="str" cm="1">
        <f t="array" ref="H147">_xlfn.IFS(D147="","",D147="Grand Total",SUM(H$2:H146),TRUE,IF(COUNTIF(Transactions[Custom Category],D147)&gt;0,SUMIFS(Transactions[Amount],Transactions[Custom Category],D147,Transactions[Month],Sel_Month),SUMIFS(Transactions[Amount],Transactions[Name],D147,Transactions[Month],Sel_Month)))</f>
        <v/>
      </c>
      <c r="I147" s="8" t="str">
        <f t="shared" si="2"/>
        <v/>
      </c>
    </row>
    <row r="148" spans="3:9" x14ac:dyDescent="0.3">
      <c r="C148" s="7"/>
      <c r="H148" s="7" t="str" cm="1">
        <f t="array" ref="H148">_xlfn.IFS(D148="","",D148="Grand Total",SUM(H$2:H147),TRUE,IF(COUNTIF(Transactions[Custom Category],D148)&gt;0,SUMIFS(Transactions[Amount],Transactions[Custom Category],D148,Transactions[Month],Sel_Month),SUMIFS(Transactions[Amount],Transactions[Name],D148,Transactions[Month],Sel_Month)))</f>
        <v/>
      </c>
      <c r="I148" s="8" t="str">
        <f t="shared" si="2"/>
        <v/>
      </c>
    </row>
    <row r="149" spans="3:9" x14ac:dyDescent="0.3">
      <c r="C149" s="7"/>
      <c r="H149" s="7" t="str" cm="1">
        <f t="array" ref="H149">_xlfn.IFS(D149="","",D149="Grand Total",SUM(H$2:H148),TRUE,IF(COUNTIF(Transactions[Custom Category],D149)&gt;0,SUMIFS(Transactions[Amount],Transactions[Custom Category],D149,Transactions[Month],Sel_Month),SUMIFS(Transactions[Amount],Transactions[Name],D149,Transactions[Month],Sel_Month)))</f>
        <v/>
      </c>
      <c r="I149" s="8" t="str">
        <f t="shared" si="2"/>
        <v/>
      </c>
    </row>
    <row r="150" spans="3:9" x14ac:dyDescent="0.3">
      <c r="C150" s="7"/>
      <c r="H150" s="7" t="str" cm="1">
        <f t="array" ref="H150">_xlfn.IFS(D150="","",D150="Grand Total",SUM(H$2:H149),TRUE,IF(COUNTIF(Transactions[Custom Category],D150)&gt;0,SUMIFS(Transactions[Amount],Transactions[Custom Category],D150,Transactions[Month],Sel_Month),SUMIFS(Transactions[Amount],Transactions[Name],D150,Transactions[Month],Sel_Month)))</f>
        <v/>
      </c>
      <c r="I150" s="8" t="str">
        <f t="shared" si="2"/>
        <v/>
      </c>
    </row>
    <row r="151" spans="3:9" x14ac:dyDescent="0.3">
      <c r="C151" s="7"/>
      <c r="H151" s="7" t="str" cm="1">
        <f t="array" ref="H151">_xlfn.IFS(D151="","",D151="Grand Total",SUM(H$2:H150),TRUE,IF(COUNTIF(Transactions[Custom Category],D151)&gt;0,SUMIFS(Transactions[Amount],Transactions[Custom Category],D151,Transactions[Month],Sel_Month),SUMIFS(Transactions[Amount],Transactions[Name],D151,Transactions[Month],Sel_Month)))</f>
        <v/>
      </c>
      <c r="I151" s="8" t="str">
        <f t="shared" si="2"/>
        <v/>
      </c>
    </row>
    <row r="152" spans="3:9" x14ac:dyDescent="0.3">
      <c r="C152" s="7"/>
      <c r="H152" s="7" t="str" cm="1">
        <f t="array" ref="H152">_xlfn.IFS(D152="","",D152="Grand Total",SUM(H$2:H151),TRUE,IF(COUNTIF(Transactions[Custom Category],D152)&gt;0,SUMIFS(Transactions[Amount],Transactions[Custom Category],D152,Transactions[Month],Sel_Month),SUMIFS(Transactions[Amount],Transactions[Name],D152,Transactions[Month],Sel_Month)))</f>
        <v/>
      </c>
      <c r="I152" s="8" t="str">
        <f t="shared" si="2"/>
        <v/>
      </c>
    </row>
    <row r="153" spans="3:9" x14ac:dyDescent="0.3">
      <c r="C153" s="7"/>
      <c r="H153" s="7" t="str" cm="1">
        <f t="array" ref="H153">_xlfn.IFS(D153="","",D153="Grand Total",SUM(H$2:H152),TRUE,IF(COUNTIF(Transactions[Custom Category],D153)&gt;0,SUMIFS(Transactions[Amount],Transactions[Custom Category],D153,Transactions[Month],Sel_Month),SUMIFS(Transactions[Amount],Transactions[Name],D153,Transactions[Month],Sel_Month)))</f>
        <v/>
      </c>
      <c r="I153" s="8" t="str">
        <f t="shared" si="2"/>
        <v/>
      </c>
    </row>
    <row r="154" spans="3:9" x14ac:dyDescent="0.3">
      <c r="C154" s="7"/>
      <c r="H154" s="7" t="str" cm="1">
        <f t="array" ref="H154">_xlfn.IFS(D154="","",D154="Grand Total",SUM(H$2:H153),TRUE,IF(COUNTIF(Transactions[Custom Category],D154)&gt;0,SUMIFS(Transactions[Amount],Transactions[Custom Category],D154,Transactions[Month],Sel_Month),SUMIFS(Transactions[Amount],Transactions[Name],D154,Transactions[Month],Sel_Month)))</f>
        <v/>
      </c>
      <c r="I154" s="8" t="str">
        <f t="shared" si="2"/>
        <v/>
      </c>
    </row>
    <row r="155" spans="3:9" x14ac:dyDescent="0.3">
      <c r="C155" s="7"/>
      <c r="H155" s="7" t="str" cm="1">
        <f t="array" ref="H155">_xlfn.IFS(D155="","",D155="Grand Total",SUM(H$2:H154),TRUE,IF(COUNTIF(Transactions[Custom Category],D155)&gt;0,SUMIFS(Transactions[Amount],Transactions[Custom Category],D155,Transactions[Month],Sel_Month),SUMIFS(Transactions[Amount],Transactions[Name],D155,Transactions[Month],Sel_Month)))</f>
        <v/>
      </c>
      <c r="I155" s="8" t="str">
        <f t="shared" si="2"/>
        <v/>
      </c>
    </row>
    <row r="156" spans="3:9" x14ac:dyDescent="0.3">
      <c r="C156" s="7"/>
      <c r="H156" s="7" t="str" cm="1">
        <f t="array" ref="H156">_xlfn.IFS(D156="","",D156="Grand Total",SUM(H$2:H155),TRUE,IF(COUNTIF(Transactions[Custom Category],D156)&gt;0,SUMIFS(Transactions[Amount],Transactions[Custom Category],D156,Transactions[Month],Sel_Month),SUMIFS(Transactions[Amount],Transactions[Name],D156,Transactions[Month],Sel_Month)))</f>
        <v/>
      </c>
      <c r="I156" s="8" t="str">
        <f t="shared" si="2"/>
        <v/>
      </c>
    </row>
    <row r="157" spans="3:9" x14ac:dyDescent="0.3">
      <c r="C157" s="7"/>
      <c r="H157" s="7" t="str" cm="1">
        <f t="array" ref="H157">_xlfn.IFS(D157="","",D157="Grand Total",SUM(H$2:H156),TRUE,IF(COUNTIF(Transactions[Custom Category],D157)&gt;0,SUMIFS(Transactions[Amount],Transactions[Custom Category],D157,Transactions[Month],Sel_Month),SUMIFS(Transactions[Amount],Transactions[Name],D157,Transactions[Month],Sel_Month)))</f>
        <v/>
      </c>
      <c r="I157" s="8" t="str">
        <f t="shared" si="2"/>
        <v/>
      </c>
    </row>
    <row r="158" spans="3:9" x14ac:dyDescent="0.3">
      <c r="C158" s="7"/>
      <c r="H158" s="7" t="str" cm="1">
        <f t="array" ref="H158">_xlfn.IFS(D158="","",D158="Grand Total",SUM(H$2:H157),TRUE,IF(COUNTIF(Transactions[Custom Category],D158)&gt;0,SUMIFS(Transactions[Amount],Transactions[Custom Category],D158,Transactions[Month],Sel_Month),SUMIFS(Transactions[Amount],Transactions[Name],D158,Transactions[Month],Sel_Month)))</f>
        <v/>
      </c>
      <c r="I158" s="8" t="str">
        <f t="shared" si="2"/>
        <v/>
      </c>
    </row>
    <row r="159" spans="3:9" x14ac:dyDescent="0.3">
      <c r="C159" s="7"/>
      <c r="H159" s="7" t="str" cm="1">
        <f t="array" ref="H159">_xlfn.IFS(D159="","",D159="Grand Total",SUM(H$2:H158),TRUE,IF(COUNTIF(Transactions[Custom Category],D159)&gt;0,SUMIFS(Transactions[Amount],Transactions[Custom Category],D159,Transactions[Month],Sel_Month),SUMIFS(Transactions[Amount],Transactions[Name],D159,Transactions[Month],Sel_Month)))</f>
        <v/>
      </c>
      <c r="I159" s="8" t="str">
        <f t="shared" si="2"/>
        <v/>
      </c>
    </row>
    <row r="160" spans="3:9" x14ac:dyDescent="0.3">
      <c r="C160" s="7"/>
      <c r="H160" s="7" t="str" cm="1">
        <f t="array" ref="H160">_xlfn.IFS(D160="","",D160="Grand Total",SUM(H$2:H159),TRUE,IF(COUNTIF(Transactions[Custom Category],D160)&gt;0,SUMIFS(Transactions[Amount],Transactions[Custom Category],D160,Transactions[Month],Sel_Month),SUMIFS(Transactions[Amount],Transactions[Name],D160,Transactions[Month],Sel_Month)))</f>
        <v/>
      </c>
      <c r="I160" s="8" t="str">
        <f t="shared" si="2"/>
        <v/>
      </c>
    </row>
    <row r="161" spans="3:9" x14ac:dyDescent="0.3">
      <c r="C161" s="7"/>
      <c r="H161" s="7" t="str" cm="1">
        <f t="array" ref="H161">_xlfn.IFS(D161="","",D161="Grand Total",SUM(H$2:H160),TRUE,IF(COUNTIF(Transactions[Custom Category],D161)&gt;0,SUMIFS(Transactions[Amount],Transactions[Custom Category],D161,Transactions[Month],Sel_Month),SUMIFS(Transactions[Amount],Transactions[Name],D161,Transactions[Month],Sel_Month)))</f>
        <v/>
      </c>
      <c r="I161" s="8" t="str">
        <f t="shared" si="2"/>
        <v/>
      </c>
    </row>
    <row r="162" spans="3:9" x14ac:dyDescent="0.3">
      <c r="C162" s="7"/>
      <c r="H162" s="7" t="str" cm="1">
        <f t="array" ref="H162">_xlfn.IFS(D162="","",D162="Grand Total",SUM(H$2:H161),TRUE,IF(COUNTIF(Transactions[Custom Category],D162)&gt;0,SUMIFS(Transactions[Amount],Transactions[Custom Category],D162,Transactions[Month],Sel_Month),SUMIFS(Transactions[Amount],Transactions[Name],D162,Transactions[Month],Sel_Month)))</f>
        <v/>
      </c>
      <c r="I162" s="8" t="str">
        <f t="shared" si="2"/>
        <v/>
      </c>
    </row>
    <row r="163" spans="3:9" x14ac:dyDescent="0.3">
      <c r="C163" s="7"/>
      <c r="H163" s="7" t="str" cm="1">
        <f t="array" ref="H163">_xlfn.IFS(D163="","",D163="Grand Total",SUM(H$2:H162),TRUE,IF(COUNTIF(Transactions[Custom Category],D163)&gt;0,SUMIFS(Transactions[Amount],Transactions[Custom Category],D163,Transactions[Month],Sel_Month),SUMIFS(Transactions[Amount],Transactions[Name],D163,Transactions[Month],Sel_Month)))</f>
        <v/>
      </c>
      <c r="I163" s="8" t="str">
        <f t="shared" si="2"/>
        <v/>
      </c>
    </row>
    <row r="164" spans="3:9" x14ac:dyDescent="0.3">
      <c r="C164" s="7"/>
      <c r="H164" s="7" t="str" cm="1">
        <f t="array" ref="H164">_xlfn.IFS(D164="","",D164="Grand Total",SUM(H$2:H163),TRUE,IF(COUNTIF(Transactions[Custom Category],D164)&gt;0,SUMIFS(Transactions[Amount],Transactions[Custom Category],D164,Transactions[Month],Sel_Month),SUMIFS(Transactions[Amount],Transactions[Name],D164,Transactions[Month],Sel_Month)))</f>
        <v/>
      </c>
      <c r="I164" s="8" t="str">
        <f t="shared" si="2"/>
        <v/>
      </c>
    </row>
    <row r="165" spans="3:9" x14ac:dyDescent="0.3">
      <c r="C165" s="7"/>
      <c r="H165" s="7" t="str" cm="1">
        <f t="array" ref="H165">_xlfn.IFS(D165="","",D165="Grand Total",SUM(H$2:H164),TRUE,IF(COUNTIF(Transactions[Custom Category],D165)&gt;0,SUMIFS(Transactions[Amount],Transactions[Custom Category],D165,Transactions[Month],Sel_Month),SUMIFS(Transactions[Amount],Transactions[Name],D165,Transactions[Month],Sel_Month)))</f>
        <v/>
      </c>
      <c r="I165" s="8" t="str">
        <f t="shared" si="2"/>
        <v/>
      </c>
    </row>
    <row r="166" spans="3:9" x14ac:dyDescent="0.3">
      <c r="C166" s="7"/>
      <c r="H166" s="7" t="str" cm="1">
        <f t="array" ref="H166">_xlfn.IFS(D166="","",D166="Grand Total",SUM(H$2:H165),TRUE,IF(COUNTIF(Transactions[Custom Category],D166)&gt;0,SUMIFS(Transactions[Amount],Transactions[Custom Category],D166,Transactions[Month],Sel_Month),SUMIFS(Transactions[Amount],Transactions[Name],D166,Transactions[Month],Sel_Month)))</f>
        <v/>
      </c>
      <c r="I166" s="8" t="str">
        <f t="shared" si="2"/>
        <v/>
      </c>
    </row>
    <row r="167" spans="3:9" x14ac:dyDescent="0.3">
      <c r="C167" s="7"/>
      <c r="H167" s="7" t="str" cm="1">
        <f t="array" ref="H167">_xlfn.IFS(D167="","",D167="Grand Total",SUM(H$2:H166),TRUE,IF(COUNTIF(Transactions[Custom Category],D167)&gt;0,SUMIFS(Transactions[Amount],Transactions[Custom Category],D167,Transactions[Month],Sel_Month),SUMIFS(Transactions[Amount],Transactions[Name],D167,Transactions[Month],Sel_Month)))</f>
        <v/>
      </c>
      <c r="I167" s="8" t="str">
        <f t="shared" si="2"/>
        <v/>
      </c>
    </row>
    <row r="168" spans="3:9" x14ac:dyDescent="0.3">
      <c r="C168" s="7"/>
      <c r="H168" s="7" t="str" cm="1">
        <f t="array" ref="H168">_xlfn.IFS(D168="","",D168="Grand Total",SUM(H$2:H167),TRUE,IF(COUNTIF(Transactions[Custom Category],D168)&gt;0,SUMIFS(Transactions[Amount],Transactions[Custom Category],D168,Transactions[Month],Sel_Month),SUMIFS(Transactions[Amount],Transactions[Name],D168,Transactions[Month],Sel_Month)))</f>
        <v/>
      </c>
      <c r="I168" s="8" t="str">
        <f t="shared" si="2"/>
        <v/>
      </c>
    </row>
    <row r="169" spans="3:9" x14ac:dyDescent="0.3">
      <c r="C169" s="7"/>
      <c r="H169" s="7" t="str" cm="1">
        <f t="array" ref="H169">_xlfn.IFS(D169="","",D169="Grand Total",SUM(H$2:H168),TRUE,IF(COUNTIF(Transactions[Custom Category],D169)&gt;0,SUMIFS(Transactions[Amount],Transactions[Custom Category],D169,Transactions[Month],Sel_Month),SUMIFS(Transactions[Amount],Transactions[Name],D169,Transactions[Month],Sel_Month)))</f>
        <v/>
      </c>
      <c r="I169" s="8" t="str">
        <f t="shared" si="2"/>
        <v/>
      </c>
    </row>
    <row r="170" spans="3:9" x14ac:dyDescent="0.3">
      <c r="C170" s="7"/>
      <c r="H170" s="7" t="str" cm="1">
        <f t="array" ref="H170">_xlfn.IFS(D170="","",D170="Grand Total",SUM(H$2:H169),TRUE,IF(COUNTIF(Transactions[Custom Category],D170)&gt;0,SUMIFS(Transactions[Amount],Transactions[Custom Category],D170,Transactions[Month],Sel_Month),SUMIFS(Transactions[Amount],Transactions[Name],D170,Transactions[Month],Sel_Month)))</f>
        <v/>
      </c>
      <c r="I170" s="8" t="str">
        <f t="shared" si="2"/>
        <v/>
      </c>
    </row>
    <row r="171" spans="3:9" x14ac:dyDescent="0.3">
      <c r="C171" s="7"/>
      <c r="H171" s="7" t="str" cm="1">
        <f t="array" ref="H171">_xlfn.IFS(D171="","",D171="Grand Total",SUM(H$2:H170),TRUE,IF(COUNTIF(Transactions[Custom Category],D171)&gt;0,SUMIFS(Transactions[Amount],Transactions[Custom Category],D171,Transactions[Month],Sel_Month),SUMIFS(Transactions[Amount],Transactions[Name],D171,Transactions[Month],Sel_Month)))</f>
        <v/>
      </c>
      <c r="I171" s="8" t="str">
        <f t="shared" si="2"/>
        <v/>
      </c>
    </row>
    <row r="172" spans="3:9" x14ac:dyDescent="0.3">
      <c r="C172" s="7"/>
      <c r="H172" s="7" t="str" cm="1">
        <f t="array" ref="H172">_xlfn.IFS(D172="","",D172="Grand Total",SUM(H$2:H171),TRUE,IF(COUNTIF(Transactions[Custom Category],D172)&gt;0,SUMIFS(Transactions[Amount],Transactions[Custom Category],D172,Transactions[Month],Sel_Month),SUMIFS(Transactions[Amount],Transactions[Name],D172,Transactions[Month],Sel_Month)))</f>
        <v/>
      </c>
      <c r="I172" s="8" t="str">
        <f t="shared" si="2"/>
        <v/>
      </c>
    </row>
    <row r="173" spans="3:9" x14ac:dyDescent="0.3">
      <c r="C173" s="7"/>
      <c r="H173" s="7" t="str" cm="1">
        <f t="array" ref="H173">_xlfn.IFS(D173="","",D173="Grand Total",SUM(H$2:H172),TRUE,IF(COUNTIF(Transactions[Custom Category],D173)&gt;0,SUMIFS(Transactions[Amount],Transactions[Custom Category],D173,Transactions[Month],Sel_Month),SUMIFS(Transactions[Amount],Transactions[Name],D173,Transactions[Month],Sel_Month)))</f>
        <v/>
      </c>
      <c r="I173" s="8" t="str">
        <f t="shared" si="2"/>
        <v/>
      </c>
    </row>
    <row r="174" spans="3:9" x14ac:dyDescent="0.3">
      <c r="C174" s="7"/>
      <c r="H174" s="7" t="str" cm="1">
        <f t="array" ref="H174">_xlfn.IFS(D174="","",D174="Grand Total",SUM(H$2:H173),TRUE,IF(COUNTIF(Transactions[Custom Category],D174)&gt;0,SUMIFS(Transactions[Amount],Transactions[Custom Category],D174,Transactions[Month],Sel_Month),SUMIFS(Transactions[Amount],Transactions[Name],D174,Transactions[Month],Sel_Month)))</f>
        <v/>
      </c>
      <c r="I174" s="8" t="str">
        <f t="shared" si="2"/>
        <v/>
      </c>
    </row>
    <row r="175" spans="3:9" x14ac:dyDescent="0.3">
      <c r="C175" s="7"/>
      <c r="H175" s="7" t="str" cm="1">
        <f t="array" ref="H175">_xlfn.IFS(D175="","",D175="Grand Total",SUM(H$2:H174),TRUE,IF(COUNTIF(Transactions[Custom Category],D175)&gt;0,SUMIFS(Transactions[Amount],Transactions[Custom Category],D175,Transactions[Month],Sel_Month),SUMIFS(Transactions[Amount],Transactions[Name],D175,Transactions[Month],Sel_Month)))</f>
        <v/>
      </c>
      <c r="I175" s="8" t="str">
        <f t="shared" si="2"/>
        <v/>
      </c>
    </row>
    <row r="176" spans="3:9" x14ac:dyDescent="0.3">
      <c r="C176" s="7"/>
      <c r="H176" s="7" t="str" cm="1">
        <f t="array" ref="H176">_xlfn.IFS(D176="","",D176="Grand Total",SUM(H$2:H175),TRUE,IF(COUNTIF(Transactions[Custom Category],D176)&gt;0,SUMIFS(Transactions[Amount],Transactions[Custom Category],D176,Transactions[Month],Sel_Month),SUMIFS(Transactions[Amount],Transactions[Name],D176,Transactions[Month],Sel_Month)))</f>
        <v/>
      </c>
      <c r="I176" s="8" t="str">
        <f t="shared" si="2"/>
        <v/>
      </c>
    </row>
    <row r="177" spans="3:9" x14ac:dyDescent="0.3">
      <c r="C177" s="7"/>
      <c r="H177" s="7" t="str" cm="1">
        <f t="array" ref="H177">_xlfn.IFS(D177="","",D177="Grand Total",SUM(H$2:H176),TRUE,IF(COUNTIF(Transactions[Custom Category],D177)&gt;0,SUMIFS(Transactions[Amount],Transactions[Custom Category],D177,Transactions[Month],Sel_Month),SUMIFS(Transactions[Amount],Transactions[Name],D177,Transactions[Month],Sel_Month)))</f>
        <v/>
      </c>
      <c r="I177" s="8" t="str">
        <f t="shared" si="2"/>
        <v/>
      </c>
    </row>
    <row r="178" spans="3:9" x14ac:dyDescent="0.3">
      <c r="C178" s="7"/>
      <c r="H178" s="7" t="str" cm="1">
        <f t="array" ref="H178">_xlfn.IFS(D178="","",D178="Grand Total",SUM(H$2:H177),TRUE,IF(COUNTIF(Transactions[Custom Category],D178)&gt;0,SUMIFS(Transactions[Amount],Transactions[Custom Category],D178,Transactions[Month],Sel_Month),SUMIFS(Transactions[Amount],Transactions[Name],D178,Transactions[Month],Sel_Month)))</f>
        <v/>
      </c>
      <c r="I178" s="8" t="str">
        <f t="shared" si="2"/>
        <v/>
      </c>
    </row>
    <row r="179" spans="3:9" x14ac:dyDescent="0.3">
      <c r="C179" s="7"/>
      <c r="H179" s="7" t="str" cm="1">
        <f t="array" ref="H179">_xlfn.IFS(D179="","",D179="Grand Total",SUM(H$2:H178),TRUE,IF(COUNTIF(Transactions[Custom Category],D179)&gt;0,SUMIFS(Transactions[Amount],Transactions[Custom Category],D179,Transactions[Month],Sel_Month),SUMIFS(Transactions[Amount],Transactions[Name],D179,Transactions[Month],Sel_Month)))</f>
        <v/>
      </c>
      <c r="I179" s="8" t="str">
        <f t="shared" si="2"/>
        <v/>
      </c>
    </row>
    <row r="180" spans="3:9" x14ac:dyDescent="0.3">
      <c r="C180" s="7"/>
      <c r="H180" s="7" t="str" cm="1">
        <f t="array" ref="H180">_xlfn.IFS(D180="","",D180="Grand Total",SUM(H$2:H179),TRUE,IF(COUNTIF(Transactions[Custom Category],D180)&gt;0,SUMIFS(Transactions[Amount],Transactions[Custom Category],D180,Transactions[Month],Sel_Month),SUMIFS(Transactions[Amount],Transactions[Name],D180,Transactions[Month],Sel_Month)))</f>
        <v/>
      </c>
      <c r="I180" s="8" t="str">
        <f t="shared" si="2"/>
        <v/>
      </c>
    </row>
    <row r="181" spans="3:9" x14ac:dyDescent="0.3">
      <c r="C181" s="7"/>
      <c r="H181" s="7" t="str" cm="1">
        <f t="array" ref="H181">_xlfn.IFS(D181="","",D181="Grand Total",SUM(H$2:H180),TRUE,IF(COUNTIF(Transactions[Custom Category],D181)&gt;0,SUMIFS(Transactions[Amount],Transactions[Custom Category],D181,Transactions[Month],Sel_Month),SUMIFS(Transactions[Amount],Transactions[Name],D181,Transactions[Month],Sel_Month)))</f>
        <v/>
      </c>
      <c r="I181" s="8" t="str">
        <f t="shared" si="2"/>
        <v/>
      </c>
    </row>
    <row r="182" spans="3:9" x14ac:dyDescent="0.3">
      <c r="C182" s="7"/>
      <c r="H182" s="7" t="str" cm="1">
        <f t="array" ref="H182">_xlfn.IFS(D182="","",D182="Grand Total",SUM(H$2:H181),TRUE,IF(COUNTIF(Transactions[Custom Category],D182)&gt;0,SUMIFS(Transactions[Amount],Transactions[Custom Category],D182,Transactions[Month],Sel_Month),SUMIFS(Transactions[Amount],Transactions[Name],D182,Transactions[Month],Sel_Month)))</f>
        <v/>
      </c>
      <c r="I182" s="8" t="str">
        <f t="shared" si="2"/>
        <v/>
      </c>
    </row>
    <row r="183" spans="3:9" x14ac:dyDescent="0.3">
      <c r="C183" s="7"/>
      <c r="H183" s="7" t="str" cm="1">
        <f t="array" ref="H183">_xlfn.IFS(D183="","",D183="Grand Total",SUM(H$2:H182),TRUE,IF(COUNTIF(Transactions[Custom Category],D183)&gt;0,SUMIFS(Transactions[Amount],Transactions[Custom Category],D183,Transactions[Month],Sel_Month),SUMIFS(Transactions[Amount],Transactions[Name],D183,Transactions[Month],Sel_Month)))</f>
        <v/>
      </c>
      <c r="I183" s="8" t="str">
        <f t="shared" si="2"/>
        <v/>
      </c>
    </row>
    <row r="184" spans="3:9" x14ac:dyDescent="0.3">
      <c r="C184" s="7"/>
      <c r="H184" s="7" t="str" cm="1">
        <f t="array" ref="H184">_xlfn.IFS(D184="","",D184="Grand Total",SUM(H$2:H183),TRUE,IF(COUNTIF(Transactions[Custom Category],D184)&gt;0,SUMIFS(Transactions[Amount],Transactions[Custom Category],D184,Transactions[Month],Sel_Month),SUMIFS(Transactions[Amount],Transactions[Name],D184,Transactions[Month],Sel_Month)))</f>
        <v/>
      </c>
      <c r="I184" s="8" t="str">
        <f t="shared" si="2"/>
        <v/>
      </c>
    </row>
    <row r="185" spans="3:9" x14ac:dyDescent="0.3">
      <c r="C185" s="7"/>
      <c r="H185" s="7" t="str" cm="1">
        <f t="array" ref="H185">_xlfn.IFS(D185="","",D185="Grand Total",SUM(H$2:H184),TRUE,IF(COUNTIF(Transactions[Custom Category],D185)&gt;0,SUMIFS(Transactions[Amount],Transactions[Custom Category],D185,Transactions[Month],Sel_Month),SUMIFS(Transactions[Amount],Transactions[Name],D185,Transactions[Month],Sel_Month)))</f>
        <v/>
      </c>
      <c r="I185" s="8" t="str">
        <f t="shared" si="2"/>
        <v/>
      </c>
    </row>
    <row r="186" spans="3:9" x14ac:dyDescent="0.3">
      <c r="C186" s="7"/>
      <c r="H186" s="7" t="str" cm="1">
        <f t="array" ref="H186">_xlfn.IFS(D186="","",D186="Grand Total",SUM(H$2:H185),TRUE,IF(COUNTIF(Transactions[Custom Category],D186)&gt;0,SUMIFS(Transactions[Amount],Transactions[Custom Category],D186,Transactions[Month],Sel_Month),SUMIFS(Transactions[Amount],Transactions[Name],D186,Transactions[Month],Sel_Month)))</f>
        <v/>
      </c>
      <c r="I186" s="8" t="str">
        <f t="shared" si="2"/>
        <v/>
      </c>
    </row>
    <row r="187" spans="3:9" x14ac:dyDescent="0.3">
      <c r="C187" s="7"/>
      <c r="H187" s="7" t="str" cm="1">
        <f t="array" ref="H187">_xlfn.IFS(D187="","",D187="Grand Total",SUM(H$2:H186),TRUE,IF(COUNTIF(Transactions[Custom Category],D187)&gt;0,SUMIFS(Transactions[Amount],Transactions[Custom Category],D187,Transactions[Month],Sel_Month),SUMIFS(Transactions[Amount],Transactions[Name],D187,Transactions[Month],Sel_Month)))</f>
        <v/>
      </c>
      <c r="I187" s="8" t="str">
        <f t="shared" si="2"/>
        <v/>
      </c>
    </row>
    <row r="188" spans="3:9" x14ac:dyDescent="0.3">
      <c r="C188" s="7"/>
      <c r="H188" s="7" t="str" cm="1">
        <f t="array" ref="H188">_xlfn.IFS(D188="","",D188="Grand Total",SUM(H$2:H187),TRUE,IF(COUNTIF(Transactions[Custom Category],D188)&gt;0,SUMIFS(Transactions[Amount],Transactions[Custom Category],D188,Transactions[Month],Sel_Month),SUMIFS(Transactions[Amount],Transactions[Name],D188,Transactions[Month],Sel_Month)))</f>
        <v/>
      </c>
      <c r="I188" s="8" t="str">
        <f t="shared" si="2"/>
        <v/>
      </c>
    </row>
    <row r="189" spans="3:9" x14ac:dyDescent="0.3">
      <c r="C189" s="7"/>
      <c r="H189" s="7" t="str" cm="1">
        <f t="array" ref="H189">_xlfn.IFS(D189="","",D189="Grand Total",SUM(H$2:H188),TRUE,IF(COUNTIF(Transactions[Custom Category],D189)&gt;0,SUMIFS(Transactions[Amount],Transactions[Custom Category],D189,Transactions[Month],Sel_Month),SUMIFS(Transactions[Amount],Transactions[Name],D189,Transactions[Month],Sel_Month)))</f>
        <v/>
      </c>
      <c r="I189" s="8" t="str">
        <f t="shared" si="2"/>
        <v/>
      </c>
    </row>
    <row r="190" spans="3:9" x14ac:dyDescent="0.3">
      <c r="C190" s="7"/>
      <c r="H190" s="7" t="str" cm="1">
        <f t="array" ref="H190">_xlfn.IFS(D190="","",D190="Grand Total",SUM(H$2:H189),TRUE,IF(COUNTIF(Transactions[Custom Category],D190)&gt;0,SUMIFS(Transactions[Amount],Transactions[Custom Category],D190,Transactions[Month],Sel_Month),SUMIFS(Transactions[Amount],Transactions[Name],D190,Transactions[Month],Sel_Month)))</f>
        <v/>
      </c>
      <c r="I190" s="8" t="str">
        <f t="shared" si="2"/>
        <v/>
      </c>
    </row>
    <row r="191" spans="3:9" x14ac:dyDescent="0.3">
      <c r="C191" s="7"/>
      <c r="H191" s="7" t="str" cm="1">
        <f t="array" ref="H191">_xlfn.IFS(D191="","",D191="Grand Total",SUM(H$2:H190),TRUE,IF(COUNTIF(Transactions[Custom Category],D191)&gt;0,SUMIFS(Transactions[Amount],Transactions[Custom Category],D191,Transactions[Month],Sel_Month),SUMIFS(Transactions[Amount],Transactions[Name],D191,Transactions[Month],Sel_Month)))</f>
        <v/>
      </c>
      <c r="I191" s="8" t="str">
        <f t="shared" si="2"/>
        <v/>
      </c>
    </row>
    <row r="192" spans="3:9" x14ac:dyDescent="0.3">
      <c r="C192" s="7"/>
      <c r="H192" s="7" t="str" cm="1">
        <f t="array" ref="H192">_xlfn.IFS(D192="","",D192="Grand Total",SUM(H$2:H191),TRUE,IF(COUNTIF(Transactions[Custom Category],D192)&gt;0,SUMIFS(Transactions[Amount],Transactions[Custom Category],D192,Transactions[Month],Sel_Month),SUMIFS(Transactions[Amount],Transactions[Name],D192,Transactions[Month],Sel_Month)))</f>
        <v/>
      </c>
      <c r="I192" s="8" t="str">
        <f t="shared" si="2"/>
        <v/>
      </c>
    </row>
    <row r="193" spans="3:9" x14ac:dyDescent="0.3">
      <c r="C193" s="7"/>
      <c r="H193" s="7" t="str" cm="1">
        <f t="array" ref="H193">_xlfn.IFS(D193="","",D193="Grand Total",SUM(H$2:H192),TRUE,IF(COUNTIF(Transactions[Custom Category],D193)&gt;0,SUMIFS(Transactions[Amount],Transactions[Custom Category],D193,Transactions[Month],Sel_Month),SUMIFS(Transactions[Amount],Transactions[Name],D193,Transactions[Month],Sel_Month)))</f>
        <v/>
      </c>
      <c r="I193" s="8" t="str">
        <f t="shared" si="2"/>
        <v/>
      </c>
    </row>
    <row r="194" spans="3:9" x14ac:dyDescent="0.3">
      <c r="C194" s="7"/>
      <c r="H194" s="7" t="str" cm="1">
        <f t="array" ref="H194">_xlfn.IFS(D194="","",D194="Grand Total",SUM(H$2:H193),TRUE,IF(COUNTIF(Transactions[Custom Category],D194)&gt;0,SUMIFS(Transactions[Amount],Transactions[Custom Category],D194,Transactions[Month],Sel_Month),SUMIFS(Transactions[Amount],Transactions[Name],D194,Transactions[Month],Sel_Month)))</f>
        <v/>
      </c>
      <c r="I194" s="8" t="str">
        <f t="shared" si="2"/>
        <v/>
      </c>
    </row>
    <row r="195" spans="3:9" x14ac:dyDescent="0.3">
      <c r="C195" s="7"/>
      <c r="H195" s="7" t="str" cm="1">
        <f t="array" ref="H195">_xlfn.IFS(D195="","",D195="Grand Total",SUM(H$2:H194),TRUE,IF(COUNTIF(Transactions[Custom Category],D195)&gt;0,SUMIFS(Transactions[Amount],Transactions[Custom Category],D195,Transactions[Month],Sel_Month),SUMIFS(Transactions[Amount],Transactions[Name],D195,Transactions[Month],Sel_Month)))</f>
        <v/>
      </c>
      <c r="I195" s="8" t="str">
        <f t="shared" si="2"/>
        <v/>
      </c>
    </row>
    <row r="196" spans="3:9" x14ac:dyDescent="0.3">
      <c r="C196" s="7"/>
      <c r="H196" s="7" t="str" cm="1">
        <f t="array" ref="H196">_xlfn.IFS(D196="","",D196="Grand Total",SUM(H$2:H195),TRUE,IF(COUNTIF(Transactions[Custom Category],D196)&gt;0,SUMIFS(Transactions[Amount],Transactions[Custom Category],D196,Transactions[Month],Sel_Month),SUMIFS(Transactions[Amount],Transactions[Name],D196,Transactions[Month],Sel_Month)))</f>
        <v/>
      </c>
      <c r="I196" s="8" t="str">
        <f t="shared" ref="I196:I259" si="3">IF(F196="","",IF(F196=0,0,1-((F196-H196)/F196)))</f>
        <v/>
      </c>
    </row>
    <row r="197" spans="3:9" x14ac:dyDescent="0.3">
      <c r="C197" s="7"/>
      <c r="H197" s="7" t="str" cm="1">
        <f t="array" ref="H197">_xlfn.IFS(D197="","",D197="Grand Total",SUM(H$2:H196),TRUE,IF(COUNTIF(Transactions[Custom Category],D197)&gt;0,SUMIFS(Transactions[Amount],Transactions[Custom Category],D197,Transactions[Month],Sel_Month),SUMIFS(Transactions[Amount],Transactions[Name],D197,Transactions[Month],Sel_Month)))</f>
        <v/>
      </c>
      <c r="I197" s="8" t="str">
        <f t="shared" si="3"/>
        <v/>
      </c>
    </row>
    <row r="198" spans="3:9" x14ac:dyDescent="0.3">
      <c r="C198" s="7"/>
      <c r="H198" s="7" t="str" cm="1">
        <f t="array" ref="H198">_xlfn.IFS(D198="","",D198="Grand Total",SUM(H$2:H197),TRUE,IF(COUNTIF(Transactions[Custom Category],D198)&gt;0,SUMIFS(Transactions[Amount],Transactions[Custom Category],D198,Transactions[Month],Sel_Month),SUMIFS(Transactions[Amount],Transactions[Name],D198,Transactions[Month],Sel_Month)))</f>
        <v/>
      </c>
      <c r="I198" s="8" t="str">
        <f t="shared" si="3"/>
        <v/>
      </c>
    </row>
    <row r="199" spans="3:9" x14ac:dyDescent="0.3">
      <c r="C199" s="7"/>
      <c r="H199" s="7" t="str" cm="1">
        <f t="array" ref="H199">_xlfn.IFS(D199="","",D199="Grand Total",SUM(H$2:H198),TRUE,IF(COUNTIF(Transactions[Custom Category],D199)&gt;0,SUMIFS(Transactions[Amount],Transactions[Custom Category],D199,Transactions[Month],Sel_Month),SUMIFS(Transactions[Amount],Transactions[Name],D199,Transactions[Month],Sel_Month)))</f>
        <v/>
      </c>
      <c r="I199" s="8" t="str">
        <f t="shared" si="3"/>
        <v/>
      </c>
    </row>
    <row r="200" spans="3:9" x14ac:dyDescent="0.3">
      <c r="C200" s="7"/>
      <c r="H200" s="7" t="str" cm="1">
        <f t="array" ref="H200">_xlfn.IFS(D200="","",D200="Grand Total",SUM(H$2:H199),TRUE,IF(COUNTIF(Transactions[Custom Category],D200)&gt;0,SUMIFS(Transactions[Amount],Transactions[Custom Category],D200,Transactions[Month],Sel_Month),SUMIFS(Transactions[Amount],Transactions[Name],D200,Transactions[Month],Sel_Month)))</f>
        <v/>
      </c>
      <c r="I200" s="8" t="str">
        <f t="shared" si="3"/>
        <v/>
      </c>
    </row>
    <row r="201" spans="3:9" x14ac:dyDescent="0.3">
      <c r="C201" s="7"/>
      <c r="H201" s="7" t="str" cm="1">
        <f t="array" ref="H201">_xlfn.IFS(D201="","",D201="Grand Total",SUM(H$2:H200),TRUE,IF(COUNTIF(Transactions[Custom Category],D201)&gt;0,SUMIFS(Transactions[Amount],Transactions[Custom Category],D201,Transactions[Month],Sel_Month),SUMIFS(Transactions[Amount],Transactions[Name],D201,Transactions[Month],Sel_Month)))</f>
        <v/>
      </c>
      <c r="I201" s="8" t="str">
        <f t="shared" si="3"/>
        <v/>
      </c>
    </row>
    <row r="202" spans="3:9" x14ac:dyDescent="0.3">
      <c r="C202" s="7"/>
      <c r="H202" s="7" t="str" cm="1">
        <f t="array" ref="H202">_xlfn.IFS(D202="","",D202="Grand Total",SUM(H$2:H201),TRUE,IF(COUNTIF(Transactions[Custom Category],D202)&gt;0,SUMIFS(Transactions[Amount],Transactions[Custom Category],D202,Transactions[Month],Sel_Month),SUMIFS(Transactions[Amount],Transactions[Name],D202,Transactions[Month],Sel_Month)))</f>
        <v/>
      </c>
      <c r="I202" s="8" t="str">
        <f t="shared" si="3"/>
        <v/>
      </c>
    </row>
    <row r="203" spans="3:9" x14ac:dyDescent="0.3">
      <c r="C203" s="7"/>
      <c r="H203" s="7" t="str" cm="1">
        <f t="array" ref="H203">_xlfn.IFS(D203="","",D203="Grand Total",SUM(H$2:H202),TRUE,IF(COUNTIF(Transactions[Custom Category],D203)&gt;0,SUMIFS(Transactions[Amount],Transactions[Custom Category],D203,Transactions[Month],Sel_Month),SUMIFS(Transactions[Amount],Transactions[Name],D203,Transactions[Month],Sel_Month)))</f>
        <v/>
      </c>
      <c r="I203" s="8" t="str">
        <f t="shared" si="3"/>
        <v/>
      </c>
    </row>
    <row r="204" spans="3:9" x14ac:dyDescent="0.3">
      <c r="C204" s="7"/>
      <c r="H204" s="7" t="str" cm="1">
        <f t="array" ref="H204">_xlfn.IFS(D204="","",D204="Grand Total",SUM(H$2:H203),TRUE,IF(COUNTIF(Transactions[Custom Category],D204)&gt;0,SUMIFS(Transactions[Amount],Transactions[Custom Category],D204,Transactions[Month],Sel_Month),SUMIFS(Transactions[Amount],Transactions[Name],D204,Transactions[Month],Sel_Month)))</f>
        <v/>
      </c>
      <c r="I204" s="8" t="str">
        <f t="shared" si="3"/>
        <v/>
      </c>
    </row>
    <row r="205" spans="3:9" x14ac:dyDescent="0.3">
      <c r="C205" s="7"/>
      <c r="H205" s="7" t="str" cm="1">
        <f t="array" ref="H205">_xlfn.IFS(D205="","",D205="Grand Total",SUM(H$2:H204),TRUE,IF(COUNTIF(Transactions[Custom Category],D205)&gt;0,SUMIFS(Transactions[Amount],Transactions[Custom Category],D205,Transactions[Month],Sel_Month),SUMIFS(Transactions[Amount],Transactions[Name],D205,Transactions[Month],Sel_Month)))</f>
        <v/>
      </c>
      <c r="I205" s="8" t="str">
        <f t="shared" si="3"/>
        <v/>
      </c>
    </row>
    <row r="206" spans="3:9" x14ac:dyDescent="0.3">
      <c r="C206" s="7"/>
      <c r="H206" s="7" t="str" cm="1">
        <f t="array" ref="H206">_xlfn.IFS(D206="","",D206="Grand Total",SUM(H$2:H205),TRUE,IF(COUNTIF(Transactions[Custom Category],D206)&gt;0,SUMIFS(Transactions[Amount],Transactions[Custom Category],D206,Transactions[Month],Sel_Month),SUMIFS(Transactions[Amount],Transactions[Name],D206,Transactions[Month],Sel_Month)))</f>
        <v/>
      </c>
      <c r="I206" s="8" t="str">
        <f t="shared" si="3"/>
        <v/>
      </c>
    </row>
    <row r="207" spans="3:9" x14ac:dyDescent="0.3">
      <c r="C207" s="7"/>
      <c r="H207" s="7" t="str" cm="1">
        <f t="array" ref="H207">_xlfn.IFS(D207="","",D207="Grand Total",SUM(H$2:H206),TRUE,IF(COUNTIF(Transactions[Custom Category],D207)&gt;0,SUMIFS(Transactions[Amount],Transactions[Custom Category],D207,Transactions[Month],Sel_Month),SUMIFS(Transactions[Amount],Transactions[Name],D207,Transactions[Month],Sel_Month)))</f>
        <v/>
      </c>
      <c r="I207" s="8" t="str">
        <f t="shared" si="3"/>
        <v/>
      </c>
    </row>
    <row r="208" spans="3:9" x14ac:dyDescent="0.3">
      <c r="C208" s="7"/>
      <c r="H208" s="7" t="str" cm="1">
        <f t="array" ref="H208">_xlfn.IFS(D208="","",D208="Grand Total",SUM(H$2:H207),TRUE,IF(COUNTIF(Transactions[Custom Category],D208)&gt;0,SUMIFS(Transactions[Amount],Transactions[Custom Category],D208,Transactions[Month],Sel_Month),SUMIFS(Transactions[Amount],Transactions[Name],D208,Transactions[Month],Sel_Month)))</f>
        <v/>
      </c>
      <c r="I208" s="8" t="str">
        <f t="shared" si="3"/>
        <v/>
      </c>
    </row>
    <row r="209" spans="3:9" x14ac:dyDescent="0.3">
      <c r="C209" s="7"/>
      <c r="H209" s="7" t="str" cm="1">
        <f t="array" ref="H209">_xlfn.IFS(D209="","",D209="Grand Total",SUM(H$2:H208),TRUE,IF(COUNTIF(Transactions[Custom Category],D209)&gt;0,SUMIFS(Transactions[Amount],Transactions[Custom Category],D209,Transactions[Month],Sel_Month),SUMIFS(Transactions[Amount],Transactions[Name],D209,Transactions[Month],Sel_Month)))</f>
        <v/>
      </c>
      <c r="I209" s="8" t="str">
        <f t="shared" si="3"/>
        <v/>
      </c>
    </row>
    <row r="210" spans="3:9" x14ac:dyDescent="0.3">
      <c r="C210" s="7"/>
      <c r="H210" s="7" t="str" cm="1">
        <f t="array" ref="H210">_xlfn.IFS(D210="","",D210="Grand Total",SUM(H$2:H209),TRUE,IF(COUNTIF(Transactions[Custom Category],D210)&gt;0,SUMIFS(Transactions[Amount],Transactions[Custom Category],D210,Transactions[Month],Sel_Month),SUMIFS(Transactions[Amount],Transactions[Name],D210,Transactions[Month],Sel_Month)))</f>
        <v/>
      </c>
      <c r="I210" s="8" t="str">
        <f t="shared" si="3"/>
        <v/>
      </c>
    </row>
    <row r="211" spans="3:9" x14ac:dyDescent="0.3">
      <c r="C211" s="7"/>
      <c r="H211" s="7" t="str" cm="1">
        <f t="array" ref="H211">_xlfn.IFS(D211="","",D211="Grand Total",SUM(H$2:H210),TRUE,IF(COUNTIF(Transactions[Custom Category],D211)&gt;0,SUMIFS(Transactions[Amount],Transactions[Custom Category],D211,Transactions[Month],Sel_Month),SUMIFS(Transactions[Amount],Transactions[Name],D211,Transactions[Month],Sel_Month)))</f>
        <v/>
      </c>
      <c r="I211" s="8" t="str">
        <f t="shared" si="3"/>
        <v/>
      </c>
    </row>
    <row r="212" spans="3:9" x14ac:dyDescent="0.3">
      <c r="C212" s="7"/>
      <c r="H212" s="7" t="str" cm="1">
        <f t="array" ref="H212">_xlfn.IFS(D212="","",D212="Grand Total",SUM(H$2:H211),TRUE,IF(COUNTIF(Transactions[Custom Category],D212)&gt;0,SUMIFS(Transactions[Amount],Transactions[Custom Category],D212,Transactions[Month],Sel_Month),SUMIFS(Transactions[Amount],Transactions[Name],D212,Transactions[Month],Sel_Month)))</f>
        <v/>
      </c>
      <c r="I212" s="8" t="str">
        <f t="shared" si="3"/>
        <v/>
      </c>
    </row>
    <row r="213" spans="3:9" x14ac:dyDescent="0.3">
      <c r="C213" s="7"/>
      <c r="H213" s="7" t="str" cm="1">
        <f t="array" ref="H213">_xlfn.IFS(D213="","",D213="Grand Total",SUM(H$2:H212),TRUE,IF(COUNTIF(Transactions[Custom Category],D213)&gt;0,SUMIFS(Transactions[Amount],Transactions[Custom Category],D213,Transactions[Month],Sel_Month),SUMIFS(Transactions[Amount],Transactions[Name],D213,Transactions[Month],Sel_Month)))</f>
        <v/>
      </c>
      <c r="I213" s="8" t="str">
        <f t="shared" si="3"/>
        <v/>
      </c>
    </row>
    <row r="214" spans="3:9" x14ac:dyDescent="0.3">
      <c r="C214" s="7"/>
      <c r="H214" s="7" t="str" cm="1">
        <f t="array" ref="H214">_xlfn.IFS(D214="","",D214="Grand Total",SUM(H$2:H213),TRUE,IF(COUNTIF(Transactions[Custom Category],D214)&gt;0,SUMIFS(Transactions[Amount],Transactions[Custom Category],D214,Transactions[Month],Sel_Month),SUMIFS(Transactions[Amount],Transactions[Name],D214,Transactions[Month],Sel_Month)))</f>
        <v/>
      </c>
      <c r="I214" s="8" t="str">
        <f t="shared" si="3"/>
        <v/>
      </c>
    </row>
    <row r="215" spans="3:9" x14ac:dyDescent="0.3">
      <c r="C215" s="7"/>
      <c r="H215" s="7" t="str" cm="1">
        <f t="array" ref="H215">_xlfn.IFS(D215="","",D215="Grand Total",SUM(H$2:H214),TRUE,IF(COUNTIF(Transactions[Custom Category],D215)&gt;0,SUMIFS(Transactions[Amount],Transactions[Custom Category],D215,Transactions[Month],Sel_Month),SUMIFS(Transactions[Amount],Transactions[Name],D215,Transactions[Month],Sel_Month)))</f>
        <v/>
      </c>
      <c r="I215" s="8" t="str">
        <f t="shared" si="3"/>
        <v/>
      </c>
    </row>
    <row r="216" spans="3:9" x14ac:dyDescent="0.3">
      <c r="C216" s="7"/>
      <c r="H216" s="7" t="str" cm="1">
        <f t="array" ref="H216">_xlfn.IFS(D216="","",D216="Grand Total",SUM(H$2:H215),TRUE,IF(COUNTIF(Transactions[Custom Category],D216)&gt;0,SUMIFS(Transactions[Amount],Transactions[Custom Category],D216,Transactions[Month],Sel_Month),SUMIFS(Transactions[Amount],Transactions[Name],D216,Transactions[Month],Sel_Month)))</f>
        <v/>
      </c>
      <c r="I216" s="8" t="str">
        <f t="shared" si="3"/>
        <v/>
      </c>
    </row>
    <row r="217" spans="3:9" x14ac:dyDescent="0.3">
      <c r="C217" s="7"/>
      <c r="H217" s="7" t="str" cm="1">
        <f t="array" ref="H217">_xlfn.IFS(D217="","",D217="Grand Total",SUM(H$2:H216),TRUE,IF(COUNTIF(Transactions[Custom Category],D217)&gt;0,SUMIFS(Transactions[Amount],Transactions[Custom Category],D217,Transactions[Month],Sel_Month),SUMIFS(Transactions[Amount],Transactions[Name],D217,Transactions[Month],Sel_Month)))</f>
        <v/>
      </c>
      <c r="I217" s="8" t="str">
        <f t="shared" si="3"/>
        <v/>
      </c>
    </row>
    <row r="218" spans="3:9" x14ac:dyDescent="0.3">
      <c r="C218" s="7"/>
      <c r="H218" s="7" t="str" cm="1">
        <f t="array" ref="H218">_xlfn.IFS(D218="","",D218="Grand Total",SUM(H$2:H217),TRUE,IF(COUNTIF(Transactions[Custom Category],D218)&gt;0,SUMIFS(Transactions[Amount],Transactions[Custom Category],D218,Transactions[Month],Sel_Month),SUMIFS(Transactions[Amount],Transactions[Name],D218,Transactions[Month],Sel_Month)))</f>
        <v/>
      </c>
      <c r="I218" s="8" t="str">
        <f t="shared" si="3"/>
        <v/>
      </c>
    </row>
    <row r="219" spans="3:9" x14ac:dyDescent="0.3">
      <c r="C219" s="7"/>
      <c r="H219" s="7" t="str" cm="1">
        <f t="array" ref="H219">_xlfn.IFS(D219="","",D219="Grand Total",SUM(H$2:H218),TRUE,IF(COUNTIF(Transactions[Custom Category],D219)&gt;0,SUMIFS(Transactions[Amount],Transactions[Custom Category],D219,Transactions[Month],Sel_Month),SUMIFS(Transactions[Amount],Transactions[Name],D219,Transactions[Month],Sel_Month)))</f>
        <v/>
      </c>
      <c r="I219" s="8" t="str">
        <f t="shared" si="3"/>
        <v/>
      </c>
    </row>
    <row r="220" spans="3:9" x14ac:dyDescent="0.3">
      <c r="C220" s="7"/>
      <c r="H220" s="7" t="str" cm="1">
        <f t="array" ref="H220">_xlfn.IFS(D220="","",D220="Grand Total",SUM(H$2:H219),TRUE,IF(COUNTIF(Transactions[Custom Category],D220)&gt;0,SUMIFS(Transactions[Amount],Transactions[Custom Category],D220,Transactions[Month],Sel_Month),SUMIFS(Transactions[Amount],Transactions[Name],D220,Transactions[Month],Sel_Month)))</f>
        <v/>
      </c>
      <c r="I220" s="8" t="str">
        <f t="shared" si="3"/>
        <v/>
      </c>
    </row>
    <row r="221" spans="3:9" x14ac:dyDescent="0.3">
      <c r="C221" s="7"/>
      <c r="H221" s="7" t="str" cm="1">
        <f t="array" ref="H221">_xlfn.IFS(D221="","",D221="Grand Total",SUM(H$2:H220),TRUE,IF(COUNTIF(Transactions[Custom Category],D221)&gt;0,SUMIFS(Transactions[Amount],Transactions[Custom Category],D221,Transactions[Month],Sel_Month),SUMIFS(Transactions[Amount],Transactions[Name],D221,Transactions[Month],Sel_Month)))</f>
        <v/>
      </c>
      <c r="I221" s="8" t="str">
        <f t="shared" si="3"/>
        <v/>
      </c>
    </row>
    <row r="222" spans="3:9" x14ac:dyDescent="0.3">
      <c r="C222" s="7"/>
      <c r="H222" s="7" t="str" cm="1">
        <f t="array" ref="H222">_xlfn.IFS(D222="","",D222="Grand Total",SUM(H$2:H221),TRUE,IF(COUNTIF(Transactions[Custom Category],D222)&gt;0,SUMIFS(Transactions[Amount],Transactions[Custom Category],D222,Transactions[Month],Sel_Month),SUMIFS(Transactions[Amount],Transactions[Name],D222,Transactions[Month],Sel_Month)))</f>
        <v/>
      </c>
      <c r="I222" s="8" t="str">
        <f t="shared" si="3"/>
        <v/>
      </c>
    </row>
    <row r="223" spans="3:9" x14ac:dyDescent="0.3">
      <c r="C223" s="7"/>
      <c r="H223" s="7" t="str" cm="1">
        <f t="array" ref="H223">_xlfn.IFS(D223="","",D223="Grand Total",SUM(H$2:H222),TRUE,IF(COUNTIF(Transactions[Custom Category],D223)&gt;0,SUMIFS(Transactions[Amount],Transactions[Custom Category],D223,Transactions[Month],Sel_Month),SUMIFS(Transactions[Amount],Transactions[Name],D223,Transactions[Month],Sel_Month)))</f>
        <v/>
      </c>
      <c r="I223" s="8" t="str">
        <f t="shared" si="3"/>
        <v/>
      </c>
    </row>
    <row r="224" spans="3:9" x14ac:dyDescent="0.3">
      <c r="C224" s="7"/>
      <c r="H224" s="7" t="str" cm="1">
        <f t="array" ref="H224">_xlfn.IFS(D224="","",D224="Grand Total",SUM(H$2:H223),TRUE,IF(COUNTIF(Transactions[Custom Category],D224)&gt;0,SUMIFS(Transactions[Amount],Transactions[Custom Category],D224,Transactions[Month],Sel_Month),SUMIFS(Transactions[Amount],Transactions[Name],D224,Transactions[Month],Sel_Month)))</f>
        <v/>
      </c>
      <c r="I224" s="8" t="str">
        <f t="shared" si="3"/>
        <v/>
      </c>
    </row>
    <row r="225" spans="3:9" x14ac:dyDescent="0.3">
      <c r="C225" s="7"/>
      <c r="H225" s="7" t="str" cm="1">
        <f t="array" ref="H225">_xlfn.IFS(D225="","",D225="Grand Total",SUM(H$2:H224),TRUE,IF(COUNTIF(Transactions[Custom Category],D225)&gt;0,SUMIFS(Transactions[Amount],Transactions[Custom Category],D225,Transactions[Month],Sel_Month),SUMIFS(Transactions[Amount],Transactions[Name],D225,Transactions[Month],Sel_Month)))</f>
        <v/>
      </c>
      <c r="I225" s="8" t="str">
        <f t="shared" si="3"/>
        <v/>
      </c>
    </row>
    <row r="226" spans="3:9" x14ac:dyDescent="0.3">
      <c r="C226" s="7"/>
      <c r="H226" s="7" t="str" cm="1">
        <f t="array" ref="H226">_xlfn.IFS(D226="","",D226="Grand Total",SUM(H$2:H225),TRUE,IF(COUNTIF(Transactions[Custom Category],D226)&gt;0,SUMIFS(Transactions[Amount],Transactions[Custom Category],D226,Transactions[Month],Sel_Month),SUMIFS(Transactions[Amount],Transactions[Name],D226,Transactions[Month],Sel_Month)))</f>
        <v/>
      </c>
      <c r="I226" s="8" t="str">
        <f t="shared" si="3"/>
        <v/>
      </c>
    </row>
    <row r="227" spans="3:9" x14ac:dyDescent="0.3">
      <c r="C227" s="7"/>
      <c r="H227" s="7" t="str" cm="1">
        <f t="array" ref="H227">_xlfn.IFS(D227="","",D227="Grand Total",SUM(H$2:H226),TRUE,IF(COUNTIF(Transactions[Custom Category],D227)&gt;0,SUMIFS(Transactions[Amount],Transactions[Custom Category],D227,Transactions[Month],Sel_Month),SUMIFS(Transactions[Amount],Transactions[Name],D227,Transactions[Month],Sel_Month)))</f>
        <v/>
      </c>
      <c r="I227" s="8" t="str">
        <f t="shared" si="3"/>
        <v/>
      </c>
    </row>
    <row r="228" spans="3:9" x14ac:dyDescent="0.3">
      <c r="C228" s="7"/>
      <c r="H228" s="7" t="str" cm="1">
        <f t="array" ref="H228">_xlfn.IFS(D228="","",D228="Grand Total",SUM(H$2:H227),TRUE,IF(COUNTIF(Transactions[Custom Category],D228)&gt;0,SUMIFS(Transactions[Amount],Transactions[Custom Category],D228,Transactions[Month],Sel_Month),SUMIFS(Transactions[Amount],Transactions[Name],D228,Transactions[Month],Sel_Month)))</f>
        <v/>
      </c>
      <c r="I228" s="8" t="str">
        <f t="shared" si="3"/>
        <v/>
      </c>
    </row>
    <row r="229" spans="3:9" x14ac:dyDescent="0.3">
      <c r="C229" s="7"/>
      <c r="H229" s="7" t="str" cm="1">
        <f t="array" ref="H229">_xlfn.IFS(D229="","",D229="Grand Total",SUM(H$2:H228),TRUE,IF(COUNTIF(Transactions[Custom Category],D229)&gt;0,SUMIFS(Transactions[Amount],Transactions[Custom Category],D229,Transactions[Month],Sel_Month),SUMIFS(Transactions[Amount],Transactions[Name],D229,Transactions[Month],Sel_Month)))</f>
        <v/>
      </c>
      <c r="I229" s="8" t="str">
        <f t="shared" si="3"/>
        <v/>
      </c>
    </row>
    <row r="230" spans="3:9" x14ac:dyDescent="0.3">
      <c r="C230" s="7"/>
      <c r="H230" s="7" t="str" cm="1">
        <f t="array" ref="H230">_xlfn.IFS(D230="","",D230="Grand Total",SUM(H$2:H229),TRUE,IF(COUNTIF(Transactions[Custom Category],D230)&gt;0,SUMIFS(Transactions[Amount],Transactions[Custom Category],D230,Transactions[Month],Sel_Month),SUMIFS(Transactions[Amount],Transactions[Name],D230,Transactions[Month],Sel_Month)))</f>
        <v/>
      </c>
      <c r="I230" s="8" t="str">
        <f t="shared" si="3"/>
        <v/>
      </c>
    </row>
    <row r="231" spans="3:9" x14ac:dyDescent="0.3">
      <c r="C231" s="7"/>
      <c r="H231" s="7" t="str" cm="1">
        <f t="array" ref="H231">_xlfn.IFS(D231="","",D231="Grand Total",SUM(H$2:H230),TRUE,IF(COUNTIF(Transactions[Custom Category],D231)&gt;0,SUMIFS(Transactions[Amount],Transactions[Custom Category],D231,Transactions[Month],Sel_Month),SUMIFS(Transactions[Amount],Transactions[Name],D231,Transactions[Month],Sel_Month)))</f>
        <v/>
      </c>
      <c r="I231" s="8" t="str">
        <f t="shared" si="3"/>
        <v/>
      </c>
    </row>
    <row r="232" spans="3:9" x14ac:dyDescent="0.3">
      <c r="C232" s="7"/>
      <c r="H232" s="7" t="str" cm="1">
        <f t="array" ref="H232">_xlfn.IFS(D232="","",D232="Grand Total",SUM(H$2:H231),TRUE,IF(COUNTIF(Transactions[Custom Category],D232)&gt;0,SUMIFS(Transactions[Amount],Transactions[Custom Category],D232,Transactions[Month],Sel_Month),SUMIFS(Transactions[Amount],Transactions[Name],D232,Transactions[Month],Sel_Month)))</f>
        <v/>
      </c>
      <c r="I232" s="8" t="str">
        <f t="shared" si="3"/>
        <v/>
      </c>
    </row>
    <row r="233" spans="3:9" x14ac:dyDescent="0.3">
      <c r="C233" s="7"/>
      <c r="H233" s="7" t="str" cm="1">
        <f t="array" ref="H233">_xlfn.IFS(D233="","",D233="Grand Total",SUM(H$2:H232),TRUE,IF(COUNTIF(Transactions[Custom Category],D233)&gt;0,SUMIFS(Transactions[Amount],Transactions[Custom Category],D233,Transactions[Month],Sel_Month),SUMIFS(Transactions[Amount],Transactions[Name],D233,Transactions[Month],Sel_Month)))</f>
        <v/>
      </c>
      <c r="I233" s="8" t="str">
        <f t="shared" si="3"/>
        <v/>
      </c>
    </row>
    <row r="234" spans="3:9" x14ac:dyDescent="0.3">
      <c r="C234" s="7"/>
      <c r="H234" s="7" t="str" cm="1">
        <f t="array" ref="H234">_xlfn.IFS(D234="","",D234="Grand Total",SUM(H$2:H233),TRUE,IF(COUNTIF(Transactions[Custom Category],D234)&gt;0,SUMIFS(Transactions[Amount],Transactions[Custom Category],D234,Transactions[Month],Sel_Month),SUMIFS(Transactions[Amount],Transactions[Name],D234,Transactions[Month],Sel_Month)))</f>
        <v/>
      </c>
      <c r="I234" s="8" t="str">
        <f t="shared" si="3"/>
        <v/>
      </c>
    </row>
    <row r="235" spans="3:9" x14ac:dyDescent="0.3">
      <c r="C235" s="7"/>
      <c r="H235" s="7" t="str" cm="1">
        <f t="array" ref="H235">_xlfn.IFS(D235="","",D235="Grand Total",SUM(H$2:H234),TRUE,IF(COUNTIF(Transactions[Custom Category],D235)&gt;0,SUMIFS(Transactions[Amount],Transactions[Custom Category],D235,Transactions[Month],Sel_Month),SUMIFS(Transactions[Amount],Transactions[Name],D235,Transactions[Month],Sel_Month)))</f>
        <v/>
      </c>
      <c r="I235" s="8" t="str">
        <f t="shared" si="3"/>
        <v/>
      </c>
    </row>
    <row r="236" spans="3:9" x14ac:dyDescent="0.3">
      <c r="C236" s="7"/>
      <c r="H236" s="7" t="str" cm="1">
        <f t="array" ref="H236">_xlfn.IFS(D236="","",D236="Grand Total",SUM(H$2:H235),TRUE,IF(COUNTIF(Transactions[Custom Category],D236)&gt;0,SUMIFS(Transactions[Amount],Transactions[Custom Category],D236,Transactions[Month],Sel_Month),SUMIFS(Transactions[Amount],Transactions[Name],D236,Transactions[Month],Sel_Month)))</f>
        <v/>
      </c>
      <c r="I236" s="8" t="str">
        <f t="shared" si="3"/>
        <v/>
      </c>
    </row>
    <row r="237" spans="3:9" x14ac:dyDescent="0.3">
      <c r="C237" s="7"/>
      <c r="H237" s="7" t="str" cm="1">
        <f t="array" ref="H237">_xlfn.IFS(D237="","",D237="Grand Total",SUM(H$2:H236),TRUE,IF(COUNTIF(Transactions[Custom Category],D237)&gt;0,SUMIFS(Transactions[Amount],Transactions[Custom Category],D237,Transactions[Month],Sel_Month),SUMIFS(Transactions[Amount],Transactions[Name],D237,Transactions[Month],Sel_Month)))</f>
        <v/>
      </c>
      <c r="I237" s="8" t="str">
        <f t="shared" si="3"/>
        <v/>
      </c>
    </row>
    <row r="238" spans="3:9" x14ac:dyDescent="0.3">
      <c r="C238" s="7"/>
      <c r="H238" s="7" t="str" cm="1">
        <f t="array" ref="H238">_xlfn.IFS(D238="","",D238="Grand Total",SUM(H$2:H237),TRUE,IF(COUNTIF(Transactions[Custom Category],D238)&gt;0,SUMIFS(Transactions[Amount],Transactions[Custom Category],D238,Transactions[Month],Sel_Month),SUMIFS(Transactions[Amount],Transactions[Name],D238,Transactions[Month],Sel_Month)))</f>
        <v/>
      </c>
      <c r="I238" s="8" t="str">
        <f t="shared" si="3"/>
        <v/>
      </c>
    </row>
    <row r="239" spans="3:9" x14ac:dyDescent="0.3">
      <c r="C239" s="7"/>
      <c r="H239" s="7" t="str" cm="1">
        <f t="array" ref="H239">_xlfn.IFS(D239="","",D239="Grand Total",SUM(H$2:H238),TRUE,IF(COUNTIF(Transactions[Custom Category],D239)&gt;0,SUMIFS(Transactions[Amount],Transactions[Custom Category],D239,Transactions[Month],Sel_Month),SUMIFS(Transactions[Amount],Transactions[Name],D239,Transactions[Month],Sel_Month)))</f>
        <v/>
      </c>
      <c r="I239" s="8" t="str">
        <f t="shared" si="3"/>
        <v/>
      </c>
    </row>
    <row r="240" spans="3:9" x14ac:dyDescent="0.3">
      <c r="C240" s="7"/>
      <c r="H240" s="7" t="str" cm="1">
        <f t="array" ref="H240">_xlfn.IFS(D240="","",D240="Grand Total",SUM(H$2:H239),TRUE,IF(COUNTIF(Transactions[Custom Category],D240)&gt;0,SUMIFS(Transactions[Amount],Transactions[Custom Category],D240,Transactions[Month],Sel_Month),SUMIFS(Transactions[Amount],Transactions[Name],D240,Transactions[Month],Sel_Month)))</f>
        <v/>
      </c>
      <c r="I240" s="8" t="str">
        <f t="shared" si="3"/>
        <v/>
      </c>
    </row>
    <row r="241" spans="3:9" x14ac:dyDescent="0.3">
      <c r="C241" s="7"/>
      <c r="H241" s="7" t="str" cm="1">
        <f t="array" ref="H241">_xlfn.IFS(D241="","",D241="Grand Total",SUM(H$2:H240),TRUE,IF(COUNTIF(Transactions[Custom Category],D241)&gt;0,SUMIFS(Transactions[Amount],Transactions[Custom Category],D241,Transactions[Month],Sel_Month),SUMIFS(Transactions[Amount],Transactions[Name],D241,Transactions[Month],Sel_Month)))</f>
        <v/>
      </c>
      <c r="I241" s="8" t="str">
        <f t="shared" si="3"/>
        <v/>
      </c>
    </row>
    <row r="242" spans="3:9" x14ac:dyDescent="0.3">
      <c r="C242" s="7"/>
      <c r="H242" s="7" t="str" cm="1">
        <f t="array" ref="H242">_xlfn.IFS(D242="","",D242="Grand Total",SUM(H$2:H241),TRUE,IF(COUNTIF(Transactions[Custom Category],D242)&gt;0,SUMIFS(Transactions[Amount],Transactions[Custom Category],D242,Transactions[Month],Sel_Month),SUMIFS(Transactions[Amount],Transactions[Name],D242,Transactions[Month],Sel_Month)))</f>
        <v/>
      </c>
      <c r="I242" s="8" t="str">
        <f t="shared" si="3"/>
        <v/>
      </c>
    </row>
    <row r="243" spans="3:9" x14ac:dyDescent="0.3">
      <c r="C243" s="7"/>
      <c r="H243" s="7" t="str" cm="1">
        <f t="array" ref="H243">_xlfn.IFS(D243="","",D243="Grand Total",SUM(H$2:H242),TRUE,IF(COUNTIF(Transactions[Custom Category],D243)&gt;0,SUMIFS(Transactions[Amount],Transactions[Custom Category],D243,Transactions[Month],Sel_Month),SUMIFS(Transactions[Amount],Transactions[Name],D243,Transactions[Month],Sel_Month)))</f>
        <v/>
      </c>
      <c r="I243" s="8" t="str">
        <f t="shared" si="3"/>
        <v/>
      </c>
    </row>
    <row r="244" spans="3:9" x14ac:dyDescent="0.3">
      <c r="C244" s="7"/>
      <c r="H244" s="7" t="str" cm="1">
        <f t="array" ref="H244">_xlfn.IFS(D244="","",D244="Grand Total",SUM(H$2:H243),TRUE,IF(COUNTIF(Transactions[Custom Category],D244)&gt;0,SUMIFS(Transactions[Amount],Transactions[Custom Category],D244,Transactions[Month],Sel_Month),SUMIFS(Transactions[Amount],Transactions[Name],D244,Transactions[Month],Sel_Month)))</f>
        <v/>
      </c>
      <c r="I244" s="8" t="str">
        <f t="shared" si="3"/>
        <v/>
      </c>
    </row>
    <row r="245" spans="3:9" x14ac:dyDescent="0.3">
      <c r="C245" s="7"/>
      <c r="H245" s="7" t="str" cm="1">
        <f t="array" ref="H245">_xlfn.IFS(D245="","",D245="Grand Total",SUM(H$2:H244),TRUE,IF(COUNTIF(Transactions[Custom Category],D245)&gt;0,SUMIFS(Transactions[Amount],Transactions[Custom Category],D245,Transactions[Month],Sel_Month),SUMIFS(Transactions[Amount],Transactions[Name],D245,Transactions[Month],Sel_Month)))</f>
        <v/>
      </c>
      <c r="I245" s="8" t="str">
        <f t="shared" si="3"/>
        <v/>
      </c>
    </row>
    <row r="246" spans="3:9" x14ac:dyDescent="0.3">
      <c r="C246" s="7"/>
      <c r="H246" s="7" t="str" cm="1">
        <f t="array" ref="H246">_xlfn.IFS(D246="","",D246="Grand Total",SUM(H$2:H245),TRUE,IF(COUNTIF(Transactions[Custom Category],D246)&gt;0,SUMIFS(Transactions[Amount],Transactions[Custom Category],D246,Transactions[Month],Sel_Month),SUMIFS(Transactions[Amount],Transactions[Name],D246,Transactions[Month],Sel_Month)))</f>
        <v/>
      </c>
      <c r="I246" s="8" t="str">
        <f t="shared" si="3"/>
        <v/>
      </c>
    </row>
    <row r="247" spans="3:9" x14ac:dyDescent="0.3">
      <c r="C247" s="7"/>
      <c r="H247" s="7" t="str" cm="1">
        <f t="array" ref="H247">_xlfn.IFS(D247="","",D247="Grand Total",SUM(H$2:H246),TRUE,IF(COUNTIF(Transactions[Custom Category],D247)&gt;0,SUMIFS(Transactions[Amount],Transactions[Custom Category],D247,Transactions[Month],Sel_Month),SUMIFS(Transactions[Amount],Transactions[Name],D247,Transactions[Month],Sel_Month)))</f>
        <v/>
      </c>
      <c r="I247" s="8" t="str">
        <f t="shared" si="3"/>
        <v/>
      </c>
    </row>
    <row r="248" spans="3:9" x14ac:dyDescent="0.3">
      <c r="C248" s="7"/>
      <c r="H248" s="7" t="str" cm="1">
        <f t="array" ref="H248">_xlfn.IFS(D248="","",D248="Grand Total",SUM(H$2:H247),TRUE,IF(COUNTIF(Transactions[Custom Category],D248)&gt;0,SUMIFS(Transactions[Amount],Transactions[Custom Category],D248,Transactions[Month],Sel_Month),SUMIFS(Transactions[Amount],Transactions[Name],D248,Transactions[Month],Sel_Month)))</f>
        <v/>
      </c>
      <c r="I248" s="8" t="str">
        <f t="shared" si="3"/>
        <v/>
      </c>
    </row>
    <row r="249" spans="3:9" x14ac:dyDescent="0.3">
      <c r="C249" s="7"/>
      <c r="H249" s="7" t="str" cm="1">
        <f t="array" ref="H249">_xlfn.IFS(D249="","",D249="Grand Total",SUM(H$2:H248),TRUE,IF(COUNTIF(Transactions[Custom Category],D249)&gt;0,SUMIFS(Transactions[Amount],Transactions[Custom Category],D249,Transactions[Month],Sel_Month),SUMIFS(Transactions[Amount],Transactions[Name],D249,Transactions[Month],Sel_Month)))</f>
        <v/>
      </c>
      <c r="I249" s="8" t="str">
        <f t="shared" si="3"/>
        <v/>
      </c>
    </row>
    <row r="250" spans="3:9" x14ac:dyDescent="0.3">
      <c r="C250" s="7"/>
      <c r="H250" s="7" t="str" cm="1">
        <f t="array" ref="H250">_xlfn.IFS(D250="","",D250="Grand Total",SUM(H$2:H249),TRUE,IF(COUNTIF(Transactions[Custom Category],D250)&gt;0,SUMIFS(Transactions[Amount],Transactions[Custom Category],D250,Transactions[Month],Sel_Month),SUMIFS(Transactions[Amount],Transactions[Name],D250,Transactions[Month],Sel_Month)))</f>
        <v/>
      </c>
      <c r="I250" s="8" t="str">
        <f t="shared" si="3"/>
        <v/>
      </c>
    </row>
    <row r="251" spans="3:9" x14ac:dyDescent="0.3">
      <c r="C251" s="7"/>
      <c r="H251" s="7" t="str" cm="1">
        <f t="array" ref="H251">_xlfn.IFS(D251="","",D251="Grand Total",SUM(H$2:H250),TRUE,IF(COUNTIF(Transactions[Custom Category],D251)&gt;0,SUMIFS(Transactions[Amount],Transactions[Custom Category],D251,Transactions[Month],Sel_Month),SUMIFS(Transactions[Amount],Transactions[Name],D251,Transactions[Month],Sel_Month)))</f>
        <v/>
      </c>
      <c r="I251" s="8" t="str">
        <f t="shared" si="3"/>
        <v/>
      </c>
    </row>
    <row r="252" spans="3:9" x14ac:dyDescent="0.3">
      <c r="C252" s="7"/>
      <c r="H252" s="7" t="str" cm="1">
        <f t="array" ref="H252">_xlfn.IFS(D252="","",D252="Grand Total",SUM(H$2:H251),TRUE,IF(COUNTIF(Transactions[Custom Category],D252)&gt;0,SUMIFS(Transactions[Amount],Transactions[Custom Category],D252,Transactions[Month],Sel_Month),SUMIFS(Transactions[Amount],Transactions[Name],D252,Transactions[Month],Sel_Month)))</f>
        <v/>
      </c>
      <c r="I252" s="8" t="str">
        <f t="shared" si="3"/>
        <v/>
      </c>
    </row>
    <row r="253" spans="3:9" x14ac:dyDescent="0.3">
      <c r="C253" s="7"/>
      <c r="H253" s="7" t="str" cm="1">
        <f t="array" ref="H253">_xlfn.IFS(D253="","",D253="Grand Total",SUM(H$2:H252),TRUE,IF(COUNTIF(Transactions[Custom Category],D253)&gt;0,SUMIFS(Transactions[Amount],Transactions[Custom Category],D253,Transactions[Month],Sel_Month),SUMIFS(Transactions[Amount],Transactions[Name],D253,Transactions[Month],Sel_Month)))</f>
        <v/>
      </c>
      <c r="I253" s="8" t="str">
        <f t="shared" si="3"/>
        <v/>
      </c>
    </row>
    <row r="254" spans="3:9" x14ac:dyDescent="0.3">
      <c r="C254" s="7"/>
      <c r="H254" s="7" t="str" cm="1">
        <f t="array" ref="H254">_xlfn.IFS(D254="","",D254="Grand Total",SUM(H$2:H253),TRUE,IF(COUNTIF(Transactions[Custom Category],D254)&gt;0,SUMIFS(Transactions[Amount],Transactions[Custom Category],D254,Transactions[Month],Sel_Month),SUMIFS(Transactions[Amount],Transactions[Name],D254,Transactions[Month],Sel_Month)))</f>
        <v/>
      </c>
      <c r="I254" s="8" t="str">
        <f t="shared" si="3"/>
        <v/>
      </c>
    </row>
    <row r="255" spans="3:9" x14ac:dyDescent="0.3">
      <c r="C255" s="7"/>
      <c r="H255" s="7" t="str" cm="1">
        <f t="array" ref="H255">_xlfn.IFS(D255="","",D255="Grand Total",SUM(H$2:H254),TRUE,IF(COUNTIF(Transactions[Custom Category],D255)&gt;0,SUMIFS(Transactions[Amount],Transactions[Custom Category],D255,Transactions[Month],Sel_Month),SUMIFS(Transactions[Amount],Transactions[Name],D255,Transactions[Month],Sel_Month)))</f>
        <v/>
      </c>
      <c r="I255" s="8" t="str">
        <f t="shared" si="3"/>
        <v/>
      </c>
    </row>
    <row r="256" spans="3:9" x14ac:dyDescent="0.3">
      <c r="C256" s="7"/>
      <c r="H256" s="7" t="str" cm="1">
        <f t="array" ref="H256">_xlfn.IFS(D256="","",D256="Grand Total",SUM(H$2:H255),TRUE,IF(COUNTIF(Transactions[Custom Category],D256)&gt;0,SUMIFS(Transactions[Amount],Transactions[Custom Category],D256,Transactions[Month],Sel_Month),SUMIFS(Transactions[Amount],Transactions[Name],D256,Transactions[Month],Sel_Month)))</f>
        <v/>
      </c>
      <c r="I256" s="8" t="str">
        <f t="shared" si="3"/>
        <v/>
      </c>
    </row>
    <row r="257" spans="3:9" x14ac:dyDescent="0.3">
      <c r="C257" s="7"/>
      <c r="H257" s="7" t="str" cm="1">
        <f t="array" ref="H257">_xlfn.IFS(D257="","",D257="Grand Total",SUM(H$2:H256),TRUE,IF(COUNTIF(Transactions[Custom Category],D257)&gt;0,SUMIFS(Transactions[Amount],Transactions[Custom Category],D257,Transactions[Month],Sel_Month),SUMIFS(Transactions[Amount],Transactions[Name],D257,Transactions[Month],Sel_Month)))</f>
        <v/>
      </c>
      <c r="I257" s="8" t="str">
        <f t="shared" si="3"/>
        <v/>
      </c>
    </row>
    <row r="258" spans="3:9" x14ac:dyDescent="0.3">
      <c r="C258" s="7"/>
      <c r="H258" s="7" t="str" cm="1">
        <f t="array" ref="H258">_xlfn.IFS(D258="","",D258="Grand Total",SUM(H$2:H257),TRUE,IF(COUNTIF(Transactions[Custom Category],D258)&gt;0,SUMIFS(Transactions[Amount],Transactions[Custom Category],D258,Transactions[Month],Sel_Month),SUMIFS(Transactions[Amount],Transactions[Name],D258,Transactions[Month],Sel_Month)))</f>
        <v/>
      </c>
      <c r="I258" s="8" t="str">
        <f t="shared" si="3"/>
        <v/>
      </c>
    </row>
    <row r="259" spans="3:9" x14ac:dyDescent="0.3">
      <c r="C259" s="7"/>
      <c r="H259" s="7" t="str" cm="1">
        <f t="array" ref="H259">_xlfn.IFS(D259="","",D259="Grand Total",SUM(H$2:H258),TRUE,IF(COUNTIF(Transactions[Custom Category],D259)&gt;0,SUMIFS(Transactions[Amount],Transactions[Custom Category],D259,Transactions[Month],Sel_Month),SUMIFS(Transactions[Amount],Transactions[Name],D259,Transactions[Month],Sel_Month)))</f>
        <v/>
      </c>
      <c r="I259" s="8" t="str">
        <f t="shared" si="3"/>
        <v/>
      </c>
    </row>
    <row r="260" spans="3:9" x14ac:dyDescent="0.3">
      <c r="C260" s="7"/>
      <c r="H260" s="7" t="str" cm="1">
        <f t="array" ref="H260">_xlfn.IFS(D260="","",D260="Grand Total",SUM(H$2:H259),TRUE,IF(COUNTIF(Transactions[Custom Category],D260)&gt;0,SUMIFS(Transactions[Amount],Transactions[Custom Category],D260,Transactions[Month],Sel_Month),SUMIFS(Transactions[Amount],Transactions[Name],D260,Transactions[Month],Sel_Month)))</f>
        <v/>
      </c>
      <c r="I260" s="8" t="str">
        <f t="shared" ref="I260:I323" si="4">IF(F260="","",IF(F260=0,0,1-((F260-H260)/F260)))</f>
        <v/>
      </c>
    </row>
    <row r="261" spans="3:9" x14ac:dyDescent="0.3">
      <c r="C261" s="7"/>
      <c r="H261" s="7" t="str" cm="1">
        <f t="array" ref="H261">_xlfn.IFS(D261="","",D261="Grand Total",SUM(H$2:H260),TRUE,IF(COUNTIF(Transactions[Custom Category],D261)&gt;0,SUMIFS(Transactions[Amount],Transactions[Custom Category],D261,Transactions[Month],Sel_Month),SUMIFS(Transactions[Amount],Transactions[Name],D261,Transactions[Month],Sel_Month)))</f>
        <v/>
      </c>
      <c r="I261" s="8" t="str">
        <f t="shared" si="4"/>
        <v/>
      </c>
    </row>
    <row r="262" spans="3:9" x14ac:dyDescent="0.3">
      <c r="C262" s="7"/>
      <c r="H262" s="7" t="str" cm="1">
        <f t="array" ref="H262">_xlfn.IFS(D262="","",D262="Grand Total",SUM(H$2:H261),TRUE,IF(COUNTIF(Transactions[Custom Category],D262)&gt;0,SUMIFS(Transactions[Amount],Transactions[Custom Category],D262,Transactions[Month],Sel_Month),SUMIFS(Transactions[Amount],Transactions[Name],D262,Transactions[Month],Sel_Month)))</f>
        <v/>
      </c>
      <c r="I262" s="8" t="str">
        <f t="shared" si="4"/>
        <v/>
      </c>
    </row>
    <row r="263" spans="3:9" x14ac:dyDescent="0.3">
      <c r="C263" s="7"/>
      <c r="H263" s="7" t="str" cm="1">
        <f t="array" ref="H263">_xlfn.IFS(D263="","",D263="Grand Total",SUM(H$2:H262),TRUE,IF(COUNTIF(Transactions[Custom Category],D263)&gt;0,SUMIFS(Transactions[Amount],Transactions[Custom Category],D263,Transactions[Month],Sel_Month),SUMIFS(Transactions[Amount],Transactions[Name],D263,Transactions[Month],Sel_Month)))</f>
        <v/>
      </c>
      <c r="I263" s="8" t="str">
        <f t="shared" si="4"/>
        <v/>
      </c>
    </row>
    <row r="264" spans="3:9" x14ac:dyDescent="0.3">
      <c r="C264" s="7"/>
      <c r="H264" s="7" t="str" cm="1">
        <f t="array" ref="H264">_xlfn.IFS(D264="","",D264="Grand Total",SUM(H$2:H263),TRUE,IF(COUNTIF(Transactions[Custom Category],D264)&gt;0,SUMIFS(Transactions[Amount],Transactions[Custom Category],D264,Transactions[Month],Sel_Month),SUMIFS(Transactions[Amount],Transactions[Name],D264,Transactions[Month],Sel_Month)))</f>
        <v/>
      </c>
      <c r="I264" s="8" t="str">
        <f t="shared" si="4"/>
        <v/>
      </c>
    </row>
    <row r="265" spans="3:9" x14ac:dyDescent="0.3">
      <c r="C265" s="7"/>
      <c r="H265" s="7" t="str" cm="1">
        <f t="array" ref="H265">_xlfn.IFS(D265="","",D265="Grand Total",SUM(H$2:H264),TRUE,IF(COUNTIF(Transactions[Custom Category],D265)&gt;0,SUMIFS(Transactions[Amount],Transactions[Custom Category],D265,Transactions[Month],Sel_Month),SUMIFS(Transactions[Amount],Transactions[Name],D265,Transactions[Month],Sel_Month)))</f>
        <v/>
      </c>
      <c r="I265" s="8" t="str">
        <f t="shared" si="4"/>
        <v/>
      </c>
    </row>
    <row r="266" spans="3:9" x14ac:dyDescent="0.3">
      <c r="C266" s="7"/>
      <c r="H266" s="7" t="str" cm="1">
        <f t="array" ref="H266">_xlfn.IFS(D266="","",D266="Grand Total",SUM(H$2:H265),TRUE,IF(COUNTIF(Transactions[Custom Category],D266)&gt;0,SUMIFS(Transactions[Amount],Transactions[Custom Category],D266,Transactions[Month],Sel_Month),SUMIFS(Transactions[Amount],Transactions[Name],D266,Transactions[Month],Sel_Month)))</f>
        <v/>
      </c>
      <c r="I266" s="8" t="str">
        <f t="shared" si="4"/>
        <v/>
      </c>
    </row>
    <row r="267" spans="3:9" x14ac:dyDescent="0.3">
      <c r="C267" s="7"/>
      <c r="H267" s="7" t="str" cm="1">
        <f t="array" ref="H267">_xlfn.IFS(D267="","",D267="Grand Total",SUM(H$2:H266),TRUE,IF(COUNTIF(Transactions[Custom Category],D267)&gt;0,SUMIFS(Transactions[Amount],Transactions[Custom Category],D267,Transactions[Month],Sel_Month),SUMIFS(Transactions[Amount],Transactions[Name],D267,Transactions[Month],Sel_Month)))</f>
        <v/>
      </c>
      <c r="I267" s="8" t="str">
        <f t="shared" si="4"/>
        <v/>
      </c>
    </row>
    <row r="268" spans="3:9" x14ac:dyDescent="0.3">
      <c r="C268" s="7"/>
      <c r="H268" s="7" t="str" cm="1">
        <f t="array" ref="H268">_xlfn.IFS(D268="","",D268="Grand Total",SUM(H$2:H267),TRUE,IF(COUNTIF(Transactions[Custom Category],D268)&gt;0,SUMIFS(Transactions[Amount],Transactions[Custom Category],D268,Transactions[Month],Sel_Month),SUMIFS(Transactions[Amount],Transactions[Name],D268,Transactions[Month],Sel_Month)))</f>
        <v/>
      </c>
      <c r="I268" s="8" t="str">
        <f t="shared" si="4"/>
        <v/>
      </c>
    </row>
    <row r="269" spans="3:9" x14ac:dyDescent="0.3">
      <c r="C269" s="7"/>
      <c r="H269" s="7" t="str" cm="1">
        <f t="array" ref="H269">_xlfn.IFS(D269="","",D269="Grand Total",SUM(H$2:H268),TRUE,IF(COUNTIF(Transactions[Custom Category],D269)&gt;0,SUMIFS(Transactions[Amount],Transactions[Custom Category],D269,Transactions[Month],Sel_Month),SUMIFS(Transactions[Amount],Transactions[Name],D269,Transactions[Month],Sel_Month)))</f>
        <v/>
      </c>
      <c r="I269" s="8" t="str">
        <f t="shared" si="4"/>
        <v/>
      </c>
    </row>
    <row r="270" spans="3:9" x14ac:dyDescent="0.3">
      <c r="C270" s="7"/>
      <c r="H270" s="7" t="str" cm="1">
        <f t="array" ref="H270">_xlfn.IFS(D270="","",D270="Grand Total",SUM(H$2:H269),TRUE,IF(COUNTIF(Transactions[Custom Category],D270)&gt;0,SUMIFS(Transactions[Amount],Transactions[Custom Category],D270,Transactions[Month],Sel_Month),SUMIFS(Transactions[Amount],Transactions[Name],D270,Transactions[Month],Sel_Month)))</f>
        <v/>
      </c>
      <c r="I270" s="8" t="str">
        <f t="shared" si="4"/>
        <v/>
      </c>
    </row>
    <row r="271" spans="3:9" x14ac:dyDescent="0.3">
      <c r="C271" s="7"/>
      <c r="H271" s="7" t="str" cm="1">
        <f t="array" ref="H271">_xlfn.IFS(D271="","",D271="Grand Total",SUM(H$2:H270),TRUE,IF(COUNTIF(Transactions[Custom Category],D271)&gt;0,SUMIFS(Transactions[Amount],Transactions[Custom Category],D271,Transactions[Month],Sel_Month),SUMIFS(Transactions[Amount],Transactions[Name],D271,Transactions[Month],Sel_Month)))</f>
        <v/>
      </c>
      <c r="I271" s="8" t="str">
        <f t="shared" si="4"/>
        <v/>
      </c>
    </row>
    <row r="272" spans="3:9" x14ac:dyDescent="0.3">
      <c r="C272" s="7"/>
      <c r="H272" s="7" t="str" cm="1">
        <f t="array" ref="H272">_xlfn.IFS(D272="","",D272="Grand Total",SUM(H$2:H271),TRUE,IF(COUNTIF(Transactions[Custom Category],D272)&gt;0,SUMIFS(Transactions[Amount],Transactions[Custom Category],D272,Transactions[Month],Sel_Month),SUMIFS(Transactions[Amount],Transactions[Name],D272,Transactions[Month],Sel_Month)))</f>
        <v/>
      </c>
      <c r="I272" s="8" t="str">
        <f t="shared" si="4"/>
        <v/>
      </c>
    </row>
    <row r="273" spans="3:9" x14ac:dyDescent="0.3">
      <c r="C273" s="7"/>
      <c r="H273" s="7" t="str" cm="1">
        <f t="array" ref="H273">_xlfn.IFS(D273="","",D273="Grand Total",SUM(H$2:H272),TRUE,IF(COUNTIF(Transactions[Custom Category],D273)&gt;0,SUMIFS(Transactions[Amount],Transactions[Custom Category],D273,Transactions[Month],Sel_Month),SUMIFS(Transactions[Amount],Transactions[Name],D273,Transactions[Month],Sel_Month)))</f>
        <v/>
      </c>
      <c r="I273" s="8" t="str">
        <f t="shared" si="4"/>
        <v/>
      </c>
    </row>
    <row r="274" spans="3:9" x14ac:dyDescent="0.3">
      <c r="C274" s="7"/>
      <c r="H274" s="7" t="str" cm="1">
        <f t="array" ref="H274">_xlfn.IFS(D274="","",D274="Grand Total",SUM(H$2:H273),TRUE,IF(COUNTIF(Transactions[Custom Category],D274)&gt;0,SUMIFS(Transactions[Amount],Transactions[Custom Category],D274,Transactions[Month],Sel_Month),SUMIFS(Transactions[Amount],Transactions[Name],D274,Transactions[Month],Sel_Month)))</f>
        <v/>
      </c>
      <c r="I274" s="8" t="str">
        <f t="shared" si="4"/>
        <v/>
      </c>
    </row>
    <row r="275" spans="3:9" x14ac:dyDescent="0.3">
      <c r="C275" s="7"/>
      <c r="H275" s="7" t="str" cm="1">
        <f t="array" ref="H275">_xlfn.IFS(D275="","",D275="Grand Total",SUM(H$2:H274),TRUE,IF(COUNTIF(Transactions[Custom Category],D275)&gt;0,SUMIFS(Transactions[Amount],Transactions[Custom Category],D275,Transactions[Month],Sel_Month),SUMIFS(Transactions[Amount],Transactions[Name],D275,Transactions[Month],Sel_Month)))</f>
        <v/>
      </c>
      <c r="I275" s="8" t="str">
        <f t="shared" si="4"/>
        <v/>
      </c>
    </row>
    <row r="276" spans="3:9" x14ac:dyDescent="0.3">
      <c r="C276" s="7"/>
      <c r="H276" s="7" t="str" cm="1">
        <f t="array" ref="H276">_xlfn.IFS(D276="","",D276="Grand Total",SUM(H$2:H275),TRUE,IF(COUNTIF(Transactions[Custom Category],D276)&gt;0,SUMIFS(Transactions[Amount],Transactions[Custom Category],D276,Transactions[Month],Sel_Month),SUMIFS(Transactions[Amount],Transactions[Name],D276,Transactions[Month],Sel_Month)))</f>
        <v/>
      </c>
      <c r="I276" s="8" t="str">
        <f t="shared" si="4"/>
        <v/>
      </c>
    </row>
    <row r="277" spans="3:9" x14ac:dyDescent="0.3">
      <c r="C277" s="7"/>
      <c r="H277" s="7" t="str" cm="1">
        <f t="array" ref="H277">_xlfn.IFS(D277="","",D277="Grand Total",SUM(H$2:H276),TRUE,IF(COUNTIF(Transactions[Custom Category],D277)&gt;0,SUMIFS(Transactions[Amount],Transactions[Custom Category],D277,Transactions[Month],Sel_Month),SUMIFS(Transactions[Amount],Transactions[Name],D277,Transactions[Month],Sel_Month)))</f>
        <v/>
      </c>
      <c r="I277" s="8" t="str">
        <f t="shared" si="4"/>
        <v/>
      </c>
    </row>
    <row r="278" spans="3:9" x14ac:dyDescent="0.3">
      <c r="C278" s="7"/>
      <c r="H278" s="7" t="str" cm="1">
        <f t="array" ref="H278">_xlfn.IFS(D278="","",D278="Grand Total",SUM(H$2:H277),TRUE,IF(COUNTIF(Transactions[Custom Category],D278)&gt;0,SUMIFS(Transactions[Amount],Transactions[Custom Category],D278,Transactions[Month],Sel_Month),SUMIFS(Transactions[Amount],Transactions[Name],D278,Transactions[Month],Sel_Month)))</f>
        <v/>
      </c>
      <c r="I278" s="8" t="str">
        <f t="shared" si="4"/>
        <v/>
      </c>
    </row>
    <row r="279" spans="3:9" x14ac:dyDescent="0.3">
      <c r="C279" s="7"/>
      <c r="H279" s="7" t="str" cm="1">
        <f t="array" ref="H279">_xlfn.IFS(D279="","",D279="Grand Total",SUM(H$2:H278),TRUE,IF(COUNTIF(Transactions[Custom Category],D279)&gt;0,SUMIFS(Transactions[Amount],Transactions[Custom Category],D279,Transactions[Month],Sel_Month),SUMIFS(Transactions[Amount],Transactions[Name],D279,Transactions[Month],Sel_Month)))</f>
        <v/>
      </c>
      <c r="I279" s="8" t="str">
        <f t="shared" si="4"/>
        <v/>
      </c>
    </row>
    <row r="280" spans="3:9" x14ac:dyDescent="0.3">
      <c r="C280" s="7"/>
      <c r="H280" s="7" t="str" cm="1">
        <f t="array" ref="H280">_xlfn.IFS(D280="","",D280="Grand Total",SUM(H$2:H279),TRUE,IF(COUNTIF(Transactions[Custom Category],D280)&gt;0,SUMIFS(Transactions[Amount],Transactions[Custom Category],D280,Transactions[Month],Sel_Month),SUMIFS(Transactions[Amount],Transactions[Name],D280,Transactions[Month],Sel_Month)))</f>
        <v/>
      </c>
      <c r="I280" s="8" t="str">
        <f t="shared" si="4"/>
        <v/>
      </c>
    </row>
    <row r="281" spans="3:9" x14ac:dyDescent="0.3">
      <c r="C281" s="7"/>
      <c r="H281" s="7" t="str" cm="1">
        <f t="array" ref="H281">_xlfn.IFS(D281="","",D281="Grand Total",SUM(H$2:H280),TRUE,IF(COUNTIF(Transactions[Custom Category],D281)&gt;0,SUMIFS(Transactions[Amount],Transactions[Custom Category],D281,Transactions[Month],Sel_Month),SUMIFS(Transactions[Amount],Transactions[Name],D281,Transactions[Month],Sel_Month)))</f>
        <v/>
      </c>
      <c r="I281" s="8" t="str">
        <f t="shared" si="4"/>
        <v/>
      </c>
    </row>
    <row r="282" spans="3:9" x14ac:dyDescent="0.3">
      <c r="C282" s="7"/>
      <c r="H282" s="7" t="str" cm="1">
        <f t="array" ref="H282">_xlfn.IFS(D282="","",D282="Grand Total",SUM(H$2:H281),TRUE,IF(COUNTIF(Transactions[Custom Category],D282)&gt;0,SUMIFS(Transactions[Amount],Transactions[Custom Category],D282,Transactions[Month],Sel_Month),SUMIFS(Transactions[Amount],Transactions[Name],D282,Transactions[Month],Sel_Month)))</f>
        <v/>
      </c>
      <c r="I282" s="8" t="str">
        <f t="shared" si="4"/>
        <v/>
      </c>
    </row>
    <row r="283" spans="3:9" x14ac:dyDescent="0.3">
      <c r="C283" s="7"/>
      <c r="H283" s="7" t="str" cm="1">
        <f t="array" ref="H283">_xlfn.IFS(D283="","",D283="Grand Total",SUM(H$2:H282),TRUE,IF(COUNTIF(Transactions[Custom Category],D283)&gt;0,SUMIFS(Transactions[Amount],Transactions[Custom Category],D283,Transactions[Month],Sel_Month),SUMIFS(Transactions[Amount],Transactions[Name],D283,Transactions[Month],Sel_Month)))</f>
        <v/>
      </c>
      <c r="I283" s="8" t="str">
        <f t="shared" si="4"/>
        <v/>
      </c>
    </row>
    <row r="284" spans="3:9" x14ac:dyDescent="0.3">
      <c r="C284" s="7"/>
      <c r="H284" s="7" t="str" cm="1">
        <f t="array" ref="H284">_xlfn.IFS(D284="","",D284="Grand Total",SUM(H$2:H283),TRUE,IF(COUNTIF(Transactions[Custom Category],D284)&gt;0,SUMIFS(Transactions[Amount],Transactions[Custom Category],D284,Transactions[Month],Sel_Month),SUMIFS(Transactions[Amount],Transactions[Name],D284,Transactions[Month],Sel_Month)))</f>
        <v/>
      </c>
      <c r="I284" s="8" t="str">
        <f t="shared" si="4"/>
        <v/>
      </c>
    </row>
    <row r="285" spans="3:9" x14ac:dyDescent="0.3">
      <c r="C285" s="7"/>
      <c r="H285" s="7" t="str" cm="1">
        <f t="array" ref="H285">_xlfn.IFS(D285="","",D285="Grand Total",SUM(H$2:H284),TRUE,IF(COUNTIF(Transactions[Custom Category],D285)&gt;0,SUMIFS(Transactions[Amount],Transactions[Custom Category],D285,Transactions[Month],Sel_Month),SUMIFS(Transactions[Amount],Transactions[Name],D285,Transactions[Month],Sel_Month)))</f>
        <v/>
      </c>
      <c r="I285" s="8" t="str">
        <f t="shared" si="4"/>
        <v/>
      </c>
    </row>
    <row r="286" spans="3:9" x14ac:dyDescent="0.3">
      <c r="C286" s="7"/>
      <c r="H286" s="7" t="str" cm="1">
        <f t="array" ref="H286">_xlfn.IFS(D286="","",D286="Grand Total",SUM(H$2:H285),TRUE,IF(COUNTIF(Transactions[Custom Category],D286)&gt;0,SUMIFS(Transactions[Amount],Transactions[Custom Category],D286,Transactions[Month],Sel_Month),SUMIFS(Transactions[Amount],Transactions[Name],D286,Transactions[Month],Sel_Month)))</f>
        <v/>
      </c>
      <c r="I286" s="8" t="str">
        <f t="shared" si="4"/>
        <v/>
      </c>
    </row>
    <row r="287" spans="3:9" x14ac:dyDescent="0.3">
      <c r="C287" s="7"/>
      <c r="H287" s="7" t="str" cm="1">
        <f t="array" ref="H287">_xlfn.IFS(D287="","",D287="Grand Total",SUM(H$2:H286),TRUE,IF(COUNTIF(Transactions[Custom Category],D287)&gt;0,SUMIFS(Transactions[Amount],Transactions[Custom Category],D287,Transactions[Month],Sel_Month),SUMIFS(Transactions[Amount],Transactions[Name],D287,Transactions[Month],Sel_Month)))</f>
        <v/>
      </c>
      <c r="I287" s="8" t="str">
        <f t="shared" si="4"/>
        <v/>
      </c>
    </row>
    <row r="288" spans="3:9" x14ac:dyDescent="0.3">
      <c r="C288" s="7"/>
      <c r="H288" s="7" t="str" cm="1">
        <f t="array" ref="H288">_xlfn.IFS(D288="","",D288="Grand Total",SUM(H$2:H287),TRUE,IF(COUNTIF(Transactions[Custom Category],D288)&gt;0,SUMIFS(Transactions[Amount],Transactions[Custom Category],D288,Transactions[Month],Sel_Month),SUMIFS(Transactions[Amount],Transactions[Name],D288,Transactions[Month],Sel_Month)))</f>
        <v/>
      </c>
      <c r="I288" s="8" t="str">
        <f t="shared" si="4"/>
        <v/>
      </c>
    </row>
    <row r="289" spans="3:9" x14ac:dyDescent="0.3">
      <c r="C289" s="7"/>
      <c r="H289" s="7" t="str" cm="1">
        <f t="array" ref="H289">_xlfn.IFS(D289="","",D289="Grand Total",SUM(H$2:H288),TRUE,IF(COUNTIF(Transactions[Custom Category],D289)&gt;0,SUMIFS(Transactions[Amount],Transactions[Custom Category],D289,Transactions[Month],Sel_Month),SUMIFS(Transactions[Amount],Transactions[Name],D289,Transactions[Month],Sel_Month)))</f>
        <v/>
      </c>
      <c r="I289" s="8" t="str">
        <f t="shared" si="4"/>
        <v/>
      </c>
    </row>
    <row r="290" spans="3:9" x14ac:dyDescent="0.3">
      <c r="C290" s="7"/>
      <c r="H290" s="7" t="str" cm="1">
        <f t="array" ref="H290">_xlfn.IFS(D290="","",D290="Grand Total",SUM(H$2:H289),TRUE,IF(COUNTIF(Transactions[Custom Category],D290)&gt;0,SUMIFS(Transactions[Amount],Transactions[Custom Category],D290,Transactions[Month],Sel_Month),SUMIFS(Transactions[Amount],Transactions[Name],D290,Transactions[Month],Sel_Month)))</f>
        <v/>
      </c>
      <c r="I290" s="8" t="str">
        <f t="shared" si="4"/>
        <v/>
      </c>
    </row>
    <row r="291" spans="3:9" x14ac:dyDescent="0.3">
      <c r="C291" s="7"/>
      <c r="H291" s="7" t="str" cm="1">
        <f t="array" ref="H291">_xlfn.IFS(D291="","",D291="Grand Total",SUM(H$2:H290),TRUE,IF(COUNTIF(Transactions[Custom Category],D291)&gt;0,SUMIFS(Transactions[Amount],Transactions[Custom Category],D291,Transactions[Month],Sel_Month),SUMIFS(Transactions[Amount],Transactions[Name],D291,Transactions[Month],Sel_Month)))</f>
        <v/>
      </c>
      <c r="I291" s="8" t="str">
        <f t="shared" si="4"/>
        <v/>
      </c>
    </row>
    <row r="292" spans="3:9" x14ac:dyDescent="0.3">
      <c r="C292" s="7"/>
      <c r="H292" s="7" t="str" cm="1">
        <f t="array" ref="H292">_xlfn.IFS(D292="","",D292="Grand Total",SUM(H$2:H291),TRUE,IF(COUNTIF(Transactions[Custom Category],D292)&gt;0,SUMIFS(Transactions[Amount],Transactions[Custom Category],D292,Transactions[Month],Sel_Month),SUMIFS(Transactions[Amount],Transactions[Name],D292,Transactions[Month],Sel_Month)))</f>
        <v/>
      </c>
      <c r="I292" s="8" t="str">
        <f t="shared" si="4"/>
        <v/>
      </c>
    </row>
    <row r="293" spans="3:9" x14ac:dyDescent="0.3">
      <c r="C293" s="7"/>
      <c r="H293" s="7" t="str" cm="1">
        <f t="array" ref="H293">_xlfn.IFS(D293="","",D293="Grand Total",SUM(H$2:H292),TRUE,IF(COUNTIF(Transactions[Custom Category],D293)&gt;0,SUMIFS(Transactions[Amount],Transactions[Custom Category],D293,Transactions[Month],Sel_Month),SUMIFS(Transactions[Amount],Transactions[Name],D293,Transactions[Month],Sel_Month)))</f>
        <v/>
      </c>
      <c r="I293" s="8" t="str">
        <f t="shared" si="4"/>
        <v/>
      </c>
    </row>
    <row r="294" spans="3:9" x14ac:dyDescent="0.3">
      <c r="C294" s="7"/>
      <c r="H294" s="7" t="str" cm="1">
        <f t="array" ref="H294">_xlfn.IFS(D294="","",D294="Grand Total",SUM(H$2:H293),TRUE,IF(COUNTIF(Transactions[Custom Category],D294)&gt;0,SUMIFS(Transactions[Amount],Transactions[Custom Category],D294,Transactions[Month],Sel_Month),SUMIFS(Transactions[Amount],Transactions[Name],D294,Transactions[Month],Sel_Month)))</f>
        <v/>
      </c>
      <c r="I294" s="8" t="str">
        <f t="shared" si="4"/>
        <v/>
      </c>
    </row>
    <row r="295" spans="3:9" x14ac:dyDescent="0.3">
      <c r="C295" s="7"/>
      <c r="H295" s="7" t="str" cm="1">
        <f t="array" ref="H295">_xlfn.IFS(D295="","",D295="Grand Total",SUM(H$2:H294),TRUE,IF(COUNTIF(Transactions[Custom Category],D295)&gt;0,SUMIFS(Transactions[Amount],Transactions[Custom Category],D295,Transactions[Month],Sel_Month),SUMIFS(Transactions[Amount],Transactions[Name],D295,Transactions[Month],Sel_Month)))</f>
        <v/>
      </c>
      <c r="I295" s="8" t="str">
        <f t="shared" si="4"/>
        <v/>
      </c>
    </row>
    <row r="296" spans="3:9" x14ac:dyDescent="0.3">
      <c r="C296" s="7"/>
      <c r="H296" s="7" t="str" cm="1">
        <f t="array" ref="H296">_xlfn.IFS(D296="","",D296="Grand Total",SUM(H$2:H295),TRUE,IF(COUNTIF(Transactions[Custom Category],D296)&gt;0,SUMIFS(Transactions[Amount],Transactions[Custom Category],D296,Transactions[Month],Sel_Month),SUMIFS(Transactions[Amount],Transactions[Name],D296,Transactions[Month],Sel_Month)))</f>
        <v/>
      </c>
      <c r="I296" s="8" t="str">
        <f t="shared" si="4"/>
        <v/>
      </c>
    </row>
    <row r="297" spans="3:9" x14ac:dyDescent="0.3">
      <c r="C297" s="7"/>
      <c r="H297" s="7" t="str" cm="1">
        <f t="array" ref="H297">_xlfn.IFS(D297="","",D297="Grand Total",SUM(H$2:H296),TRUE,IF(COUNTIF(Transactions[Custom Category],D297)&gt;0,SUMIFS(Transactions[Amount],Transactions[Custom Category],D297,Transactions[Month],Sel_Month),SUMIFS(Transactions[Amount],Transactions[Name],D297,Transactions[Month],Sel_Month)))</f>
        <v/>
      </c>
      <c r="I297" s="8" t="str">
        <f t="shared" si="4"/>
        <v/>
      </c>
    </row>
    <row r="298" spans="3:9" x14ac:dyDescent="0.3">
      <c r="C298" s="7"/>
      <c r="H298" s="7" t="str" cm="1">
        <f t="array" ref="H298">_xlfn.IFS(D298="","",D298="Grand Total",SUM(H$2:H297),TRUE,IF(COUNTIF(Transactions[Custom Category],D298)&gt;0,SUMIFS(Transactions[Amount],Transactions[Custom Category],D298,Transactions[Month],Sel_Month),SUMIFS(Transactions[Amount],Transactions[Name],D298,Transactions[Month],Sel_Month)))</f>
        <v/>
      </c>
      <c r="I298" s="8" t="str">
        <f t="shared" si="4"/>
        <v/>
      </c>
    </row>
    <row r="299" spans="3:9" x14ac:dyDescent="0.3">
      <c r="C299" s="7"/>
      <c r="H299" s="7" t="str" cm="1">
        <f t="array" ref="H299">_xlfn.IFS(D299="","",D299="Grand Total",SUM(H$2:H298),TRUE,IF(COUNTIF(Transactions[Custom Category],D299)&gt;0,SUMIFS(Transactions[Amount],Transactions[Custom Category],D299,Transactions[Month],Sel_Month),SUMIFS(Transactions[Amount],Transactions[Name],D299,Transactions[Month],Sel_Month)))</f>
        <v/>
      </c>
      <c r="I299" s="8" t="str">
        <f t="shared" si="4"/>
        <v/>
      </c>
    </row>
    <row r="300" spans="3:9" x14ac:dyDescent="0.3">
      <c r="C300" s="7"/>
      <c r="H300" s="7" t="str" cm="1">
        <f t="array" ref="H300">_xlfn.IFS(D300="","",D300="Grand Total",SUM(H$2:H299),TRUE,IF(COUNTIF(Transactions[Custom Category],D300)&gt;0,SUMIFS(Transactions[Amount],Transactions[Custom Category],D300,Transactions[Month],Sel_Month),SUMIFS(Transactions[Amount],Transactions[Name],D300,Transactions[Month],Sel_Month)))</f>
        <v/>
      </c>
      <c r="I300" s="8" t="str">
        <f t="shared" si="4"/>
        <v/>
      </c>
    </row>
    <row r="301" spans="3:9" x14ac:dyDescent="0.3">
      <c r="C301" s="7"/>
      <c r="H301" s="7" t="str" cm="1">
        <f t="array" ref="H301">_xlfn.IFS(D301="","",D301="Grand Total",SUM(H$2:H300),TRUE,IF(COUNTIF(Transactions[Custom Category],D301)&gt;0,SUMIFS(Transactions[Amount],Transactions[Custom Category],D301,Transactions[Month],Sel_Month),SUMIFS(Transactions[Amount],Transactions[Name],D301,Transactions[Month],Sel_Month)))</f>
        <v/>
      </c>
      <c r="I301" s="8" t="str">
        <f t="shared" si="4"/>
        <v/>
      </c>
    </row>
    <row r="302" spans="3:9" x14ac:dyDescent="0.3">
      <c r="C302" s="7"/>
      <c r="H302" s="7" t="str" cm="1">
        <f t="array" ref="H302">_xlfn.IFS(D302="","",D302="Grand Total",SUM(H$2:H301),TRUE,IF(COUNTIF(Transactions[Custom Category],D302)&gt;0,SUMIFS(Transactions[Amount],Transactions[Custom Category],D302,Transactions[Month],Sel_Month),SUMIFS(Transactions[Amount],Transactions[Name],D302,Transactions[Month],Sel_Month)))</f>
        <v/>
      </c>
      <c r="I302" s="8" t="str">
        <f t="shared" si="4"/>
        <v/>
      </c>
    </row>
    <row r="303" spans="3:9" x14ac:dyDescent="0.3">
      <c r="C303" s="7"/>
      <c r="H303" s="7" t="str" cm="1">
        <f t="array" ref="H303">_xlfn.IFS(D303="","",D303="Grand Total",SUM(H$2:H302),TRUE,IF(COUNTIF(Transactions[Custom Category],D303)&gt;0,SUMIFS(Transactions[Amount],Transactions[Custom Category],D303,Transactions[Month],Sel_Month),SUMIFS(Transactions[Amount],Transactions[Name],D303,Transactions[Month],Sel_Month)))</f>
        <v/>
      </c>
      <c r="I303" s="8" t="str">
        <f t="shared" si="4"/>
        <v/>
      </c>
    </row>
    <row r="304" spans="3:9" x14ac:dyDescent="0.3">
      <c r="C304" s="7"/>
      <c r="H304" s="7" t="str" cm="1">
        <f t="array" ref="H304">_xlfn.IFS(D304="","",D304="Grand Total",SUM(H$2:H303),TRUE,IF(COUNTIF(Transactions[Custom Category],D304)&gt;0,SUMIFS(Transactions[Amount],Transactions[Custom Category],D304,Transactions[Month],Sel_Month),SUMIFS(Transactions[Amount],Transactions[Name],D304,Transactions[Month],Sel_Month)))</f>
        <v/>
      </c>
      <c r="I304" s="8" t="str">
        <f t="shared" si="4"/>
        <v/>
      </c>
    </row>
    <row r="305" spans="3:9" x14ac:dyDescent="0.3">
      <c r="C305" s="7"/>
      <c r="H305" s="7" t="str" cm="1">
        <f t="array" ref="H305">_xlfn.IFS(D305="","",D305="Grand Total",SUM(H$2:H304),TRUE,IF(COUNTIF(Transactions[Custom Category],D305)&gt;0,SUMIFS(Transactions[Amount],Transactions[Custom Category],D305,Transactions[Month],Sel_Month),SUMIFS(Transactions[Amount],Transactions[Name],D305,Transactions[Month],Sel_Month)))</f>
        <v/>
      </c>
      <c r="I305" s="8" t="str">
        <f t="shared" si="4"/>
        <v/>
      </c>
    </row>
    <row r="306" spans="3:9" x14ac:dyDescent="0.3">
      <c r="C306" s="7"/>
      <c r="H306" s="7" t="str" cm="1">
        <f t="array" ref="H306">_xlfn.IFS(D306="","",D306="Grand Total",SUM(H$2:H305),TRUE,IF(COUNTIF(Transactions[Custom Category],D306)&gt;0,SUMIFS(Transactions[Amount],Transactions[Custom Category],D306,Transactions[Month],Sel_Month),SUMIFS(Transactions[Amount],Transactions[Name],D306,Transactions[Month],Sel_Month)))</f>
        <v/>
      </c>
      <c r="I306" s="8" t="str">
        <f t="shared" si="4"/>
        <v/>
      </c>
    </row>
    <row r="307" spans="3:9" x14ac:dyDescent="0.3">
      <c r="C307" s="7"/>
      <c r="H307" s="7" t="str" cm="1">
        <f t="array" ref="H307">_xlfn.IFS(D307="","",D307="Grand Total",SUM(H$2:H306),TRUE,IF(COUNTIF(Transactions[Custom Category],D307)&gt;0,SUMIFS(Transactions[Amount],Transactions[Custom Category],D307,Transactions[Month],Sel_Month),SUMIFS(Transactions[Amount],Transactions[Name],D307,Transactions[Month],Sel_Month)))</f>
        <v/>
      </c>
      <c r="I307" s="8" t="str">
        <f t="shared" si="4"/>
        <v/>
      </c>
    </row>
    <row r="308" spans="3:9" x14ac:dyDescent="0.3">
      <c r="C308" s="7"/>
      <c r="H308" s="7" t="str" cm="1">
        <f t="array" ref="H308">_xlfn.IFS(D308="","",D308="Grand Total",SUM(H$2:H307),TRUE,IF(COUNTIF(Transactions[Custom Category],D308)&gt;0,SUMIFS(Transactions[Amount],Transactions[Custom Category],D308,Transactions[Month],Sel_Month),SUMIFS(Transactions[Amount],Transactions[Name],D308,Transactions[Month],Sel_Month)))</f>
        <v/>
      </c>
      <c r="I308" s="8" t="str">
        <f t="shared" si="4"/>
        <v/>
      </c>
    </row>
    <row r="309" spans="3:9" x14ac:dyDescent="0.3">
      <c r="C309" s="7"/>
      <c r="H309" s="7" t="str" cm="1">
        <f t="array" ref="H309">_xlfn.IFS(D309="","",D309="Grand Total",SUM(H$2:H308),TRUE,IF(COUNTIF(Transactions[Custom Category],D309)&gt;0,SUMIFS(Transactions[Amount],Transactions[Custom Category],D309,Transactions[Month],Sel_Month),SUMIFS(Transactions[Amount],Transactions[Name],D309,Transactions[Month],Sel_Month)))</f>
        <v/>
      </c>
      <c r="I309" s="8" t="str">
        <f t="shared" si="4"/>
        <v/>
      </c>
    </row>
    <row r="310" spans="3:9" x14ac:dyDescent="0.3">
      <c r="C310" s="7"/>
      <c r="H310" s="7" t="str" cm="1">
        <f t="array" ref="H310">_xlfn.IFS(D310="","",D310="Grand Total",SUM(H$2:H309),TRUE,IF(COUNTIF(Transactions[Custom Category],D310)&gt;0,SUMIFS(Transactions[Amount],Transactions[Custom Category],D310,Transactions[Month],Sel_Month),SUMIFS(Transactions[Amount],Transactions[Name],D310,Transactions[Month],Sel_Month)))</f>
        <v/>
      </c>
      <c r="I310" s="8" t="str">
        <f t="shared" si="4"/>
        <v/>
      </c>
    </row>
    <row r="311" spans="3:9" x14ac:dyDescent="0.3">
      <c r="C311" s="7"/>
      <c r="H311" s="7" t="str" cm="1">
        <f t="array" ref="H311">_xlfn.IFS(D311="","",D311="Grand Total",SUM(H$2:H310),TRUE,IF(COUNTIF(Transactions[Custom Category],D311)&gt;0,SUMIFS(Transactions[Amount],Transactions[Custom Category],D311,Transactions[Month],Sel_Month),SUMIFS(Transactions[Amount],Transactions[Name],D311,Transactions[Month],Sel_Month)))</f>
        <v/>
      </c>
      <c r="I311" s="8" t="str">
        <f t="shared" si="4"/>
        <v/>
      </c>
    </row>
    <row r="312" spans="3:9" x14ac:dyDescent="0.3">
      <c r="C312" s="7"/>
      <c r="H312" s="7" t="str" cm="1">
        <f t="array" ref="H312">_xlfn.IFS(D312="","",D312="Grand Total",SUM(H$2:H311),TRUE,IF(COUNTIF(Transactions[Custom Category],D312)&gt;0,SUMIFS(Transactions[Amount],Transactions[Custom Category],D312,Transactions[Month],Sel_Month),SUMIFS(Transactions[Amount],Transactions[Name],D312,Transactions[Month],Sel_Month)))</f>
        <v/>
      </c>
      <c r="I312" s="8" t="str">
        <f t="shared" si="4"/>
        <v/>
      </c>
    </row>
    <row r="313" spans="3:9" x14ac:dyDescent="0.3">
      <c r="C313" s="7"/>
      <c r="H313" s="7" t="str" cm="1">
        <f t="array" ref="H313">_xlfn.IFS(D313="","",D313="Grand Total",SUM(H$2:H312),TRUE,IF(COUNTIF(Transactions[Custom Category],D313)&gt;0,SUMIFS(Transactions[Amount],Transactions[Custom Category],D313,Transactions[Month],Sel_Month),SUMIFS(Transactions[Amount],Transactions[Name],D313,Transactions[Month],Sel_Month)))</f>
        <v/>
      </c>
      <c r="I313" s="8" t="str">
        <f t="shared" si="4"/>
        <v/>
      </c>
    </row>
    <row r="314" spans="3:9" x14ac:dyDescent="0.3">
      <c r="C314" s="7"/>
      <c r="H314" s="7" t="str" cm="1">
        <f t="array" ref="H314">_xlfn.IFS(D314="","",D314="Grand Total",SUM(H$2:H313),TRUE,IF(COUNTIF(Transactions[Custom Category],D314)&gt;0,SUMIFS(Transactions[Amount],Transactions[Custom Category],D314,Transactions[Month],Sel_Month),SUMIFS(Transactions[Amount],Transactions[Name],D314,Transactions[Month],Sel_Month)))</f>
        <v/>
      </c>
      <c r="I314" s="8" t="str">
        <f t="shared" si="4"/>
        <v/>
      </c>
    </row>
    <row r="315" spans="3:9" x14ac:dyDescent="0.3">
      <c r="C315" s="7"/>
      <c r="H315" s="7" t="str" cm="1">
        <f t="array" ref="H315">_xlfn.IFS(D315="","",D315="Grand Total",SUM(H$2:H314),TRUE,IF(COUNTIF(Transactions[Custom Category],D315)&gt;0,SUMIFS(Transactions[Amount],Transactions[Custom Category],D315,Transactions[Month],Sel_Month),SUMIFS(Transactions[Amount],Transactions[Name],D315,Transactions[Month],Sel_Month)))</f>
        <v/>
      </c>
      <c r="I315" s="8" t="str">
        <f t="shared" si="4"/>
        <v/>
      </c>
    </row>
    <row r="316" spans="3:9" x14ac:dyDescent="0.3">
      <c r="C316" s="7"/>
      <c r="H316" s="7" t="str" cm="1">
        <f t="array" ref="H316">_xlfn.IFS(D316="","",D316="Grand Total",SUM(H$2:H315),TRUE,IF(COUNTIF(Transactions[Custom Category],D316)&gt;0,SUMIFS(Transactions[Amount],Transactions[Custom Category],D316,Transactions[Month],Sel_Month),SUMIFS(Transactions[Amount],Transactions[Name],D316,Transactions[Month],Sel_Month)))</f>
        <v/>
      </c>
      <c r="I316" s="8" t="str">
        <f t="shared" si="4"/>
        <v/>
      </c>
    </row>
    <row r="317" spans="3:9" x14ac:dyDescent="0.3">
      <c r="C317" s="7"/>
      <c r="H317" s="7" t="str" cm="1">
        <f t="array" ref="H317">_xlfn.IFS(D317="","",D317="Grand Total",SUM(H$2:H316),TRUE,IF(COUNTIF(Transactions[Custom Category],D317)&gt;0,SUMIFS(Transactions[Amount],Transactions[Custom Category],D317,Transactions[Month],Sel_Month),SUMIFS(Transactions[Amount],Transactions[Name],D317,Transactions[Month],Sel_Month)))</f>
        <v/>
      </c>
      <c r="I317" s="8" t="str">
        <f t="shared" si="4"/>
        <v/>
      </c>
    </row>
    <row r="318" spans="3:9" x14ac:dyDescent="0.3">
      <c r="C318" s="7"/>
      <c r="H318" s="7" t="str" cm="1">
        <f t="array" ref="H318">_xlfn.IFS(D318="","",D318="Grand Total",SUM(H$2:H317),TRUE,IF(COUNTIF(Transactions[Custom Category],D318)&gt;0,SUMIFS(Transactions[Amount],Transactions[Custom Category],D318,Transactions[Month],Sel_Month),SUMIFS(Transactions[Amount],Transactions[Name],D318,Transactions[Month],Sel_Month)))</f>
        <v/>
      </c>
      <c r="I318" s="8" t="str">
        <f t="shared" si="4"/>
        <v/>
      </c>
    </row>
    <row r="319" spans="3:9" x14ac:dyDescent="0.3">
      <c r="C319" s="7"/>
      <c r="H319" s="7" t="str" cm="1">
        <f t="array" ref="H319">_xlfn.IFS(D319="","",D319="Grand Total",SUM(H$2:H318),TRUE,IF(COUNTIF(Transactions[Custom Category],D319)&gt;0,SUMIFS(Transactions[Amount],Transactions[Custom Category],D319,Transactions[Month],Sel_Month),SUMIFS(Transactions[Amount],Transactions[Name],D319,Transactions[Month],Sel_Month)))</f>
        <v/>
      </c>
      <c r="I319" s="8" t="str">
        <f t="shared" si="4"/>
        <v/>
      </c>
    </row>
    <row r="320" spans="3:9" x14ac:dyDescent="0.3">
      <c r="C320" s="7"/>
      <c r="H320" s="7" t="str" cm="1">
        <f t="array" ref="H320">_xlfn.IFS(D320="","",D320="Grand Total",SUM(H$2:H319),TRUE,IF(COUNTIF(Transactions[Custom Category],D320)&gt;0,SUMIFS(Transactions[Amount],Transactions[Custom Category],D320,Transactions[Month],Sel_Month),SUMIFS(Transactions[Amount],Transactions[Name],D320,Transactions[Month],Sel_Month)))</f>
        <v/>
      </c>
      <c r="I320" s="8" t="str">
        <f t="shared" si="4"/>
        <v/>
      </c>
    </row>
    <row r="321" spans="3:9" x14ac:dyDescent="0.3">
      <c r="C321" s="7"/>
      <c r="H321" s="7" t="str" cm="1">
        <f t="array" ref="H321">_xlfn.IFS(D321="","",D321="Grand Total",SUM(H$2:H320),TRUE,IF(COUNTIF(Transactions[Custom Category],D321)&gt;0,SUMIFS(Transactions[Amount],Transactions[Custom Category],D321,Transactions[Month],Sel_Month),SUMIFS(Transactions[Amount],Transactions[Name],D321,Transactions[Month],Sel_Month)))</f>
        <v/>
      </c>
      <c r="I321" s="8" t="str">
        <f t="shared" si="4"/>
        <v/>
      </c>
    </row>
    <row r="322" spans="3:9" x14ac:dyDescent="0.3">
      <c r="C322" s="7"/>
      <c r="H322" s="7" t="str" cm="1">
        <f t="array" ref="H322">_xlfn.IFS(D322="","",D322="Grand Total",SUM(H$2:H321),TRUE,IF(COUNTIF(Transactions[Custom Category],D322)&gt;0,SUMIFS(Transactions[Amount],Transactions[Custom Category],D322,Transactions[Month],Sel_Month),SUMIFS(Transactions[Amount],Transactions[Name],D322,Transactions[Month],Sel_Month)))</f>
        <v/>
      </c>
      <c r="I322" s="8" t="str">
        <f t="shared" si="4"/>
        <v/>
      </c>
    </row>
    <row r="323" spans="3:9" x14ac:dyDescent="0.3">
      <c r="C323" s="7"/>
      <c r="H323" s="7" t="str" cm="1">
        <f t="array" ref="H323">_xlfn.IFS(D323="","",D323="Grand Total",SUM(H$2:H322),TRUE,IF(COUNTIF(Transactions[Custom Category],D323)&gt;0,SUMIFS(Transactions[Amount],Transactions[Custom Category],D323,Transactions[Month],Sel_Month),SUMIFS(Transactions[Amount],Transactions[Name],D323,Transactions[Month],Sel_Month)))</f>
        <v/>
      </c>
      <c r="I323" s="8" t="str">
        <f t="shared" si="4"/>
        <v/>
      </c>
    </row>
    <row r="324" spans="3:9" x14ac:dyDescent="0.3">
      <c r="C324" s="7"/>
      <c r="H324" s="7" t="str" cm="1">
        <f t="array" ref="H324">_xlfn.IFS(D324="","",D324="Grand Total",SUM(H$2:H323),TRUE,IF(COUNTIF(Transactions[Custom Category],D324)&gt;0,SUMIFS(Transactions[Amount],Transactions[Custom Category],D324,Transactions[Month],Sel_Month),SUMIFS(Transactions[Amount],Transactions[Name],D324,Transactions[Month],Sel_Month)))</f>
        <v/>
      </c>
      <c r="I324" s="8" t="str">
        <f t="shared" ref="I324:I387" si="5">IF(F324="","",IF(F324=0,0,1-((F324-H324)/F324)))</f>
        <v/>
      </c>
    </row>
    <row r="325" spans="3:9" x14ac:dyDescent="0.3">
      <c r="C325" s="7"/>
      <c r="H325" s="7" t="str" cm="1">
        <f t="array" ref="H325">_xlfn.IFS(D325="","",D325="Grand Total",SUM(H$2:H324),TRUE,IF(COUNTIF(Transactions[Custom Category],D325)&gt;0,SUMIFS(Transactions[Amount],Transactions[Custom Category],D325,Transactions[Month],Sel_Month),SUMIFS(Transactions[Amount],Transactions[Name],D325,Transactions[Month],Sel_Month)))</f>
        <v/>
      </c>
      <c r="I325" s="8" t="str">
        <f t="shared" si="5"/>
        <v/>
      </c>
    </row>
    <row r="326" spans="3:9" x14ac:dyDescent="0.3">
      <c r="C326" s="7"/>
      <c r="H326" s="7" t="str" cm="1">
        <f t="array" ref="H326">_xlfn.IFS(D326="","",D326="Grand Total",SUM(H$2:H325),TRUE,IF(COUNTIF(Transactions[Custom Category],D326)&gt;0,SUMIFS(Transactions[Amount],Transactions[Custom Category],D326,Transactions[Month],Sel_Month),SUMIFS(Transactions[Amount],Transactions[Name],D326,Transactions[Month],Sel_Month)))</f>
        <v/>
      </c>
      <c r="I326" s="8" t="str">
        <f t="shared" si="5"/>
        <v/>
      </c>
    </row>
    <row r="327" spans="3:9" x14ac:dyDescent="0.3">
      <c r="C327" s="7"/>
      <c r="H327" s="7" t="str" cm="1">
        <f t="array" ref="H327">_xlfn.IFS(D327="","",D327="Grand Total",SUM(H$2:H326),TRUE,IF(COUNTIF(Transactions[Custom Category],D327)&gt;0,SUMIFS(Transactions[Amount],Transactions[Custom Category],D327,Transactions[Month],Sel_Month),SUMIFS(Transactions[Amount],Transactions[Name],D327,Transactions[Month],Sel_Month)))</f>
        <v/>
      </c>
      <c r="I327" s="8" t="str">
        <f t="shared" si="5"/>
        <v/>
      </c>
    </row>
    <row r="328" spans="3:9" x14ac:dyDescent="0.3">
      <c r="C328" s="7"/>
      <c r="H328" s="7" t="str" cm="1">
        <f t="array" ref="H328">_xlfn.IFS(D328="","",D328="Grand Total",SUM(H$2:H327),TRUE,IF(COUNTIF(Transactions[Custom Category],D328)&gt;0,SUMIFS(Transactions[Amount],Transactions[Custom Category],D328,Transactions[Month],Sel_Month),SUMIFS(Transactions[Amount],Transactions[Name],D328,Transactions[Month],Sel_Month)))</f>
        <v/>
      </c>
      <c r="I328" s="8" t="str">
        <f t="shared" si="5"/>
        <v/>
      </c>
    </row>
    <row r="329" spans="3:9" x14ac:dyDescent="0.3">
      <c r="C329" s="7"/>
      <c r="H329" s="7" t="str" cm="1">
        <f t="array" ref="H329">_xlfn.IFS(D329="","",D329="Grand Total",SUM(H$2:H328),TRUE,IF(COUNTIF(Transactions[Custom Category],D329)&gt;0,SUMIFS(Transactions[Amount],Transactions[Custom Category],D329,Transactions[Month],Sel_Month),SUMIFS(Transactions[Amount],Transactions[Name],D329,Transactions[Month],Sel_Month)))</f>
        <v/>
      </c>
      <c r="I329" s="8" t="str">
        <f t="shared" si="5"/>
        <v/>
      </c>
    </row>
    <row r="330" spans="3:9" x14ac:dyDescent="0.3">
      <c r="C330" s="7"/>
      <c r="H330" s="7" t="str" cm="1">
        <f t="array" ref="H330">_xlfn.IFS(D330="","",D330="Grand Total",SUM(H$2:H329),TRUE,IF(COUNTIF(Transactions[Custom Category],D330)&gt;0,SUMIFS(Transactions[Amount],Transactions[Custom Category],D330,Transactions[Month],Sel_Month),SUMIFS(Transactions[Amount],Transactions[Name],D330,Transactions[Month],Sel_Month)))</f>
        <v/>
      </c>
      <c r="I330" s="8" t="str">
        <f t="shared" si="5"/>
        <v/>
      </c>
    </row>
    <row r="331" spans="3:9" x14ac:dyDescent="0.3">
      <c r="C331" s="7"/>
      <c r="H331" s="7" t="str" cm="1">
        <f t="array" ref="H331">_xlfn.IFS(D331="","",D331="Grand Total",SUM(H$2:H330),TRUE,IF(COUNTIF(Transactions[Custom Category],D331)&gt;0,SUMIFS(Transactions[Amount],Transactions[Custom Category],D331,Transactions[Month],Sel_Month),SUMIFS(Transactions[Amount],Transactions[Name],D331,Transactions[Month],Sel_Month)))</f>
        <v/>
      </c>
      <c r="I331" s="8" t="str">
        <f t="shared" si="5"/>
        <v/>
      </c>
    </row>
    <row r="332" spans="3:9" x14ac:dyDescent="0.3">
      <c r="C332" s="7"/>
      <c r="H332" s="7" t="str" cm="1">
        <f t="array" ref="H332">_xlfn.IFS(D332="","",D332="Grand Total",SUM(H$2:H331),TRUE,IF(COUNTIF(Transactions[Custom Category],D332)&gt;0,SUMIFS(Transactions[Amount],Transactions[Custom Category],D332,Transactions[Month],Sel_Month),SUMIFS(Transactions[Amount],Transactions[Name],D332,Transactions[Month],Sel_Month)))</f>
        <v/>
      </c>
      <c r="I332" s="8" t="str">
        <f t="shared" si="5"/>
        <v/>
      </c>
    </row>
    <row r="333" spans="3:9" x14ac:dyDescent="0.3">
      <c r="C333" s="7"/>
      <c r="H333" s="7" t="str" cm="1">
        <f t="array" ref="H333">_xlfn.IFS(D333="","",D333="Grand Total",SUM(H$2:H332),TRUE,IF(COUNTIF(Transactions[Custom Category],D333)&gt;0,SUMIFS(Transactions[Amount],Transactions[Custom Category],D333,Transactions[Month],Sel_Month),SUMIFS(Transactions[Amount],Transactions[Name],D333,Transactions[Month],Sel_Month)))</f>
        <v/>
      </c>
      <c r="I333" s="8" t="str">
        <f t="shared" si="5"/>
        <v/>
      </c>
    </row>
    <row r="334" spans="3:9" x14ac:dyDescent="0.3">
      <c r="C334" s="7"/>
      <c r="H334" s="7" t="str" cm="1">
        <f t="array" ref="H334">_xlfn.IFS(D334="","",D334="Grand Total",SUM(H$2:H333),TRUE,IF(COUNTIF(Transactions[Custom Category],D334)&gt;0,SUMIFS(Transactions[Amount],Transactions[Custom Category],D334,Transactions[Month],Sel_Month),SUMIFS(Transactions[Amount],Transactions[Name],D334,Transactions[Month],Sel_Month)))</f>
        <v/>
      </c>
      <c r="I334" s="8" t="str">
        <f t="shared" si="5"/>
        <v/>
      </c>
    </row>
    <row r="335" spans="3:9" x14ac:dyDescent="0.3">
      <c r="C335" s="7"/>
      <c r="H335" s="7" t="str" cm="1">
        <f t="array" ref="H335">_xlfn.IFS(D335="","",D335="Grand Total",SUM(H$2:H334),TRUE,IF(COUNTIF(Transactions[Custom Category],D335)&gt;0,SUMIFS(Transactions[Amount],Transactions[Custom Category],D335,Transactions[Month],Sel_Month),SUMIFS(Transactions[Amount],Transactions[Name],D335,Transactions[Month],Sel_Month)))</f>
        <v/>
      </c>
      <c r="I335" s="8" t="str">
        <f t="shared" si="5"/>
        <v/>
      </c>
    </row>
    <row r="336" spans="3:9" x14ac:dyDescent="0.3">
      <c r="C336" s="7"/>
      <c r="H336" s="7" t="str" cm="1">
        <f t="array" ref="H336">_xlfn.IFS(D336="","",D336="Grand Total",SUM(H$2:H335),TRUE,IF(COUNTIF(Transactions[Custom Category],D336)&gt;0,SUMIFS(Transactions[Amount],Transactions[Custom Category],D336,Transactions[Month],Sel_Month),SUMIFS(Transactions[Amount],Transactions[Name],D336,Transactions[Month],Sel_Month)))</f>
        <v/>
      </c>
      <c r="I336" s="8" t="str">
        <f t="shared" si="5"/>
        <v/>
      </c>
    </row>
    <row r="337" spans="3:9" x14ac:dyDescent="0.3">
      <c r="C337" s="7"/>
      <c r="H337" s="7" t="str" cm="1">
        <f t="array" ref="H337">_xlfn.IFS(D337="","",D337="Grand Total",SUM(H$2:H336),TRUE,IF(COUNTIF(Transactions[Custom Category],D337)&gt;0,SUMIFS(Transactions[Amount],Transactions[Custom Category],D337,Transactions[Month],Sel_Month),SUMIFS(Transactions[Amount],Transactions[Name],D337,Transactions[Month],Sel_Month)))</f>
        <v/>
      </c>
      <c r="I337" s="8" t="str">
        <f t="shared" si="5"/>
        <v/>
      </c>
    </row>
    <row r="338" spans="3:9" x14ac:dyDescent="0.3">
      <c r="C338" s="7"/>
      <c r="H338" s="7" t="str" cm="1">
        <f t="array" ref="H338">_xlfn.IFS(D338="","",D338="Grand Total",SUM(H$2:H337),TRUE,IF(COUNTIF(Transactions[Custom Category],D338)&gt;0,SUMIFS(Transactions[Amount],Transactions[Custom Category],D338,Transactions[Month],Sel_Month),SUMIFS(Transactions[Amount],Transactions[Name],D338,Transactions[Month],Sel_Month)))</f>
        <v/>
      </c>
      <c r="I338" s="8" t="str">
        <f t="shared" si="5"/>
        <v/>
      </c>
    </row>
    <row r="339" spans="3:9" x14ac:dyDescent="0.3">
      <c r="C339" s="7"/>
      <c r="H339" s="7" t="str" cm="1">
        <f t="array" ref="H339">_xlfn.IFS(D339="","",D339="Grand Total",SUM(H$2:H338),TRUE,IF(COUNTIF(Transactions[Custom Category],D339)&gt;0,SUMIFS(Transactions[Amount],Transactions[Custom Category],D339,Transactions[Month],Sel_Month),SUMIFS(Transactions[Amount],Transactions[Name],D339,Transactions[Month],Sel_Month)))</f>
        <v/>
      </c>
      <c r="I339" s="8" t="str">
        <f t="shared" si="5"/>
        <v/>
      </c>
    </row>
    <row r="340" spans="3:9" x14ac:dyDescent="0.3">
      <c r="C340" s="7"/>
      <c r="H340" s="7" t="str" cm="1">
        <f t="array" ref="H340">_xlfn.IFS(D340="","",D340="Grand Total",SUM(H$2:H339),TRUE,IF(COUNTIF(Transactions[Custom Category],D340)&gt;0,SUMIFS(Transactions[Amount],Transactions[Custom Category],D340,Transactions[Month],Sel_Month),SUMIFS(Transactions[Amount],Transactions[Name],D340,Transactions[Month],Sel_Month)))</f>
        <v/>
      </c>
      <c r="I340" s="8" t="str">
        <f t="shared" si="5"/>
        <v/>
      </c>
    </row>
    <row r="341" spans="3:9" x14ac:dyDescent="0.3">
      <c r="C341" s="7"/>
      <c r="H341" s="7" t="str" cm="1">
        <f t="array" ref="H341">_xlfn.IFS(D341="","",D341="Grand Total",SUM(H$2:H340),TRUE,IF(COUNTIF(Transactions[Custom Category],D341)&gt;0,SUMIFS(Transactions[Amount],Transactions[Custom Category],D341,Transactions[Month],Sel_Month),SUMIFS(Transactions[Amount],Transactions[Name],D341,Transactions[Month],Sel_Month)))</f>
        <v/>
      </c>
      <c r="I341" s="8" t="str">
        <f t="shared" si="5"/>
        <v/>
      </c>
    </row>
    <row r="342" spans="3:9" x14ac:dyDescent="0.3">
      <c r="C342" s="7"/>
      <c r="H342" s="7" t="str" cm="1">
        <f t="array" ref="H342">_xlfn.IFS(D342="","",D342="Grand Total",SUM(H$2:H341),TRUE,IF(COUNTIF(Transactions[Custom Category],D342)&gt;0,SUMIFS(Transactions[Amount],Transactions[Custom Category],D342,Transactions[Month],Sel_Month),SUMIFS(Transactions[Amount],Transactions[Name],D342,Transactions[Month],Sel_Month)))</f>
        <v/>
      </c>
      <c r="I342" s="8" t="str">
        <f t="shared" si="5"/>
        <v/>
      </c>
    </row>
    <row r="343" spans="3:9" x14ac:dyDescent="0.3">
      <c r="C343" s="7"/>
      <c r="H343" s="7" t="str" cm="1">
        <f t="array" ref="H343">_xlfn.IFS(D343="","",D343="Grand Total",SUM(H$2:H342),TRUE,IF(COUNTIF(Transactions[Custom Category],D343)&gt;0,SUMIFS(Transactions[Amount],Transactions[Custom Category],D343,Transactions[Month],Sel_Month),SUMIFS(Transactions[Amount],Transactions[Name],D343,Transactions[Month],Sel_Month)))</f>
        <v/>
      </c>
      <c r="I343" s="8" t="str">
        <f t="shared" si="5"/>
        <v/>
      </c>
    </row>
    <row r="344" spans="3:9" x14ac:dyDescent="0.3">
      <c r="C344" s="7"/>
      <c r="H344" s="7" t="str" cm="1">
        <f t="array" ref="H344">_xlfn.IFS(D344="","",D344="Grand Total",SUM(H$2:H343),TRUE,IF(COUNTIF(Transactions[Custom Category],D344)&gt;0,SUMIFS(Transactions[Amount],Transactions[Custom Category],D344,Transactions[Month],Sel_Month),SUMIFS(Transactions[Amount],Transactions[Name],D344,Transactions[Month],Sel_Month)))</f>
        <v/>
      </c>
      <c r="I344" s="8" t="str">
        <f t="shared" si="5"/>
        <v/>
      </c>
    </row>
    <row r="345" spans="3:9" x14ac:dyDescent="0.3">
      <c r="C345" s="7"/>
      <c r="H345" s="7" t="str" cm="1">
        <f t="array" ref="H345">_xlfn.IFS(D345="","",D345="Grand Total",SUM(H$2:H344),TRUE,IF(COUNTIF(Transactions[Custom Category],D345)&gt;0,SUMIFS(Transactions[Amount],Transactions[Custom Category],D345,Transactions[Month],Sel_Month),SUMIFS(Transactions[Amount],Transactions[Name],D345,Transactions[Month],Sel_Month)))</f>
        <v/>
      </c>
      <c r="I345" s="8" t="str">
        <f t="shared" si="5"/>
        <v/>
      </c>
    </row>
    <row r="346" spans="3:9" x14ac:dyDescent="0.3">
      <c r="C346" s="7"/>
      <c r="H346" s="7" t="str" cm="1">
        <f t="array" ref="H346">_xlfn.IFS(D346="","",D346="Grand Total",SUM(H$2:H345),TRUE,IF(COUNTIF(Transactions[Custom Category],D346)&gt;0,SUMIFS(Transactions[Amount],Transactions[Custom Category],D346,Transactions[Month],Sel_Month),SUMIFS(Transactions[Amount],Transactions[Name],D346,Transactions[Month],Sel_Month)))</f>
        <v/>
      </c>
      <c r="I346" s="8" t="str">
        <f t="shared" si="5"/>
        <v/>
      </c>
    </row>
    <row r="347" spans="3:9" x14ac:dyDescent="0.3">
      <c r="C347" s="7"/>
      <c r="H347" s="7" t="str" cm="1">
        <f t="array" ref="H347">_xlfn.IFS(D347="","",D347="Grand Total",SUM(H$2:H346),TRUE,IF(COUNTIF(Transactions[Custom Category],D347)&gt;0,SUMIFS(Transactions[Amount],Transactions[Custom Category],D347,Transactions[Month],Sel_Month),SUMIFS(Transactions[Amount],Transactions[Name],D347,Transactions[Month],Sel_Month)))</f>
        <v/>
      </c>
      <c r="I347" s="8" t="str">
        <f t="shared" si="5"/>
        <v/>
      </c>
    </row>
    <row r="348" spans="3:9" x14ac:dyDescent="0.3">
      <c r="C348" s="7"/>
      <c r="H348" s="7" t="str" cm="1">
        <f t="array" ref="H348">_xlfn.IFS(D348="","",D348="Grand Total",SUM(H$2:H347),TRUE,IF(COUNTIF(Transactions[Custom Category],D348)&gt;0,SUMIFS(Transactions[Amount],Transactions[Custom Category],D348,Transactions[Month],Sel_Month),SUMIFS(Transactions[Amount],Transactions[Name],D348,Transactions[Month],Sel_Month)))</f>
        <v/>
      </c>
      <c r="I348" s="8" t="str">
        <f t="shared" si="5"/>
        <v/>
      </c>
    </row>
    <row r="349" spans="3:9" x14ac:dyDescent="0.3">
      <c r="C349" s="7"/>
      <c r="H349" s="7" t="str" cm="1">
        <f t="array" ref="H349">_xlfn.IFS(D349="","",D349="Grand Total",SUM(H$2:H348),TRUE,IF(COUNTIF(Transactions[Custom Category],D349)&gt;0,SUMIFS(Transactions[Amount],Transactions[Custom Category],D349,Transactions[Month],Sel_Month),SUMIFS(Transactions[Amount],Transactions[Name],D349,Transactions[Month],Sel_Month)))</f>
        <v/>
      </c>
      <c r="I349" s="8" t="str">
        <f t="shared" si="5"/>
        <v/>
      </c>
    </row>
    <row r="350" spans="3:9" x14ac:dyDescent="0.3">
      <c r="C350" s="7"/>
      <c r="H350" s="7" t="str" cm="1">
        <f t="array" ref="H350">_xlfn.IFS(D350="","",D350="Grand Total",SUM(H$2:H349),TRUE,IF(COUNTIF(Transactions[Custom Category],D350)&gt;0,SUMIFS(Transactions[Amount],Transactions[Custom Category],D350,Transactions[Month],Sel_Month),SUMIFS(Transactions[Amount],Transactions[Name],D350,Transactions[Month],Sel_Month)))</f>
        <v/>
      </c>
      <c r="I350" s="8" t="str">
        <f t="shared" si="5"/>
        <v/>
      </c>
    </row>
    <row r="351" spans="3:9" x14ac:dyDescent="0.3">
      <c r="C351" s="7"/>
      <c r="H351" s="7" t="str" cm="1">
        <f t="array" ref="H351">_xlfn.IFS(D351="","",D351="Grand Total",SUM(H$2:H350),TRUE,IF(COUNTIF(Transactions[Custom Category],D351)&gt;0,SUMIFS(Transactions[Amount],Transactions[Custom Category],D351,Transactions[Month],Sel_Month),SUMIFS(Transactions[Amount],Transactions[Name],D351,Transactions[Month],Sel_Month)))</f>
        <v/>
      </c>
      <c r="I351" s="8" t="str">
        <f t="shared" si="5"/>
        <v/>
      </c>
    </row>
    <row r="352" spans="3:9" x14ac:dyDescent="0.3">
      <c r="C352" s="7"/>
      <c r="H352" s="7" t="str" cm="1">
        <f t="array" ref="H352">_xlfn.IFS(D352="","",D352="Grand Total",SUM(H$2:H351),TRUE,IF(COUNTIF(Transactions[Custom Category],D352)&gt;0,SUMIFS(Transactions[Amount],Transactions[Custom Category],D352,Transactions[Month],Sel_Month),SUMIFS(Transactions[Amount],Transactions[Name],D352,Transactions[Month],Sel_Month)))</f>
        <v/>
      </c>
      <c r="I352" s="8" t="str">
        <f t="shared" si="5"/>
        <v/>
      </c>
    </row>
    <row r="353" spans="3:9" x14ac:dyDescent="0.3">
      <c r="C353" s="7"/>
      <c r="H353" s="7" t="str" cm="1">
        <f t="array" ref="H353">_xlfn.IFS(D353="","",D353="Grand Total",SUM(H$2:H352),TRUE,IF(COUNTIF(Transactions[Custom Category],D353)&gt;0,SUMIFS(Transactions[Amount],Transactions[Custom Category],D353,Transactions[Month],Sel_Month),SUMIFS(Transactions[Amount],Transactions[Name],D353,Transactions[Month],Sel_Month)))</f>
        <v/>
      </c>
      <c r="I353" s="8" t="str">
        <f t="shared" si="5"/>
        <v/>
      </c>
    </row>
    <row r="354" spans="3:9" x14ac:dyDescent="0.3">
      <c r="C354" s="7"/>
      <c r="H354" s="7" t="str" cm="1">
        <f t="array" ref="H354">_xlfn.IFS(D354="","",D354="Grand Total",SUM(H$2:H353),TRUE,IF(COUNTIF(Transactions[Custom Category],D354)&gt;0,SUMIFS(Transactions[Amount],Transactions[Custom Category],D354,Transactions[Month],Sel_Month),SUMIFS(Transactions[Amount],Transactions[Name],D354,Transactions[Month],Sel_Month)))</f>
        <v/>
      </c>
      <c r="I354" s="8" t="str">
        <f t="shared" si="5"/>
        <v/>
      </c>
    </row>
    <row r="355" spans="3:9" x14ac:dyDescent="0.3">
      <c r="C355" s="7"/>
      <c r="H355" s="7" t="str" cm="1">
        <f t="array" ref="H355">_xlfn.IFS(D355="","",D355="Grand Total",SUM(H$2:H354),TRUE,IF(COUNTIF(Transactions[Custom Category],D355)&gt;0,SUMIFS(Transactions[Amount],Transactions[Custom Category],D355,Transactions[Month],Sel_Month),SUMIFS(Transactions[Amount],Transactions[Name],D355,Transactions[Month],Sel_Month)))</f>
        <v/>
      </c>
      <c r="I355" s="8" t="str">
        <f t="shared" si="5"/>
        <v/>
      </c>
    </row>
    <row r="356" spans="3:9" x14ac:dyDescent="0.3">
      <c r="C356" s="7"/>
      <c r="H356" s="7" t="str" cm="1">
        <f t="array" ref="H356">_xlfn.IFS(D356="","",D356="Grand Total",SUM(H$2:H355),TRUE,IF(COUNTIF(Transactions[Custom Category],D356)&gt;0,SUMIFS(Transactions[Amount],Transactions[Custom Category],D356,Transactions[Month],Sel_Month),SUMIFS(Transactions[Amount],Transactions[Name],D356,Transactions[Month],Sel_Month)))</f>
        <v/>
      </c>
      <c r="I356" s="8" t="str">
        <f t="shared" si="5"/>
        <v/>
      </c>
    </row>
    <row r="357" spans="3:9" x14ac:dyDescent="0.3">
      <c r="C357" s="7"/>
      <c r="H357" s="7" t="str" cm="1">
        <f t="array" ref="H357">_xlfn.IFS(D357="","",D357="Grand Total",SUM(H$2:H356),TRUE,IF(COUNTIF(Transactions[Custom Category],D357)&gt;0,SUMIFS(Transactions[Amount],Transactions[Custom Category],D357,Transactions[Month],Sel_Month),SUMIFS(Transactions[Amount],Transactions[Name],D357,Transactions[Month],Sel_Month)))</f>
        <v/>
      </c>
      <c r="I357" s="8" t="str">
        <f t="shared" si="5"/>
        <v/>
      </c>
    </row>
    <row r="358" spans="3:9" x14ac:dyDescent="0.3">
      <c r="C358" s="7"/>
      <c r="H358" s="7" t="str" cm="1">
        <f t="array" ref="H358">_xlfn.IFS(D358="","",D358="Grand Total",SUM(H$2:H357),TRUE,IF(COUNTIF(Transactions[Custom Category],D358)&gt;0,SUMIFS(Transactions[Amount],Transactions[Custom Category],D358,Transactions[Month],Sel_Month),SUMIFS(Transactions[Amount],Transactions[Name],D358,Transactions[Month],Sel_Month)))</f>
        <v/>
      </c>
      <c r="I358" s="8" t="str">
        <f t="shared" si="5"/>
        <v/>
      </c>
    </row>
    <row r="359" spans="3:9" x14ac:dyDescent="0.3">
      <c r="C359" s="7"/>
      <c r="H359" s="7" t="str" cm="1">
        <f t="array" ref="H359">_xlfn.IFS(D359="","",D359="Grand Total",SUM(H$2:H358),TRUE,IF(COUNTIF(Transactions[Custom Category],D359)&gt;0,SUMIFS(Transactions[Amount],Transactions[Custom Category],D359,Transactions[Month],Sel_Month),SUMIFS(Transactions[Amount],Transactions[Name],D359,Transactions[Month],Sel_Month)))</f>
        <v/>
      </c>
      <c r="I359" s="8" t="str">
        <f t="shared" si="5"/>
        <v/>
      </c>
    </row>
    <row r="360" spans="3:9" x14ac:dyDescent="0.3">
      <c r="C360" s="7"/>
      <c r="H360" s="7" t="str" cm="1">
        <f t="array" ref="H360">_xlfn.IFS(D360="","",D360="Grand Total",SUM(H$2:H359),TRUE,IF(COUNTIF(Transactions[Custom Category],D360)&gt;0,SUMIFS(Transactions[Amount],Transactions[Custom Category],D360,Transactions[Month],Sel_Month),SUMIFS(Transactions[Amount],Transactions[Name],D360,Transactions[Month],Sel_Month)))</f>
        <v/>
      </c>
      <c r="I360" s="8" t="str">
        <f t="shared" si="5"/>
        <v/>
      </c>
    </row>
    <row r="361" spans="3:9" x14ac:dyDescent="0.3">
      <c r="C361" s="7"/>
      <c r="H361" s="7" t="str" cm="1">
        <f t="array" ref="H361">_xlfn.IFS(D361="","",D361="Grand Total",SUM(H$2:H360),TRUE,IF(COUNTIF(Transactions[Custom Category],D361)&gt;0,SUMIFS(Transactions[Amount],Transactions[Custom Category],D361,Transactions[Month],Sel_Month),SUMIFS(Transactions[Amount],Transactions[Name],D361,Transactions[Month],Sel_Month)))</f>
        <v/>
      </c>
      <c r="I361" s="8" t="str">
        <f t="shared" si="5"/>
        <v/>
      </c>
    </row>
    <row r="362" spans="3:9" x14ac:dyDescent="0.3">
      <c r="C362" s="7"/>
      <c r="H362" s="7" t="str" cm="1">
        <f t="array" ref="H362">_xlfn.IFS(D362="","",D362="Grand Total",SUM(H$2:H361),TRUE,IF(COUNTIF(Transactions[Custom Category],D362)&gt;0,SUMIFS(Transactions[Amount],Transactions[Custom Category],D362,Transactions[Month],Sel_Month),SUMIFS(Transactions[Amount],Transactions[Name],D362,Transactions[Month],Sel_Month)))</f>
        <v/>
      </c>
      <c r="I362" s="8" t="str">
        <f t="shared" si="5"/>
        <v/>
      </c>
    </row>
    <row r="363" spans="3:9" x14ac:dyDescent="0.3">
      <c r="C363" s="7"/>
      <c r="H363" s="7" t="str" cm="1">
        <f t="array" ref="H363">_xlfn.IFS(D363="","",D363="Grand Total",SUM(H$2:H362),TRUE,IF(COUNTIF(Transactions[Custom Category],D363)&gt;0,SUMIFS(Transactions[Amount],Transactions[Custom Category],D363,Transactions[Month],Sel_Month),SUMIFS(Transactions[Amount],Transactions[Name],D363,Transactions[Month],Sel_Month)))</f>
        <v/>
      </c>
      <c r="I363" s="8" t="str">
        <f t="shared" si="5"/>
        <v/>
      </c>
    </row>
    <row r="364" spans="3:9" x14ac:dyDescent="0.3">
      <c r="C364" s="7"/>
      <c r="H364" s="7" t="str" cm="1">
        <f t="array" ref="H364">_xlfn.IFS(D364="","",D364="Grand Total",SUM(H$2:H363),TRUE,IF(COUNTIF(Transactions[Custom Category],D364)&gt;0,SUMIFS(Transactions[Amount],Transactions[Custom Category],D364,Transactions[Month],Sel_Month),SUMIFS(Transactions[Amount],Transactions[Name],D364,Transactions[Month],Sel_Month)))</f>
        <v/>
      </c>
      <c r="I364" s="8" t="str">
        <f t="shared" si="5"/>
        <v/>
      </c>
    </row>
    <row r="365" spans="3:9" x14ac:dyDescent="0.3">
      <c r="C365" s="7"/>
      <c r="H365" s="7" t="str" cm="1">
        <f t="array" ref="H365">_xlfn.IFS(D365="","",D365="Grand Total",SUM(H$2:H364),TRUE,IF(COUNTIF(Transactions[Custom Category],D365)&gt;0,SUMIFS(Transactions[Amount],Transactions[Custom Category],D365,Transactions[Month],Sel_Month),SUMIFS(Transactions[Amount],Transactions[Name],D365,Transactions[Month],Sel_Month)))</f>
        <v/>
      </c>
      <c r="I365" s="8" t="str">
        <f t="shared" si="5"/>
        <v/>
      </c>
    </row>
    <row r="366" spans="3:9" x14ac:dyDescent="0.3">
      <c r="C366" s="7"/>
      <c r="H366" s="7" t="str" cm="1">
        <f t="array" ref="H366">_xlfn.IFS(D366="","",D366="Grand Total",SUM(H$2:H365),TRUE,IF(COUNTIF(Transactions[Custom Category],D366)&gt;0,SUMIFS(Transactions[Amount],Transactions[Custom Category],D366,Transactions[Month],Sel_Month),SUMIFS(Transactions[Amount],Transactions[Name],D366,Transactions[Month],Sel_Month)))</f>
        <v/>
      </c>
      <c r="I366" s="8" t="str">
        <f t="shared" si="5"/>
        <v/>
      </c>
    </row>
    <row r="367" spans="3:9" x14ac:dyDescent="0.3">
      <c r="C367" s="7"/>
      <c r="H367" s="7" t="str" cm="1">
        <f t="array" ref="H367">_xlfn.IFS(D367="","",D367="Grand Total",SUM(H$2:H366),TRUE,IF(COUNTIF(Transactions[Custom Category],D367)&gt;0,SUMIFS(Transactions[Amount],Transactions[Custom Category],D367,Transactions[Month],Sel_Month),SUMIFS(Transactions[Amount],Transactions[Name],D367,Transactions[Month],Sel_Month)))</f>
        <v/>
      </c>
      <c r="I367" s="8" t="str">
        <f t="shared" si="5"/>
        <v/>
      </c>
    </row>
    <row r="368" spans="3:9" x14ac:dyDescent="0.3">
      <c r="C368" s="7"/>
      <c r="H368" s="7" t="str" cm="1">
        <f t="array" ref="H368">_xlfn.IFS(D368="","",D368="Grand Total",SUM(H$2:H367),TRUE,IF(COUNTIF(Transactions[Custom Category],D368)&gt;0,SUMIFS(Transactions[Amount],Transactions[Custom Category],D368,Transactions[Month],Sel_Month),SUMIFS(Transactions[Amount],Transactions[Name],D368,Transactions[Month],Sel_Month)))</f>
        <v/>
      </c>
      <c r="I368" s="8" t="str">
        <f t="shared" si="5"/>
        <v/>
      </c>
    </row>
    <row r="369" spans="3:9" x14ac:dyDescent="0.3">
      <c r="C369" s="7"/>
      <c r="H369" s="7" t="str" cm="1">
        <f t="array" ref="H369">_xlfn.IFS(D369="","",D369="Grand Total",SUM(H$2:H368),TRUE,IF(COUNTIF(Transactions[Custom Category],D369)&gt;0,SUMIFS(Transactions[Amount],Transactions[Custom Category],D369,Transactions[Month],Sel_Month),SUMIFS(Transactions[Amount],Transactions[Name],D369,Transactions[Month],Sel_Month)))</f>
        <v/>
      </c>
      <c r="I369" s="8" t="str">
        <f t="shared" si="5"/>
        <v/>
      </c>
    </row>
    <row r="370" spans="3:9" x14ac:dyDescent="0.3">
      <c r="C370" s="7"/>
      <c r="H370" s="7" t="str" cm="1">
        <f t="array" ref="H370">_xlfn.IFS(D370="","",D370="Grand Total",SUM(H$2:H369),TRUE,IF(COUNTIF(Transactions[Custom Category],D370)&gt;0,SUMIFS(Transactions[Amount],Transactions[Custom Category],D370,Transactions[Month],Sel_Month),SUMIFS(Transactions[Amount],Transactions[Name],D370,Transactions[Month],Sel_Month)))</f>
        <v/>
      </c>
      <c r="I370" s="8" t="str">
        <f t="shared" si="5"/>
        <v/>
      </c>
    </row>
    <row r="371" spans="3:9" x14ac:dyDescent="0.3">
      <c r="C371" s="7"/>
      <c r="H371" s="7" t="str" cm="1">
        <f t="array" ref="H371">_xlfn.IFS(D371="","",D371="Grand Total",SUM(H$2:H370),TRUE,IF(COUNTIF(Transactions[Custom Category],D371)&gt;0,SUMIFS(Transactions[Amount],Transactions[Custom Category],D371,Transactions[Month],Sel_Month),SUMIFS(Transactions[Amount],Transactions[Name],D371,Transactions[Month],Sel_Month)))</f>
        <v/>
      </c>
      <c r="I371" s="8" t="str">
        <f t="shared" si="5"/>
        <v/>
      </c>
    </row>
    <row r="372" spans="3:9" x14ac:dyDescent="0.3">
      <c r="C372" s="7"/>
      <c r="H372" s="7" t="str" cm="1">
        <f t="array" ref="H372">_xlfn.IFS(D372="","",D372="Grand Total",SUM(H$2:H371),TRUE,IF(COUNTIF(Transactions[Custom Category],D372)&gt;0,SUMIFS(Transactions[Amount],Transactions[Custom Category],D372,Transactions[Month],Sel_Month),SUMIFS(Transactions[Amount],Transactions[Name],D372,Transactions[Month],Sel_Month)))</f>
        <v/>
      </c>
      <c r="I372" s="8" t="str">
        <f t="shared" si="5"/>
        <v/>
      </c>
    </row>
    <row r="373" spans="3:9" x14ac:dyDescent="0.3">
      <c r="C373" s="7"/>
      <c r="H373" s="7" t="str" cm="1">
        <f t="array" ref="H373">_xlfn.IFS(D373="","",D373="Grand Total",SUM(H$2:H372),TRUE,IF(COUNTIF(Transactions[Custom Category],D373)&gt;0,SUMIFS(Transactions[Amount],Transactions[Custom Category],D373,Transactions[Month],Sel_Month),SUMIFS(Transactions[Amount],Transactions[Name],D373,Transactions[Month],Sel_Month)))</f>
        <v/>
      </c>
      <c r="I373" s="8" t="str">
        <f t="shared" si="5"/>
        <v/>
      </c>
    </row>
    <row r="374" spans="3:9" x14ac:dyDescent="0.3">
      <c r="C374" s="7"/>
      <c r="H374" s="7" t="str" cm="1">
        <f t="array" ref="H374">_xlfn.IFS(D374="","",D374="Grand Total",SUM(H$2:H373),TRUE,IF(COUNTIF(Transactions[Custom Category],D374)&gt;0,SUMIFS(Transactions[Amount],Transactions[Custom Category],D374,Transactions[Month],Sel_Month),SUMIFS(Transactions[Amount],Transactions[Name],D374,Transactions[Month],Sel_Month)))</f>
        <v/>
      </c>
      <c r="I374" s="8" t="str">
        <f t="shared" si="5"/>
        <v/>
      </c>
    </row>
    <row r="375" spans="3:9" x14ac:dyDescent="0.3">
      <c r="C375" s="7"/>
      <c r="H375" s="7" t="str" cm="1">
        <f t="array" ref="H375">_xlfn.IFS(D375="","",D375="Grand Total",SUM(H$2:H374),TRUE,IF(COUNTIF(Transactions[Custom Category],D375)&gt;0,SUMIFS(Transactions[Amount],Transactions[Custom Category],D375,Transactions[Month],Sel_Month),SUMIFS(Transactions[Amount],Transactions[Name],D375,Transactions[Month],Sel_Month)))</f>
        <v/>
      </c>
      <c r="I375" s="8" t="str">
        <f t="shared" si="5"/>
        <v/>
      </c>
    </row>
    <row r="376" spans="3:9" x14ac:dyDescent="0.3">
      <c r="C376" s="7"/>
      <c r="H376" s="7" t="str" cm="1">
        <f t="array" ref="H376">_xlfn.IFS(D376="","",D376="Grand Total",SUM(H$2:H375),TRUE,IF(COUNTIF(Transactions[Custom Category],D376)&gt;0,SUMIFS(Transactions[Amount],Transactions[Custom Category],D376,Transactions[Month],Sel_Month),SUMIFS(Transactions[Amount],Transactions[Name],D376,Transactions[Month],Sel_Month)))</f>
        <v/>
      </c>
      <c r="I376" s="8" t="str">
        <f t="shared" si="5"/>
        <v/>
      </c>
    </row>
    <row r="377" spans="3:9" x14ac:dyDescent="0.3">
      <c r="C377" s="7"/>
      <c r="H377" s="7" t="str" cm="1">
        <f t="array" ref="H377">_xlfn.IFS(D377="","",D377="Grand Total",SUM(H$2:H376),TRUE,IF(COUNTIF(Transactions[Custom Category],D377)&gt;0,SUMIFS(Transactions[Amount],Transactions[Custom Category],D377,Transactions[Month],Sel_Month),SUMIFS(Transactions[Amount],Transactions[Name],D377,Transactions[Month],Sel_Month)))</f>
        <v/>
      </c>
      <c r="I377" s="8" t="str">
        <f t="shared" si="5"/>
        <v/>
      </c>
    </row>
    <row r="378" spans="3:9" x14ac:dyDescent="0.3">
      <c r="C378" s="7"/>
      <c r="H378" s="7" t="str" cm="1">
        <f t="array" ref="H378">_xlfn.IFS(D378="","",D378="Grand Total",SUM(H$2:H377),TRUE,IF(COUNTIF(Transactions[Custom Category],D378)&gt;0,SUMIFS(Transactions[Amount],Transactions[Custom Category],D378,Transactions[Month],Sel_Month),SUMIFS(Transactions[Amount],Transactions[Name],D378,Transactions[Month],Sel_Month)))</f>
        <v/>
      </c>
      <c r="I378" s="8" t="str">
        <f t="shared" si="5"/>
        <v/>
      </c>
    </row>
    <row r="379" spans="3:9" x14ac:dyDescent="0.3">
      <c r="C379" s="7"/>
      <c r="H379" s="7" t="str" cm="1">
        <f t="array" ref="H379">_xlfn.IFS(D379="","",D379="Grand Total",SUM(H$2:H378),TRUE,IF(COUNTIF(Transactions[Custom Category],D379)&gt;0,SUMIFS(Transactions[Amount],Transactions[Custom Category],D379,Transactions[Month],Sel_Month),SUMIFS(Transactions[Amount],Transactions[Name],D379,Transactions[Month],Sel_Month)))</f>
        <v/>
      </c>
      <c r="I379" s="8" t="str">
        <f t="shared" si="5"/>
        <v/>
      </c>
    </row>
    <row r="380" spans="3:9" x14ac:dyDescent="0.3">
      <c r="C380" s="7"/>
      <c r="H380" s="7" t="str" cm="1">
        <f t="array" ref="H380">_xlfn.IFS(D380="","",D380="Grand Total",SUM(H$2:H379),TRUE,IF(COUNTIF(Transactions[Custom Category],D380)&gt;0,SUMIFS(Transactions[Amount],Transactions[Custom Category],D380,Transactions[Month],Sel_Month),SUMIFS(Transactions[Amount],Transactions[Name],D380,Transactions[Month],Sel_Month)))</f>
        <v/>
      </c>
      <c r="I380" s="8" t="str">
        <f t="shared" si="5"/>
        <v/>
      </c>
    </row>
    <row r="381" spans="3:9" x14ac:dyDescent="0.3">
      <c r="C381" s="7"/>
      <c r="H381" s="7" t="str" cm="1">
        <f t="array" ref="H381">_xlfn.IFS(D381="","",D381="Grand Total",SUM(H$2:H380),TRUE,IF(COUNTIF(Transactions[Custom Category],D381)&gt;0,SUMIFS(Transactions[Amount],Transactions[Custom Category],D381,Transactions[Month],Sel_Month),SUMIFS(Transactions[Amount],Transactions[Name],D381,Transactions[Month],Sel_Month)))</f>
        <v/>
      </c>
      <c r="I381" s="8" t="str">
        <f t="shared" si="5"/>
        <v/>
      </c>
    </row>
    <row r="382" spans="3:9" x14ac:dyDescent="0.3">
      <c r="C382" s="7"/>
      <c r="H382" s="7" t="str" cm="1">
        <f t="array" ref="H382">_xlfn.IFS(D382="","",D382="Grand Total",SUM(H$2:H381),TRUE,IF(COUNTIF(Transactions[Custom Category],D382)&gt;0,SUMIFS(Transactions[Amount],Transactions[Custom Category],D382,Transactions[Month],Sel_Month),SUMIFS(Transactions[Amount],Transactions[Name],D382,Transactions[Month],Sel_Month)))</f>
        <v/>
      </c>
      <c r="I382" s="8" t="str">
        <f t="shared" si="5"/>
        <v/>
      </c>
    </row>
    <row r="383" spans="3:9" x14ac:dyDescent="0.3">
      <c r="C383" s="7"/>
      <c r="H383" s="7" t="str" cm="1">
        <f t="array" ref="H383">_xlfn.IFS(D383="","",D383="Grand Total",SUM(H$2:H382),TRUE,IF(COUNTIF(Transactions[Custom Category],D383)&gt;0,SUMIFS(Transactions[Amount],Transactions[Custom Category],D383,Transactions[Month],Sel_Month),SUMIFS(Transactions[Amount],Transactions[Name],D383,Transactions[Month],Sel_Month)))</f>
        <v/>
      </c>
      <c r="I383" s="8" t="str">
        <f t="shared" si="5"/>
        <v/>
      </c>
    </row>
    <row r="384" spans="3:9" x14ac:dyDescent="0.3">
      <c r="C384" s="7"/>
      <c r="H384" s="7" t="str" cm="1">
        <f t="array" ref="H384">_xlfn.IFS(D384="","",D384="Grand Total",SUM(H$2:H383),TRUE,IF(COUNTIF(Transactions[Custom Category],D384)&gt;0,SUMIFS(Transactions[Amount],Transactions[Custom Category],D384,Transactions[Month],Sel_Month),SUMIFS(Transactions[Amount],Transactions[Name],D384,Transactions[Month],Sel_Month)))</f>
        <v/>
      </c>
      <c r="I384" s="8" t="str">
        <f t="shared" si="5"/>
        <v/>
      </c>
    </row>
    <row r="385" spans="3:9" x14ac:dyDescent="0.3">
      <c r="C385" s="7"/>
      <c r="H385" s="7" t="str" cm="1">
        <f t="array" ref="H385">_xlfn.IFS(D385="","",D385="Grand Total",SUM(H$2:H384),TRUE,IF(COUNTIF(Transactions[Custom Category],D385)&gt;0,SUMIFS(Transactions[Amount],Transactions[Custom Category],D385,Transactions[Month],Sel_Month),SUMIFS(Transactions[Amount],Transactions[Name],D385,Transactions[Month],Sel_Month)))</f>
        <v/>
      </c>
      <c r="I385" s="8" t="str">
        <f t="shared" si="5"/>
        <v/>
      </c>
    </row>
    <row r="386" spans="3:9" x14ac:dyDescent="0.3">
      <c r="C386" s="7"/>
      <c r="H386" s="7" t="str" cm="1">
        <f t="array" ref="H386">_xlfn.IFS(D386="","",D386="Grand Total",SUM(H$2:H385),TRUE,IF(COUNTIF(Transactions[Custom Category],D386)&gt;0,SUMIFS(Transactions[Amount],Transactions[Custom Category],D386,Transactions[Month],Sel_Month),SUMIFS(Transactions[Amount],Transactions[Name],D386,Transactions[Month],Sel_Month)))</f>
        <v/>
      </c>
      <c r="I386" s="8" t="str">
        <f t="shared" si="5"/>
        <v/>
      </c>
    </row>
    <row r="387" spans="3:9" x14ac:dyDescent="0.3">
      <c r="C387" s="7"/>
      <c r="H387" s="7" t="str" cm="1">
        <f t="array" ref="H387">_xlfn.IFS(D387="","",D387="Grand Total",SUM(H$2:H386),TRUE,IF(COUNTIF(Transactions[Custom Category],D387)&gt;0,SUMIFS(Transactions[Amount],Transactions[Custom Category],D387,Transactions[Month],Sel_Month),SUMIFS(Transactions[Amount],Transactions[Name],D387,Transactions[Month],Sel_Month)))</f>
        <v/>
      </c>
      <c r="I387" s="8" t="str">
        <f t="shared" si="5"/>
        <v/>
      </c>
    </row>
    <row r="388" spans="3:9" x14ac:dyDescent="0.3">
      <c r="C388" s="7"/>
      <c r="H388" s="7" t="str" cm="1">
        <f t="array" ref="H388">_xlfn.IFS(D388="","",D388="Grand Total",SUM(H$2:H387),TRUE,IF(COUNTIF(Transactions[Custom Category],D388)&gt;0,SUMIFS(Transactions[Amount],Transactions[Custom Category],D388,Transactions[Month],Sel_Month),SUMIFS(Transactions[Amount],Transactions[Name],D388,Transactions[Month],Sel_Month)))</f>
        <v/>
      </c>
      <c r="I388" s="8" t="str">
        <f t="shared" ref="I388:I451" si="6">IF(F388="","",IF(F388=0,0,1-((F388-H388)/F388)))</f>
        <v/>
      </c>
    </row>
    <row r="389" spans="3:9" x14ac:dyDescent="0.3">
      <c r="C389" s="7"/>
      <c r="H389" s="7" t="str" cm="1">
        <f t="array" ref="H389">_xlfn.IFS(D389="","",D389="Grand Total",SUM(H$2:H388),TRUE,IF(COUNTIF(Transactions[Custom Category],D389)&gt;0,SUMIFS(Transactions[Amount],Transactions[Custom Category],D389,Transactions[Month],Sel_Month),SUMIFS(Transactions[Amount],Transactions[Name],D389,Transactions[Month],Sel_Month)))</f>
        <v/>
      </c>
      <c r="I389" s="8" t="str">
        <f t="shared" si="6"/>
        <v/>
      </c>
    </row>
    <row r="390" spans="3:9" x14ac:dyDescent="0.3">
      <c r="C390" s="7"/>
      <c r="H390" s="7" t="str" cm="1">
        <f t="array" ref="H390">_xlfn.IFS(D390="","",D390="Grand Total",SUM(H$2:H389),TRUE,IF(COUNTIF(Transactions[Custom Category],D390)&gt;0,SUMIFS(Transactions[Amount],Transactions[Custom Category],D390,Transactions[Month],Sel_Month),SUMIFS(Transactions[Amount],Transactions[Name],D390,Transactions[Month],Sel_Month)))</f>
        <v/>
      </c>
      <c r="I390" s="8" t="str">
        <f t="shared" si="6"/>
        <v/>
      </c>
    </row>
    <row r="391" spans="3:9" x14ac:dyDescent="0.3">
      <c r="C391" s="7"/>
      <c r="H391" s="7" t="str" cm="1">
        <f t="array" ref="H391">_xlfn.IFS(D391="","",D391="Grand Total",SUM(H$2:H390),TRUE,IF(COUNTIF(Transactions[Custom Category],D391)&gt;0,SUMIFS(Transactions[Amount],Transactions[Custom Category],D391,Transactions[Month],Sel_Month),SUMIFS(Transactions[Amount],Transactions[Name],D391,Transactions[Month],Sel_Month)))</f>
        <v/>
      </c>
      <c r="I391" s="8" t="str">
        <f t="shared" si="6"/>
        <v/>
      </c>
    </row>
    <row r="392" spans="3:9" x14ac:dyDescent="0.3">
      <c r="C392" s="7"/>
      <c r="H392" s="7" t="str" cm="1">
        <f t="array" ref="H392">_xlfn.IFS(D392="","",D392="Grand Total",SUM(H$2:H391),TRUE,IF(COUNTIF(Transactions[Custom Category],D392)&gt;0,SUMIFS(Transactions[Amount],Transactions[Custom Category],D392,Transactions[Month],Sel_Month),SUMIFS(Transactions[Amount],Transactions[Name],D392,Transactions[Month],Sel_Month)))</f>
        <v/>
      </c>
      <c r="I392" s="8" t="str">
        <f t="shared" si="6"/>
        <v/>
      </c>
    </row>
    <row r="393" spans="3:9" x14ac:dyDescent="0.3">
      <c r="C393" s="7"/>
      <c r="H393" s="7" t="str" cm="1">
        <f t="array" ref="H393">_xlfn.IFS(D393="","",D393="Grand Total",SUM(H$2:H392),TRUE,IF(COUNTIF(Transactions[Custom Category],D393)&gt;0,SUMIFS(Transactions[Amount],Transactions[Custom Category],D393,Transactions[Month],Sel_Month),SUMIFS(Transactions[Amount],Transactions[Name],D393,Transactions[Month],Sel_Month)))</f>
        <v/>
      </c>
      <c r="I393" s="8" t="str">
        <f t="shared" si="6"/>
        <v/>
      </c>
    </row>
    <row r="394" spans="3:9" x14ac:dyDescent="0.3">
      <c r="C394" s="7"/>
      <c r="H394" s="7" t="str" cm="1">
        <f t="array" ref="H394">_xlfn.IFS(D394="","",D394="Grand Total",SUM(H$2:H393),TRUE,IF(COUNTIF(Transactions[Custom Category],D394)&gt;0,SUMIFS(Transactions[Amount],Transactions[Custom Category],D394,Transactions[Month],Sel_Month),SUMIFS(Transactions[Amount],Transactions[Name],D394,Transactions[Month],Sel_Month)))</f>
        <v/>
      </c>
      <c r="I394" s="8" t="str">
        <f t="shared" si="6"/>
        <v/>
      </c>
    </row>
    <row r="395" spans="3:9" x14ac:dyDescent="0.3">
      <c r="C395" s="7"/>
      <c r="H395" s="7" t="str" cm="1">
        <f t="array" ref="H395">_xlfn.IFS(D395="","",D395="Grand Total",SUM(H$2:H394),TRUE,IF(COUNTIF(Transactions[Custom Category],D395)&gt;0,SUMIFS(Transactions[Amount],Transactions[Custom Category],D395,Transactions[Month],Sel_Month),SUMIFS(Transactions[Amount],Transactions[Name],D395,Transactions[Month],Sel_Month)))</f>
        <v/>
      </c>
      <c r="I395" s="8" t="str">
        <f t="shared" si="6"/>
        <v/>
      </c>
    </row>
    <row r="396" spans="3:9" x14ac:dyDescent="0.3">
      <c r="C396" s="7"/>
      <c r="H396" s="7" t="str" cm="1">
        <f t="array" ref="H396">_xlfn.IFS(D396="","",D396="Grand Total",SUM(H$2:H395),TRUE,IF(COUNTIF(Transactions[Custom Category],D396)&gt;0,SUMIFS(Transactions[Amount],Transactions[Custom Category],D396,Transactions[Month],Sel_Month),SUMIFS(Transactions[Amount],Transactions[Name],D396,Transactions[Month],Sel_Month)))</f>
        <v/>
      </c>
      <c r="I396" s="8" t="str">
        <f t="shared" si="6"/>
        <v/>
      </c>
    </row>
    <row r="397" spans="3:9" x14ac:dyDescent="0.3">
      <c r="C397" s="7"/>
      <c r="H397" s="7" t="str" cm="1">
        <f t="array" ref="H397">_xlfn.IFS(D397="","",D397="Grand Total",SUM(H$2:H396),TRUE,IF(COUNTIF(Transactions[Custom Category],D397)&gt;0,SUMIFS(Transactions[Amount],Transactions[Custom Category],D397,Transactions[Month],Sel_Month),SUMIFS(Transactions[Amount],Transactions[Name],D397,Transactions[Month],Sel_Month)))</f>
        <v/>
      </c>
      <c r="I397" s="8" t="str">
        <f t="shared" si="6"/>
        <v/>
      </c>
    </row>
    <row r="398" spans="3:9" x14ac:dyDescent="0.3">
      <c r="C398" s="7"/>
      <c r="H398" s="7" t="str" cm="1">
        <f t="array" ref="H398">_xlfn.IFS(D398="","",D398="Grand Total",SUM(H$2:H397),TRUE,IF(COUNTIF(Transactions[Custom Category],D398)&gt;0,SUMIFS(Transactions[Amount],Transactions[Custom Category],D398,Transactions[Month],Sel_Month),SUMIFS(Transactions[Amount],Transactions[Name],D398,Transactions[Month],Sel_Month)))</f>
        <v/>
      </c>
      <c r="I398" s="8" t="str">
        <f t="shared" si="6"/>
        <v/>
      </c>
    </row>
    <row r="399" spans="3:9" x14ac:dyDescent="0.3">
      <c r="C399" s="7"/>
      <c r="H399" s="7" t="str" cm="1">
        <f t="array" ref="H399">_xlfn.IFS(D399="","",D399="Grand Total",SUM(H$2:H398),TRUE,IF(COUNTIF(Transactions[Custom Category],D399)&gt;0,SUMIFS(Transactions[Amount],Transactions[Custom Category],D399,Transactions[Month],Sel_Month),SUMIFS(Transactions[Amount],Transactions[Name],D399,Transactions[Month],Sel_Month)))</f>
        <v/>
      </c>
      <c r="I399" s="8" t="str">
        <f t="shared" si="6"/>
        <v/>
      </c>
    </row>
    <row r="400" spans="3:9" x14ac:dyDescent="0.3">
      <c r="C400" s="7"/>
      <c r="H400" s="7" t="str" cm="1">
        <f t="array" ref="H400">_xlfn.IFS(D400="","",D400="Grand Total",SUM(H$2:H399),TRUE,IF(COUNTIF(Transactions[Custom Category],D400)&gt;0,SUMIFS(Transactions[Amount],Transactions[Custom Category],D400,Transactions[Month],Sel_Month),SUMIFS(Transactions[Amount],Transactions[Name],D400,Transactions[Month],Sel_Month)))</f>
        <v/>
      </c>
      <c r="I400" s="8" t="str">
        <f t="shared" si="6"/>
        <v/>
      </c>
    </row>
    <row r="401" spans="3:9" x14ac:dyDescent="0.3">
      <c r="C401" s="7"/>
      <c r="H401" s="7" t="str" cm="1">
        <f t="array" ref="H401">_xlfn.IFS(D401="","",D401="Grand Total",SUM(H$2:H400),TRUE,IF(COUNTIF(Transactions[Custom Category],D401)&gt;0,SUMIFS(Transactions[Amount],Transactions[Custom Category],D401,Transactions[Month],Sel_Month),SUMIFS(Transactions[Amount],Transactions[Name],D401,Transactions[Month],Sel_Month)))</f>
        <v/>
      </c>
      <c r="I401" s="8" t="str">
        <f t="shared" si="6"/>
        <v/>
      </c>
    </row>
    <row r="402" spans="3:9" x14ac:dyDescent="0.3">
      <c r="C402" s="7"/>
      <c r="H402" s="7" t="str" cm="1">
        <f t="array" ref="H402">_xlfn.IFS(D402="","",D402="Grand Total",SUM(H$2:H401),TRUE,IF(COUNTIF(Transactions[Custom Category],D402)&gt;0,SUMIFS(Transactions[Amount],Transactions[Custom Category],D402,Transactions[Month],Sel_Month),SUMIFS(Transactions[Amount],Transactions[Name],D402,Transactions[Month],Sel_Month)))</f>
        <v/>
      </c>
      <c r="I402" s="8" t="str">
        <f t="shared" si="6"/>
        <v/>
      </c>
    </row>
    <row r="403" spans="3:9" x14ac:dyDescent="0.3">
      <c r="C403" s="7"/>
      <c r="H403" s="7" t="str" cm="1">
        <f t="array" ref="H403">_xlfn.IFS(D403="","",D403="Grand Total",SUM(H$2:H402),TRUE,IF(COUNTIF(Transactions[Custom Category],D403)&gt;0,SUMIFS(Transactions[Amount],Transactions[Custom Category],D403,Transactions[Month],Sel_Month),SUMIFS(Transactions[Amount],Transactions[Name],D403,Transactions[Month],Sel_Month)))</f>
        <v/>
      </c>
      <c r="I403" s="8" t="str">
        <f t="shared" si="6"/>
        <v/>
      </c>
    </row>
    <row r="404" spans="3:9" x14ac:dyDescent="0.3">
      <c r="C404" s="7"/>
      <c r="H404" s="7" t="str" cm="1">
        <f t="array" ref="H404">_xlfn.IFS(D404="","",D404="Grand Total",SUM(H$2:H403),TRUE,IF(COUNTIF(Transactions[Custom Category],D404)&gt;0,SUMIFS(Transactions[Amount],Transactions[Custom Category],D404,Transactions[Month],Sel_Month),SUMIFS(Transactions[Amount],Transactions[Name],D404,Transactions[Month],Sel_Month)))</f>
        <v/>
      </c>
      <c r="I404" s="8" t="str">
        <f t="shared" si="6"/>
        <v/>
      </c>
    </row>
    <row r="405" spans="3:9" x14ac:dyDescent="0.3">
      <c r="C405" s="7"/>
      <c r="H405" s="7" t="str" cm="1">
        <f t="array" ref="H405">_xlfn.IFS(D405="","",D405="Grand Total",SUM(H$2:H404),TRUE,IF(COUNTIF(Transactions[Custom Category],D405)&gt;0,SUMIFS(Transactions[Amount],Transactions[Custom Category],D405,Transactions[Month],Sel_Month),SUMIFS(Transactions[Amount],Transactions[Name],D405,Transactions[Month],Sel_Month)))</f>
        <v/>
      </c>
      <c r="I405" s="8" t="str">
        <f t="shared" si="6"/>
        <v/>
      </c>
    </row>
    <row r="406" spans="3:9" x14ac:dyDescent="0.3">
      <c r="C406" s="7"/>
      <c r="H406" s="7" t="str" cm="1">
        <f t="array" ref="H406">_xlfn.IFS(D406="","",D406="Grand Total",SUM(H$2:H405),TRUE,IF(COUNTIF(Transactions[Custom Category],D406)&gt;0,SUMIFS(Transactions[Amount],Transactions[Custom Category],D406,Transactions[Month],Sel_Month),SUMIFS(Transactions[Amount],Transactions[Name],D406,Transactions[Month],Sel_Month)))</f>
        <v/>
      </c>
      <c r="I406" s="8" t="str">
        <f t="shared" si="6"/>
        <v/>
      </c>
    </row>
    <row r="407" spans="3:9" x14ac:dyDescent="0.3">
      <c r="C407" s="7"/>
      <c r="H407" s="7" t="str" cm="1">
        <f t="array" ref="H407">_xlfn.IFS(D407="","",D407="Grand Total",SUM(H$2:H406),TRUE,IF(COUNTIF(Transactions[Custom Category],D407)&gt;0,SUMIFS(Transactions[Amount],Transactions[Custom Category],D407,Transactions[Month],Sel_Month),SUMIFS(Transactions[Amount],Transactions[Name],D407,Transactions[Month],Sel_Month)))</f>
        <v/>
      </c>
      <c r="I407" s="8" t="str">
        <f t="shared" si="6"/>
        <v/>
      </c>
    </row>
    <row r="408" spans="3:9" x14ac:dyDescent="0.3">
      <c r="C408" s="7"/>
      <c r="H408" s="7" t="str" cm="1">
        <f t="array" ref="H408">_xlfn.IFS(D408="","",D408="Grand Total",SUM(H$2:H407),TRUE,IF(COUNTIF(Transactions[Custom Category],D408)&gt;0,SUMIFS(Transactions[Amount],Transactions[Custom Category],D408,Transactions[Month],Sel_Month),SUMIFS(Transactions[Amount],Transactions[Name],D408,Transactions[Month],Sel_Month)))</f>
        <v/>
      </c>
      <c r="I408" s="8" t="str">
        <f t="shared" si="6"/>
        <v/>
      </c>
    </row>
    <row r="409" spans="3:9" x14ac:dyDescent="0.3">
      <c r="C409" s="7"/>
      <c r="H409" s="7" t="str" cm="1">
        <f t="array" ref="H409">_xlfn.IFS(D409="","",D409="Grand Total",SUM(H$2:H408),TRUE,IF(COUNTIF(Transactions[Custom Category],D409)&gt;0,SUMIFS(Transactions[Amount],Transactions[Custom Category],D409,Transactions[Month],Sel_Month),SUMIFS(Transactions[Amount],Transactions[Name],D409,Transactions[Month],Sel_Month)))</f>
        <v/>
      </c>
      <c r="I409" s="8" t="str">
        <f t="shared" si="6"/>
        <v/>
      </c>
    </row>
    <row r="410" spans="3:9" x14ac:dyDescent="0.3">
      <c r="C410" s="7"/>
      <c r="H410" s="7" t="str" cm="1">
        <f t="array" ref="H410">_xlfn.IFS(D410="","",D410="Grand Total",SUM(H$2:H409),TRUE,IF(COUNTIF(Transactions[Custom Category],D410)&gt;0,SUMIFS(Transactions[Amount],Transactions[Custom Category],D410,Transactions[Month],Sel_Month),SUMIFS(Transactions[Amount],Transactions[Name],D410,Transactions[Month],Sel_Month)))</f>
        <v/>
      </c>
      <c r="I410" s="8" t="str">
        <f t="shared" si="6"/>
        <v/>
      </c>
    </row>
    <row r="411" spans="3:9" x14ac:dyDescent="0.3">
      <c r="C411" s="7"/>
      <c r="H411" s="7" t="str" cm="1">
        <f t="array" ref="H411">_xlfn.IFS(D411="","",D411="Grand Total",SUM(H$2:H410),TRUE,IF(COUNTIF(Transactions[Custom Category],D411)&gt;0,SUMIFS(Transactions[Amount],Transactions[Custom Category],D411,Transactions[Month],Sel_Month),SUMIFS(Transactions[Amount],Transactions[Name],D411,Transactions[Month],Sel_Month)))</f>
        <v/>
      </c>
      <c r="I411" s="8" t="str">
        <f t="shared" si="6"/>
        <v/>
      </c>
    </row>
    <row r="412" spans="3:9" x14ac:dyDescent="0.3">
      <c r="C412" s="7"/>
      <c r="H412" s="7" t="str" cm="1">
        <f t="array" ref="H412">_xlfn.IFS(D412="","",D412="Grand Total",SUM(H$2:H411),TRUE,IF(COUNTIF(Transactions[Custom Category],D412)&gt;0,SUMIFS(Transactions[Amount],Transactions[Custom Category],D412,Transactions[Month],Sel_Month),SUMIFS(Transactions[Amount],Transactions[Name],D412,Transactions[Month],Sel_Month)))</f>
        <v/>
      </c>
      <c r="I412" s="8" t="str">
        <f t="shared" si="6"/>
        <v/>
      </c>
    </row>
    <row r="413" spans="3:9" x14ac:dyDescent="0.3">
      <c r="C413" s="7"/>
      <c r="H413" s="7" t="str" cm="1">
        <f t="array" ref="H413">_xlfn.IFS(D413="","",D413="Grand Total",SUM(H$2:H412),TRUE,IF(COUNTIF(Transactions[Custom Category],D413)&gt;0,SUMIFS(Transactions[Amount],Transactions[Custom Category],D413,Transactions[Month],Sel_Month),SUMIFS(Transactions[Amount],Transactions[Name],D413,Transactions[Month],Sel_Month)))</f>
        <v/>
      </c>
      <c r="I413" s="8" t="str">
        <f t="shared" si="6"/>
        <v/>
      </c>
    </row>
    <row r="414" spans="3:9" x14ac:dyDescent="0.3">
      <c r="C414" s="7"/>
      <c r="H414" s="7" t="str" cm="1">
        <f t="array" ref="H414">_xlfn.IFS(D414="","",D414="Grand Total",SUM(H$2:H413),TRUE,IF(COUNTIF(Transactions[Custom Category],D414)&gt;0,SUMIFS(Transactions[Amount],Transactions[Custom Category],D414,Transactions[Month],Sel_Month),SUMIFS(Transactions[Amount],Transactions[Name],D414,Transactions[Month],Sel_Month)))</f>
        <v/>
      </c>
      <c r="I414" s="8" t="str">
        <f t="shared" si="6"/>
        <v/>
      </c>
    </row>
    <row r="415" spans="3:9" x14ac:dyDescent="0.3">
      <c r="C415" s="7"/>
      <c r="H415" s="7" t="str" cm="1">
        <f t="array" ref="H415">_xlfn.IFS(D415="","",D415="Grand Total",SUM(H$2:H414),TRUE,IF(COUNTIF(Transactions[Custom Category],D415)&gt;0,SUMIFS(Transactions[Amount],Transactions[Custom Category],D415,Transactions[Month],Sel_Month),SUMIFS(Transactions[Amount],Transactions[Name],D415,Transactions[Month],Sel_Month)))</f>
        <v/>
      </c>
      <c r="I415" s="8" t="str">
        <f t="shared" si="6"/>
        <v/>
      </c>
    </row>
    <row r="416" spans="3:9" x14ac:dyDescent="0.3">
      <c r="C416" s="7"/>
      <c r="H416" s="7" t="str" cm="1">
        <f t="array" ref="H416">_xlfn.IFS(D416="","",D416="Grand Total",SUM(H$2:H415),TRUE,IF(COUNTIF(Transactions[Custom Category],D416)&gt;0,SUMIFS(Transactions[Amount],Transactions[Custom Category],D416,Transactions[Month],Sel_Month),SUMIFS(Transactions[Amount],Transactions[Name],D416,Transactions[Month],Sel_Month)))</f>
        <v/>
      </c>
      <c r="I416" s="8" t="str">
        <f t="shared" si="6"/>
        <v/>
      </c>
    </row>
    <row r="417" spans="3:9" x14ac:dyDescent="0.3">
      <c r="C417" s="7"/>
      <c r="H417" s="7" t="str" cm="1">
        <f t="array" ref="H417">_xlfn.IFS(D417="","",D417="Grand Total",SUM(H$2:H416),TRUE,IF(COUNTIF(Transactions[Custom Category],D417)&gt;0,SUMIFS(Transactions[Amount],Transactions[Custom Category],D417,Transactions[Month],Sel_Month),SUMIFS(Transactions[Amount],Transactions[Name],D417,Transactions[Month],Sel_Month)))</f>
        <v/>
      </c>
      <c r="I417" s="8" t="str">
        <f t="shared" si="6"/>
        <v/>
      </c>
    </row>
    <row r="418" spans="3:9" x14ac:dyDescent="0.3">
      <c r="C418" s="7"/>
      <c r="H418" s="7" t="str" cm="1">
        <f t="array" ref="H418">_xlfn.IFS(D418="","",D418="Grand Total",SUM(H$2:H417),TRUE,IF(COUNTIF(Transactions[Custom Category],D418)&gt;0,SUMIFS(Transactions[Amount],Transactions[Custom Category],D418,Transactions[Month],Sel_Month),SUMIFS(Transactions[Amount],Transactions[Name],D418,Transactions[Month],Sel_Month)))</f>
        <v/>
      </c>
      <c r="I418" s="8" t="str">
        <f t="shared" si="6"/>
        <v/>
      </c>
    </row>
    <row r="419" spans="3:9" x14ac:dyDescent="0.3">
      <c r="C419" s="7"/>
      <c r="H419" s="7" t="str" cm="1">
        <f t="array" ref="H419">_xlfn.IFS(D419="","",D419="Grand Total",SUM(H$2:H418),TRUE,IF(COUNTIF(Transactions[Custom Category],D419)&gt;0,SUMIFS(Transactions[Amount],Transactions[Custom Category],D419,Transactions[Month],Sel_Month),SUMIFS(Transactions[Amount],Transactions[Name],D419,Transactions[Month],Sel_Month)))</f>
        <v/>
      </c>
      <c r="I419" s="8" t="str">
        <f t="shared" si="6"/>
        <v/>
      </c>
    </row>
    <row r="420" spans="3:9" x14ac:dyDescent="0.3">
      <c r="C420" s="7"/>
      <c r="H420" s="7" t="str" cm="1">
        <f t="array" ref="H420">_xlfn.IFS(D420="","",D420="Grand Total",SUM(H$2:H419),TRUE,IF(COUNTIF(Transactions[Custom Category],D420)&gt;0,SUMIFS(Transactions[Amount],Transactions[Custom Category],D420,Transactions[Month],Sel_Month),SUMIFS(Transactions[Amount],Transactions[Name],D420,Transactions[Month],Sel_Month)))</f>
        <v/>
      </c>
      <c r="I420" s="8" t="str">
        <f t="shared" si="6"/>
        <v/>
      </c>
    </row>
    <row r="421" spans="3:9" x14ac:dyDescent="0.3">
      <c r="C421" s="7"/>
      <c r="H421" s="7" t="str" cm="1">
        <f t="array" ref="H421">_xlfn.IFS(D421="","",D421="Grand Total",SUM(H$2:H420),TRUE,IF(COUNTIF(Transactions[Custom Category],D421)&gt;0,SUMIFS(Transactions[Amount],Transactions[Custom Category],D421,Transactions[Month],Sel_Month),SUMIFS(Transactions[Amount],Transactions[Name],D421,Transactions[Month],Sel_Month)))</f>
        <v/>
      </c>
      <c r="I421" s="8" t="str">
        <f t="shared" si="6"/>
        <v/>
      </c>
    </row>
    <row r="422" spans="3:9" x14ac:dyDescent="0.3">
      <c r="C422" s="7"/>
      <c r="H422" s="7" t="str" cm="1">
        <f t="array" ref="H422">_xlfn.IFS(D422="","",D422="Grand Total",SUM(H$2:H421),TRUE,IF(COUNTIF(Transactions[Custom Category],D422)&gt;0,SUMIFS(Transactions[Amount],Transactions[Custom Category],D422,Transactions[Month],Sel_Month),SUMIFS(Transactions[Amount],Transactions[Name],D422,Transactions[Month],Sel_Month)))</f>
        <v/>
      </c>
      <c r="I422" s="8" t="str">
        <f t="shared" si="6"/>
        <v/>
      </c>
    </row>
    <row r="423" spans="3:9" x14ac:dyDescent="0.3">
      <c r="C423" s="7"/>
      <c r="H423" s="7" t="str" cm="1">
        <f t="array" ref="H423">_xlfn.IFS(D423="","",D423="Grand Total",SUM(H$2:H422),TRUE,IF(COUNTIF(Transactions[Custom Category],D423)&gt;0,SUMIFS(Transactions[Amount],Transactions[Custom Category],D423,Transactions[Month],Sel_Month),SUMIFS(Transactions[Amount],Transactions[Name],D423,Transactions[Month],Sel_Month)))</f>
        <v/>
      </c>
      <c r="I423" s="8" t="str">
        <f t="shared" si="6"/>
        <v/>
      </c>
    </row>
    <row r="424" spans="3:9" x14ac:dyDescent="0.3">
      <c r="C424" s="7"/>
      <c r="H424" s="7" t="str" cm="1">
        <f t="array" ref="H424">_xlfn.IFS(D424="","",D424="Grand Total",SUM(H$2:H423),TRUE,IF(COUNTIF(Transactions[Custom Category],D424)&gt;0,SUMIFS(Transactions[Amount],Transactions[Custom Category],D424,Transactions[Month],Sel_Month),SUMIFS(Transactions[Amount],Transactions[Name],D424,Transactions[Month],Sel_Month)))</f>
        <v/>
      </c>
      <c r="I424" s="8" t="str">
        <f t="shared" si="6"/>
        <v/>
      </c>
    </row>
    <row r="425" spans="3:9" x14ac:dyDescent="0.3">
      <c r="C425" s="7"/>
      <c r="H425" s="7" t="str" cm="1">
        <f t="array" ref="H425">_xlfn.IFS(D425="","",D425="Grand Total",SUM(H$2:H424),TRUE,IF(COUNTIF(Transactions[Custom Category],D425)&gt;0,SUMIFS(Transactions[Amount],Transactions[Custom Category],D425,Transactions[Month],Sel_Month),SUMIFS(Transactions[Amount],Transactions[Name],D425,Transactions[Month],Sel_Month)))</f>
        <v/>
      </c>
      <c r="I425" s="8" t="str">
        <f t="shared" si="6"/>
        <v/>
      </c>
    </row>
    <row r="426" spans="3:9" x14ac:dyDescent="0.3">
      <c r="C426" s="7"/>
      <c r="H426" s="7" t="str" cm="1">
        <f t="array" ref="H426">_xlfn.IFS(D426="","",D426="Grand Total",SUM(H$2:H425),TRUE,IF(COUNTIF(Transactions[Custom Category],D426)&gt;0,SUMIFS(Transactions[Amount],Transactions[Custom Category],D426,Transactions[Month],Sel_Month),SUMIFS(Transactions[Amount],Transactions[Name],D426,Transactions[Month],Sel_Month)))</f>
        <v/>
      </c>
      <c r="I426" s="8" t="str">
        <f t="shared" si="6"/>
        <v/>
      </c>
    </row>
    <row r="427" spans="3:9" x14ac:dyDescent="0.3">
      <c r="C427" s="7"/>
      <c r="H427" s="7" t="str" cm="1">
        <f t="array" ref="H427">_xlfn.IFS(D427="","",D427="Grand Total",SUM(H$2:H426),TRUE,IF(COUNTIF(Transactions[Custom Category],D427)&gt;0,SUMIFS(Transactions[Amount],Transactions[Custom Category],D427,Transactions[Month],Sel_Month),SUMIFS(Transactions[Amount],Transactions[Name],D427,Transactions[Month],Sel_Month)))</f>
        <v/>
      </c>
      <c r="I427" s="8" t="str">
        <f t="shared" si="6"/>
        <v/>
      </c>
    </row>
    <row r="428" spans="3:9" x14ac:dyDescent="0.3">
      <c r="C428" s="7"/>
      <c r="H428" s="7" t="str" cm="1">
        <f t="array" ref="H428">_xlfn.IFS(D428="","",D428="Grand Total",SUM(H$2:H427),TRUE,IF(COUNTIF(Transactions[Custom Category],D428)&gt;0,SUMIFS(Transactions[Amount],Transactions[Custom Category],D428,Transactions[Month],Sel_Month),SUMIFS(Transactions[Amount],Transactions[Name],D428,Transactions[Month],Sel_Month)))</f>
        <v/>
      </c>
      <c r="I428" s="8" t="str">
        <f t="shared" si="6"/>
        <v/>
      </c>
    </row>
    <row r="429" spans="3:9" x14ac:dyDescent="0.3">
      <c r="C429" s="7"/>
      <c r="H429" s="7" t="str" cm="1">
        <f t="array" ref="H429">_xlfn.IFS(D429="","",D429="Grand Total",SUM(H$2:H428),TRUE,IF(COUNTIF(Transactions[Custom Category],D429)&gt;0,SUMIFS(Transactions[Amount],Transactions[Custom Category],D429,Transactions[Month],Sel_Month),SUMIFS(Transactions[Amount],Transactions[Name],D429,Transactions[Month],Sel_Month)))</f>
        <v/>
      </c>
      <c r="I429" s="8" t="str">
        <f t="shared" si="6"/>
        <v/>
      </c>
    </row>
    <row r="430" spans="3:9" x14ac:dyDescent="0.3">
      <c r="C430" s="7"/>
      <c r="H430" s="7" t="str" cm="1">
        <f t="array" ref="H430">_xlfn.IFS(D430="","",D430="Grand Total",SUM(H$2:H429),TRUE,IF(COUNTIF(Transactions[Custom Category],D430)&gt;0,SUMIFS(Transactions[Amount],Transactions[Custom Category],D430,Transactions[Month],Sel_Month),SUMIFS(Transactions[Amount],Transactions[Name],D430,Transactions[Month],Sel_Month)))</f>
        <v/>
      </c>
      <c r="I430" s="8" t="str">
        <f t="shared" si="6"/>
        <v/>
      </c>
    </row>
    <row r="431" spans="3:9" x14ac:dyDescent="0.3">
      <c r="C431" s="7"/>
      <c r="H431" s="7" t="str" cm="1">
        <f t="array" ref="H431">_xlfn.IFS(D431="","",D431="Grand Total",SUM(H$2:H430),TRUE,IF(COUNTIF(Transactions[Custom Category],D431)&gt;0,SUMIFS(Transactions[Amount],Transactions[Custom Category],D431,Transactions[Month],Sel_Month),SUMIFS(Transactions[Amount],Transactions[Name],D431,Transactions[Month],Sel_Month)))</f>
        <v/>
      </c>
      <c r="I431" s="8" t="str">
        <f t="shared" si="6"/>
        <v/>
      </c>
    </row>
    <row r="432" spans="3:9" x14ac:dyDescent="0.3">
      <c r="C432" s="7"/>
      <c r="H432" s="7" t="str" cm="1">
        <f t="array" ref="H432">_xlfn.IFS(D432="","",D432="Grand Total",SUM(H$2:H431),TRUE,IF(COUNTIF(Transactions[Custom Category],D432)&gt;0,SUMIFS(Transactions[Amount],Transactions[Custom Category],D432,Transactions[Month],Sel_Month),SUMIFS(Transactions[Amount],Transactions[Name],D432,Transactions[Month],Sel_Month)))</f>
        <v/>
      </c>
      <c r="I432" s="8" t="str">
        <f t="shared" si="6"/>
        <v/>
      </c>
    </row>
    <row r="433" spans="3:9" x14ac:dyDescent="0.3">
      <c r="C433" s="7"/>
      <c r="H433" s="7" t="str" cm="1">
        <f t="array" ref="H433">_xlfn.IFS(D433="","",D433="Grand Total",SUM(H$2:H432),TRUE,IF(COUNTIF(Transactions[Custom Category],D433)&gt;0,SUMIFS(Transactions[Amount],Transactions[Custom Category],D433,Transactions[Month],Sel_Month),SUMIFS(Transactions[Amount],Transactions[Name],D433,Transactions[Month],Sel_Month)))</f>
        <v/>
      </c>
      <c r="I433" s="8" t="str">
        <f t="shared" si="6"/>
        <v/>
      </c>
    </row>
    <row r="434" spans="3:9" x14ac:dyDescent="0.3">
      <c r="C434" s="7"/>
      <c r="H434" s="7" t="str" cm="1">
        <f t="array" ref="H434">_xlfn.IFS(D434="","",D434="Grand Total",SUM(H$2:H433),TRUE,IF(COUNTIF(Transactions[Custom Category],D434)&gt;0,SUMIFS(Transactions[Amount],Transactions[Custom Category],D434,Transactions[Month],Sel_Month),SUMIFS(Transactions[Amount],Transactions[Name],D434,Transactions[Month],Sel_Month)))</f>
        <v/>
      </c>
      <c r="I434" s="8" t="str">
        <f t="shared" si="6"/>
        <v/>
      </c>
    </row>
    <row r="435" spans="3:9" x14ac:dyDescent="0.3">
      <c r="C435" s="7"/>
      <c r="H435" s="7" t="str" cm="1">
        <f t="array" ref="H435">_xlfn.IFS(D435="","",D435="Grand Total",SUM(H$2:H434),TRUE,IF(COUNTIF(Transactions[Custom Category],D435)&gt;0,SUMIFS(Transactions[Amount],Transactions[Custom Category],D435,Transactions[Month],Sel_Month),SUMIFS(Transactions[Amount],Transactions[Name],D435,Transactions[Month],Sel_Month)))</f>
        <v/>
      </c>
      <c r="I435" s="8" t="str">
        <f t="shared" si="6"/>
        <v/>
      </c>
    </row>
    <row r="436" spans="3:9" x14ac:dyDescent="0.3">
      <c r="H436" s="7" t="str" cm="1">
        <f t="array" ref="H436">_xlfn.IFS(D436="","",D436="Grand Total",SUM(H$2:H435),TRUE,IF(COUNTIF(Transactions[Custom Category],D436)&gt;0,SUMIFS(Transactions[Amount],Transactions[Custom Category],D436,Transactions[Month],Sel_Month),SUMIFS(Transactions[Amount],Transactions[Name],D436,Transactions[Month],Sel_Month)))</f>
        <v/>
      </c>
      <c r="I436" s="8" t="str">
        <f t="shared" si="6"/>
        <v/>
      </c>
    </row>
    <row r="437" spans="3:9" x14ac:dyDescent="0.3">
      <c r="H437" s="7" t="str" cm="1">
        <f t="array" ref="H437">_xlfn.IFS(D437="","",D437="Grand Total",SUM(H$2:H436),TRUE,IF(COUNTIF(Transactions[Custom Category],D437)&gt;0,SUMIFS(Transactions[Amount],Transactions[Custom Category],D437,Transactions[Month],Sel_Month),SUMIFS(Transactions[Amount],Transactions[Name],D437,Transactions[Month],Sel_Month)))</f>
        <v/>
      </c>
      <c r="I437" s="8" t="str">
        <f t="shared" si="6"/>
        <v/>
      </c>
    </row>
    <row r="438" spans="3:9" x14ac:dyDescent="0.3">
      <c r="H438" s="7" t="str" cm="1">
        <f t="array" ref="H438">_xlfn.IFS(D438="","",D438="Grand Total",SUM(H$2:H437),TRUE,IF(COUNTIF(Transactions[Custom Category],D438)&gt;0,SUMIFS(Transactions[Amount],Transactions[Custom Category],D438,Transactions[Month],Sel_Month),SUMIFS(Transactions[Amount],Transactions[Name],D438,Transactions[Month],Sel_Month)))</f>
        <v/>
      </c>
      <c r="I438" s="8" t="str">
        <f t="shared" si="6"/>
        <v/>
      </c>
    </row>
    <row r="439" spans="3:9" x14ac:dyDescent="0.3">
      <c r="H439" s="7" t="str" cm="1">
        <f t="array" ref="H439">_xlfn.IFS(D439="","",D439="Grand Total",SUM(H$2:H438),TRUE,IF(COUNTIF(Transactions[Custom Category],D439)&gt;0,SUMIFS(Transactions[Amount],Transactions[Custom Category],D439,Transactions[Month],Sel_Month),SUMIFS(Transactions[Amount],Transactions[Name],D439,Transactions[Month],Sel_Month)))</f>
        <v/>
      </c>
      <c r="I439" s="8" t="str">
        <f t="shared" si="6"/>
        <v/>
      </c>
    </row>
    <row r="440" spans="3:9" x14ac:dyDescent="0.3">
      <c r="H440" s="7" t="str" cm="1">
        <f t="array" ref="H440">_xlfn.IFS(D440="","",D440="Grand Total",SUM(H$2:H439),TRUE,IF(COUNTIF(Transactions[Custom Category],D440)&gt;0,SUMIFS(Transactions[Amount],Transactions[Custom Category],D440,Transactions[Month],Sel_Month),SUMIFS(Transactions[Amount],Transactions[Name],D440,Transactions[Month],Sel_Month)))</f>
        <v/>
      </c>
      <c r="I440" s="8" t="str">
        <f t="shared" si="6"/>
        <v/>
      </c>
    </row>
    <row r="441" spans="3:9" x14ac:dyDescent="0.3">
      <c r="H441" s="7" t="str" cm="1">
        <f t="array" ref="H441">_xlfn.IFS(D441="","",D441="Grand Total",SUM(H$2:H440),TRUE,IF(COUNTIF(Transactions[Custom Category],D441)&gt;0,SUMIFS(Transactions[Amount],Transactions[Custom Category],D441,Transactions[Month],Sel_Month),SUMIFS(Transactions[Amount],Transactions[Name],D441,Transactions[Month],Sel_Month)))</f>
        <v/>
      </c>
      <c r="I441" s="8" t="str">
        <f t="shared" si="6"/>
        <v/>
      </c>
    </row>
    <row r="442" spans="3:9" x14ac:dyDescent="0.3">
      <c r="H442" s="7" t="str" cm="1">
        <f t="array" ref="H442">_xlfn.IFS(D442="","",D442="Grand Total",SUM(H$2:H441),TRUE,IF(COUNTIF(Transactions[Custom Category],D442)&gt;0,SUMIFS(Transactions[Amount],Transactions[Custom Category],D442,Transactions[Month],Sel_Month),SUMIFS(Transactions[Amount],Transactions[Name],D442,Transactions[Month],Sel_Month)))</f>
        <v/>
      </c>
      <c r="I442" s="8" t="str">
        <f t="shared" si="6"/>
        <v/>
      </c>
    </row>
    <row r="443" spans="3:9" x14ac:dyDescent="0.3">
      <c r="H443" s="7" t="str" cm="1">
        <f t="array" ref="H443">_xlfn.IFS(D443="","",D443="Grand Total",SUM(H$2:H442),TRUE,IF(COUNTIF(Transactions[Custom Category],D443)&gt;0,SUMIFS(Transactions[Amount],Transactions[Custom Category],D443,Transactions[Month],Sel_Month),SUMIFS(Transactions[Amount],Transactions[Name],D443,Transactions[Month],Sel_Month)))</f>
        <v/>
      </c>
      <c r="I443" s="8" t="str">
        <f t="shared" si="6"/>
        <v/>
      </c>
    </row>
    <row r="444" spans="3:9" x14ac:dyDescent="0.3">
      <c r="H444" s="7" t="str" cm="1">
        <f t="array" ref="H444">_xlfn.IFS(D444="","",D444="Grand Total",SUM(H$2:H443),TRUE,IF(COUNTIF(Transactions[Custom Category],D444)&gt;0,SUMIFS(Transactions[Amount],Transactions[Custom Category],D444,Transactions[Month],Sel_Month),SUMIFS(Transactions[Amount],Transactions[Name],D444,Transactions[Month],Sel_Month)))</f>
        <v/>
      </c>
      <c r="I444" s="8" t="str">
        <f t="shared" si="6"/>
        <v/>
      </c>
    </row>
    <row r="445" spans="3:9" x14ac:dyDescent="0.3">
      <c r="H445" s="7" t="str" cm="1">
        <f t="array" ref="H445">_xlfn.IFS(D445="","",D445="Grand Total",SUM(H$2:H444),TRUE,IF(COUNTIF(Transactions[Custom Category],D445)&gt;0,SUMIFS(Transactions[Amount],Transactions[Custom Category],D445,Transactions[Month],Sel_Month),SUMIFS(Transactions[Amount],Transactions[Name],D445,Transactions[Month],Sel_Month)))</f>
        <v/>
      </c>
      <c r="I445" s="8" t="str">
        <f t="shared" si="6"/>
        <v/>
      </c>
    </row>
    <row r="446" spans="3:9" x14ac:dyDescent="0.3">
      <c r="H446" s="7" t="str" cm="1">
        <f t="array" ref="H446">_xlfn.IFS(D446="","",D446="Grand Total",SUM(H$2:H445),TRUE,IF(COUNTIF(Transactions[Custom Category],D446)&gt;0,SUMIFS(Transactions[Amount],Transactions[Custom Category],D446,Transactions[Month],Sel_Month),SUMIFS(Transactions[Amount],Transactions[Name],D446,Transactions[Month],Sel_Month)))</f>
        <v/>
      </c>
      <c r="I446" s="8" t="str">
        <f t="shared" si="6"/>
        <v/>
      </c>
    </row>
    <row r="447" spans="3:9" x14ac:dyDescent="0.3">
      <c r="H447" s="7" t="str" cm="1">
        <f t="array" ref="H447">_xlfn.IFS(D447="","",D447="Grand Total",SUM(H$2:H446),TRUE,IF(COUNTIF(Transactions[Custom Category],D447)&gt;0,SUMIFS(Transactions[Amount],Transactions[Custom Category],D447,Transactions[Month],Sel_Month),SUMIFS(Transactions[Amount],Transactions[Name],D447,Transactions[Month],Sel_Month)))</f>
        <v/>
      </c>
      <c r="I447" s="8" t="str">
        <f t="shared" si="6"/>
        <v/>
      </c>
    </row>
    <row r="448" spans="3:9" x14ac:dyDescent="0.3">
      <c r="H448" s="7" t="str" cm="1">
        <f t="array" ref="H448">_xlfn.IFS(D448="","",D448="Grand Total",SUM(H$2:H447),TRUE,IF(COUNTIF(Transactions[Custom Category],D448)&gt;0,SUMIFS(Transactions[Amount],Transactions[Custom Category],D448,Transactions[Month],Sel_Month),SUMIFS(Transactions[Amount],Transactions[Name],D448,Transactions[Month],Sel_Month)))</f>
        <v/>
      </c>
      <c r="I448" s="8" t="str">
        <f t="shared" si="6"/>
        <v/>
      </c>
    </row>
    <row r="449" spans="8:9" x14ac:dyDescent="0.3">
      <c r="H449" s="7" t="str" cm="1">
        <f t="array" ref="H449">_xlfn.IFS(D449="","",D449="Grand Total",SUM(H$2:H448),TRUE,IF(COUNTIF(Transactions[Custom Category],D449)&gt;0,SUMIFS(Transactions[Amount],Transactions[Custom Category],D449,Transactions[Month],Sel_Month),SUMIFS(Transactions[Amount],Transactions[Name],D449,Transactions[Month],Sel_Month)))</f>
        <v/>
      </c>
      <c r="I449" s="8" t="str">
        <f t="shared" si="6"/>
        <v/>
      </c>
    </row>
    <row r="450" spans="8:9" x14ac:dyDescent="0.3">
      <c r="H450" s="7" t="str" cm="1">
        <f t="array" ref="H450">_xlfn.IFS(D450="","",D450="Grand Total",SUM(H$2:H449),TRUE,IF(COUNTIF(Transactions[Custom Category],D450)&gt;0,SUMIFS(Transactions[Amount],Transactions[Custom Category],D450,Transactions[Month],Sel_Month),SUMIFS(Transactions[Amount],Transactions[Name],D450,Transactions[Month],Sel_Month)))</f>
        <v/>
      </c>
      <c r="I450" s="8" t="str">
        <f t="shared" si="6"/>
        <v/>
      </c>
    </row>
    <row r="451" spans="8:9" x14ac:dyDescent="0.3">
      <c r="H451" s="7" t="str" cm="1">
        <f t="array" ref="H451">_xlfn.IFS(D451="","",D451="Grand Total",SUM(H$2:H450),TRUE,IF(COUNTIF(Transactions[Custom Category],D451)&gt;0,SUMIFS(Transactions[Amount],Transactions[Custom Category],D451,Transactions[Month],Sel_Month),SUMIFS(Transactions[Amount],Transactions[Name],D451,Transactions[Month],Sel_Month)))</f>
        <v/>
      </c>
      <c r="I451" s="8" t="str">
        <f t="shared" si="6"/>
        <v/>
      </c>
    </row>
    <row r="452" spans="8:9" x14ac:dyDescent="0.3">
      <c r="H452" s="7" t="str" cm="1">
        <f t="array" ref="H452">_xlfn.IFS(D452="","",D452="Grand Total",SUM(H$2:H451),TRUE,IF(COUNTIF(Transactions[Custom Category],D452)&gt;0,SUMIFS(Transactions[Amount],Transactions[Custom Category],D452,Transactions[Month],Sel_Month),SUMIFS(Transactions[Amount],Transactions[Name],D452,Transactions[Month],Sel_Month)))</f>
        <v/>
      </c>
      <c r="I452" s="8" t="str">
        <f t="shared" ref="I452:I515" si="7">IF(F452="","",IF(F452=0,0,1-((F452-H452)/F452)))</f>
        <v/>
      </c>
    </row>
    <row r="453" spans="8:9" x14ac:dyDescent="0.3">
      <c r="H453" s="7" t="str" cm="1">
        <f t="array" ref="H453">_xlfn.IFS(D453="","",D453="Grand Total",SUM(H$2:H452),TRUE,IF(COUNTIF(Transactions[Custom Category],D453)&gt;0,SUMIFS(Transactions[Amount],Transactions[Custom Category],D453,Transactions[Month],Sel_Month),SUMIFS(Transactions[Amount],Transactions[Name],D453,Transactions[Month],Sel_Month)))</f>
        <v/>
      </c>
      <c r="I453" s="8" t="str">
        <f t="shared" si="7"/>
        <v/>
      </c>
    </row>
    <row r="454" spans="8:9" x14ac:dyDescent="0.3">
      <c r="H454" s="7" t="str" cm="1">
        <f t="array" ref="H454">_xlfn.IFS(D454="","",D454="Grand Total",SUM(H$2:H453),TRUE,IF(COUNTIF(Transactions[Custom Category],D454)&gt;0,SUMIFS(Transactions[Amount],Transactions[Custom Category],D454,Transactions[Month],Sel_Month),SUMIFS(Transactions[Amount],Transactions[Name],D454,Transactions[Month],Sel_Month)))</f>
        <v/>
      </c>
      <c r="I454" s="8" t="str">
        <f t="shared" si="7"/>
        <v/>
      </c>
    </row>
    <row r="455" spans="8:9" x14ac:dyDescent="0.3">
      <c r="H455" s="7" t="str" cm="1">
        <f t="array" ref="H455">_xlfn.IFS(D455="","",D455="Grand Total",SUM(H$2:H454),TRUE,IF(COUNTIF(Transactions[Custom Category],D455)&gt;0,SUMIFS(Transactions[Amount],Transactions[Custom Category],D455,Transactions[Month],Sel_Month),SUMIFS(Transactions[Amount],Transactions[Name],D455,Transactions[Month],Sel_Month)))</f>
        <v/>
      </c>
      <c r="I455" s="8" t="str">
        <f t="shared" si="7"/>
        <v/>
      </c>
    </row>
    <row r="456" spans="8:9" x14ac:dyDescent="0.3">
      <c r="H456" s="7" t="str" cm="1">
        <f t="array" ref="H456">_xlfn.IFS(D456="","",D456="Grand Total",SUM(H$2:H455),TRUE,IF(COUNTIF(Transactions[Custom Category],D456)&gt;0,SUMIFS(Transactions[Amount],Transactions[Custom Category],D456,Transactions[Month],Sel_Month),SUMIFS(Transactions[Amount],Transactions[Name],D456,Transactions[Month],Sel_Month)))</f>
        <v/>
      </c>
      <c r="I456" s="8" t="str">
        <f t="shared" si="7"/>
        <v/>
      </c>
    </row>
    <row r="457" spans="8:9" x14ac:dyDescent="0.3">
      <c r="H457" s="7" t="str" cm="1">
        <f t="array" ref="H457">_xlfn.IFS(D457="","",D457="Grand Total",SUM(H$2:H456),TRUE,IF(COUNTIF(Transactions[Custom Category],D457)&gt;0,SUMIFS(Transactions[Amount],Transactions[Custom Category],D457,Transactions[Month],Sel_Month),SUMIFS(Transactions[Amount],Transactions[Name],D457,Transactions[Month],Sel_Month)))</f>
        <v/>
      </c>
      <c r="I457" s="8" t="str">
        <f t="shared" si="7"/>
        <v/>
      </c>
    </row>
    <row r="458" spans="8:9" x14ac:dyDescent="0.3">
      <c r="H458" s="7" t="str" cm="1">
        <f t="array" ref="H458">_xlfn.IFS(D458="","",D458="Grand Total",SUM(H$2:H457),TRUE,IF(COUNTIF(Transactions[Custom Category],D458)&gt;0,SUMIFS(Transactions[Amount],Transactions[Custom Category],D458,Transactions[Month],Sel_Month),SUMIFS(Transactions[Amount],Transactions[Name],D458,Transactions[Month],Sel_Month)))</f>
        <v/>
      </c>
      <c r="I458" s="8" t="str">
        <f t="shared" si="7"/>
        <v/>
      </c>
    </row>
    <row r="459" spans="8:9" x14ac:dyDescent="0.3">
      <c r="H459" s="7" t="str" cm="1">
        <f t="array" ref="H459">_xlfn.IFS(D459="","",D459="Grand Total",SUM(H$2:H458),TRUE,IF(COUNTIF(Transactions[Custom Category],D459)&gt;0,SUMIFS(Transactions[Amount],Transactions[Custom Category],D459,Transactions[Month],Sel_Month),SUMIFS(Transactions[Amount],Transactions[Name],D459,Transactions[Month],Sel_Month)))</f>
        <v/>
      </c>
      <c r="I459" s="8" t="str">
        <f t="shared" si="7"/>
        <v/>
      </c>
    </row>
    <row r="460" spans="8:9" x14ac:dyDescent="0.3">
      <c r="H460" s="7" t="str" cm="1">
        <f t="array" ref="H460">_xlfn.IFS(D460="","",D460="Grand Total",SUM(H$2:H459),TRUE,IF(COUNTIF(Transactions[Custom Category],D460)&gt;0,SUMIFS(Transactions[Amount],Transactions[Custom Category],D460,Transactions[Month],Sel_Month),SUMIFS(Transactions[Amount],Transactions[Name],D460,Transactions[Month],Sel_Month)))</f>
        <v/>
      </c>
      <c r="I460" s="8" t="str">
        <f t="shared" si="7"/>
        <v/>
      </c>
    </row>
    <row r="461" spans="8:9" x14ac:dyDescent="0.3">
      <c r="H461" s="7" t="str" cm="1">
        <f t="array" ref="H461">_xlfn.IFS(D461="","",D461="Grand Total",SUM(H$2:H460),TRUE,IF(COUNTIF(Transactions[Custom Category],D461)&gt;0,SUMIFS(Transactions[Amount],Transactions[Custom Category],D461,Transactions[Month],Sel_Month),SUMIFS(Transactions[Amount],Transactions[Name],D461,Transactions[Month],Sel_Month)))</f>
        <v/>
      </c>
      <c r="I461" s="8" t="str">
        <f t="shared" si="7"/>
        <v/>
      </c>
    </row>
    <row r="462" spans="8:9" x14ac:dyDescent="0.3">
      <c r="H462" s="7" t="str" cm="1">
        <f t="array" ref="H462">_xlfn.IFS(D462="","",D462="Grand Total",SUM(H$2:H461),TRUE,IF(COUNTIF(Transactions[Custom Category],D462)&gt;0,SUMIFS(Transactions[Amount],Transactions[Custom Category],D462,Transactions[Month],Sel_Month),SUMIFS(Transactions[Amount],Transactions[Name],D462,Transactions[Month],Sel_Month)))</f>
        <v/>
      </c>
      <c r="I462" s="8" t="str">
        <f t="shared" si="7"/>
        <v/>
      </c>
    </row>
    <row r="463" spans="8:9" x14ac:dyDescent="0.3">
      <c r="H463" s="7" t="str" cm="1">
        <f t="array" ref="H463">_xlfn.IFS(D463="","",D463="Grand Total",SUM(H$2:H462),TRUE,IF(COUNTIF(Transactions[Custom Category],D463)&gt;0,SUMIFS(Transactions[Amount],Transactions[Custom Category],D463,Transactions[Month],Sel_Month),SUMIFS(Transactions[Amount],Transactions[Name],D463,Transactions[Month],Sel_Month)))</f>
        <v/>
      </c>
      <c r="I463" s="8" t="str">
        <f t="shared" si="7"/>
        <v/>
      </c>
    </row>
    <row r="464" spans="8:9" x14ac:dyDescent="0.3">
      <c r="H464" s="7" t="str" cm="1">
        <f t="array" ref="H464">_xlfn.IFS(D464="","",D464="Grand Total",SUM(H$2:H463),TRUE,IF(COUNTIF(Transactions[Custom Category],D464)&gt;0,SUMIFS(Transactions[Amount],Transactions[Custom Category],D464,Transactions[Month],Sel_Month),SUMIFS(Transactions[Amount],Transactions[Name],D464,Transactions[Month],Sel_Month)))</f>
        <v/>
      </c>
      <c r="I464" s="8" t="str">
        <f t="shared" si="7"/>
        <v/>
      </c>
    </row>
    <row r="465" spans="8:9" x14ac:dyDescent="0.3">
      <c r="H465" s="7" t="str" cm="1">
        <f t="array" ref="H465">_xlfn.IFS(D465="","",D465="Grand Total",SUM(H$2:H464),TRUE,IF(COUNTIF(Transactions[Custom Category],D465)&gt;0,SUMIFS(Transactions[Amount],Transactions[Custom Category],D465,Transactions[Month],Sel_Month),SUMIFS(Transactions[Amount],Transactions[Name],D465,Transactions[Month],Sel_Month)))</f>
        <v/>
      </c>
      <c r="I465" s="8" t="str">
        <f t="shared" si="7"/>
        <v/>
      </c>
    </row>
    <row r="466" spans="8:9" x14ac:dyDescent="0.3">
      <c r="H466" s="7" t="str" cm="1">
        <f t="array" ref="H466">_xlfn.IFS(D466="","",D466="Grand Total",SUM(H$2:H465),TRUE,IF(COUNTIF(Transactions[Custom Category],D466)&gt;0,SUMIFS(Transactions[Amount],Transactions[Custom Category],D466,Transactions[Month],Sel_Month),SUMIFS(Transactions[Amount],Transactions[Name],D466,Transactions[Month],Sel_Month)))</f>
        <v/>
      </c>
      <c r="I466" s="8" t="str">
        <f t="shared" si="7"/>
        <v/>
      </c>
    </row>
    <row r="467" spans="8:9" x14ac:dyDescent="0.3">
      <c r="H467" s="7" t="str" cm="1">
        <f t="array" ref="H467">_xlfn.IFS(D467="","",D467="Grand Total",SUM(H$2:H466),TRUE,IF(COUNTIF(Transactions[Custom Category],D467)&gt;0,SUMIFS(Transactions[Amount],Transactions[Custom Category],D467,Transactions[Month],Sel_Month),SUMIFS(Transactions[Amount],Transactions[Name],D467,Transactions[Month],Sel_Month)))</f>
        <v/>
      </c>
      <c r="I467" s="8" t="str">
        <f t="shared" si="7"/>
        <v/>
      </c>
    </row>
    <row r="468" spans="8:9" x14ac:dyDescent="0.3">
      <c r="H468" s="7" t="str" cm="1">
        <f t="array" ref="H468">_xlfn.IFS(D468="","",D468="Grand Total",SUM(H$2:H467),TRUE,IF(COUNTIF(Transactions[Custom Category],D468)&gt;0,SUMIFS(Transactions[Amount],Transactions[Custom Category],D468,Transactions[Month],Sel_Month),SUMIFS(Transactions[Amount],Transactions[Name],D468,Transactions[Month],Sel_Month)))</f>
        <v/>
      </c>
      <c r="I468" s="8" t="str">
        <f t="shared" si="7"/>
        <v/>
      </c>
    </row>
    <row r="469" spans="8:9" x14ac:dyDescent="0.3">
      <c r="H469" s="7" t="str" cm="1">
        <f t="array" ref="H469">_xlfn.IFS(D469="","",D469="Grand Total",SUM(H$2:H468),TRUE,IF(COUNTIF(Transactions[Custom Category],D469)&gt;0,SUMIFS(Transactions[Amount],Transactions[Custom Category],D469,Transactions[Month],Sel_Month),SUMIFS(Transactions[Amount],Transactions[Name],D469,Transactions[Month],Sel_Month)))</f>
        <v/>
      </c>
      <c r="I469" s="8" t="str">
        <f t="shared" si="7"/>
        <v/>
      </c>
    </row>
    <row r="470" spans="8:9" x14ac:dyDescent="0.3">
      <c r="H470" s="7" t="str" cm="1">
        <f t="array" ref="H470">_xlfn.IFS(D470="","",D470="Grand Total",SUM(H$2:H469),TRUE,IF(COUNTIF(Transactions[Custom Category],D470)&gt;0,SUMIFS(Transactions[Amount],Transactions[Custom Category],D470,Transactions[Month],Sel_Month),SUMIFS(Transactions[Amount],Transactions[Name],D470,Transactions[Month],Sel_Month)))</f>
        <v/>
      </c>
      <c r="I470" s="8" t="str">
        <f t="shared" si="7"/>
        <v/>
      </c>
    </row>
    <row r="471" spans="8:9" x14ac:dyDescent="0.3">
      <c r="H471" s="7" t="str" cm="1">
        <f t="array" ref="H471">_xlfn.IFS(D471="","",D471="Grand Total",SUM(H$2:H470),TRUE,IF(COUNTIF(Transactions[Custom Category],D471)&gt;0,SUMIFS(Transactions[Amount],Transactions[Custom Category],D471,Transactions[Month],Sel_Month),SUMIFS(Transactions[Amount],Transactions[Name],D471,Transactions[Month],Sel_Month)))</f>
        <v/>
      </c>
      <c r="I471" s="8" t="str">
        <f t="shared" si="7"/>
        <v/>
      </c>
    </row>
    <row r="472" spans="8:9" x14ac:dyDescent="0.3">
      <c r="H472" s="7" t="str" cm="1">
        <f t="array" ref="H472">_xlfn.IFS(D472="","",D472="Grand Total",SUM(H$2:H471),TRUE,IF(COUNTIF(Transactions[Custom Category],D472)&gt;0,SUMIFS(Transactions[Amount],Transactions[Custom Category],D472,Transactions[Month],Sel_Month),SUMIFS(Transactions[Amount],Transactions[Name],D472,Transactions[Month],Sel_Month)))</f>
        <v/>
      </c>
      <c r="I472" s="8" t="str">
        <f t="shared" si="7"/>
        <v/>
      </c>
    </row>
    <row r="473" spans="8:9" x14ac:dyDescent="0.3">
      <c r="H473" s="7" t="str" cm="1">
        <f t="array" ref="H473">_xlfn.IFS(D473="","",D473="Grand Total",SUM(H$2:H472),TRUE,IF(COUNTIF(Transactions[Custom Category],D473)&gt;0,SUMIFS(Transactions[Amount],Transactions[Custom Category],D473,Transactions[Month],Sel_Month),SUMIFS(Transactions[Amount],Transactions[Name],D473,Transactions[Month],Sel_Month)))</f>
        <v/>
      </c>
      <c r="I473" s="8" t="str">
        <f t="shared" si="7"/>
        <v/>
      </c>
    </row>
    <row r="474" spans="8:9" x14ac:dyDescent="0.3">
      <c r="H474" s="7" t="str" cm="1">
        <f t="array" ref="H474">_xlfn.IFS(D474="","",D474="Grand Total",SUM(H$2:H473),TRUE,IF(COUNTIF(Transactions[Custom Category],D474)&gt;0,SUMIFS(Transactions[Amount],Transactions[Custom Category],D474,Transactions[Month],Sel_Month),SUMIFS(Transactions[Amount],Transactions[Name],D474,Transactions[Month],Sel_Month)))</f>
        <v/>
      </c>
      <c r="I474" s="8" t="str">
        <f t="shared" si="7"/>
        <v/>
      </c>
    </row>
    <row r="475" spans="8:9" x14ac:dyDescent="0.3">
      <c r="H475" s="7" t="str" cm="1">
        <f t="array" ref="H475">_xlfn.IFS(D475="","",D475="Grand Total",SUM(H$2:H474),TRUE,IF(COUNTIF(Transactions[Custom Category],D475)&gt;0,SUMIFS(Transactions[Amount],Transactions[Custom Category],D475,Transactions[Month],Sel_Month),SUMIFS(Transactions[Amount],Transactions[Name],D475,Transactions[Month],Sel_Month)))</f>
        <v/>
      </c>
      <c r="I475" s="8" t="str">
        <f t="shared" si="7"/>
        <v/>
      </c>
    </row>
    <row r="476" spans="8:9" x14ac:dyDescent="0.3">
      <c r="H476" s="7" t="str" cm="1">
        <f t="array" ref="H476">_xlfn.IFS(D476="","",D476="Grand Total",SUM(H$2:H475),TRUE,IF(COUNTIF(Transactions[Custom Category],D476)&gt;0,SUMIFS(Transactions[Amount],Transactions[Custom Category],D476,Transactions[Month],Sel_Month),SUMIFS(Transactions[Amount],Transactions[Name],D476,Transactions[Month],Sel_Month)))</f>
        <v/>
      </c>
      <c r="I476" s="8" t="str">
        <f t="shared" si="7"/>
        <v/>
      </c>
    </row>
    <row r="477" spans="8:9" x14ac:dyDescent="0.3">
      <c r="H477" s="7" t="str" cm="1">
        <f t="array" ref="H477">_xlfn.IFS(D477="","",D477="Grand Total",SUM(H$2:H476),TRUE,IF(COUNTIF(Transactions[Custom Category],D477)&gt;0,SUMIFS(Transactions[Amount],Transactions[Custom Category],D477,Transactions[Month],Sel_Month),SUMIFS(Transactions[Amount],Transactions[Name],D477,Transactions[Month],Sel_Month)))</f>
        <v/>
      </c>
      <c r="I477" s="8" t="str">
        <f t="shared" si="7"/>
        <v/>
      </c>
    </row>
    <row r="478" spans="8:9" x14ac:dyDescent="0.3">
      <c r="H478" s="7" t="str" cm="1">
        <f t="array" ref="H478">_xlfn.IFS(D478="","",D478="Grand Total",SUM(H$2:H477),TRUE,IF(COUNTIF(Transactions[Custom Category],D478)&gt;0,SUMIFS(Transactions[Amount],Transactions[Custom Category],D478,Transactions[Month],Sel_Month),SUMIFS(Transactions[Amount],Transactions[Name],D478,Transactions[Month],Sel_Month)))</f>
        <v/>
      </c>
      <c r="I478" s="8" t="str">
        <f t="shared" si="7"/>
        <v/>
      </c>
    </row>
    <row r="479" spans="8:9" x14ac:dyDescent="0.3">
      <c r="H479" s="7" t="str" cm="1">
        <f t="array" ref="H479">_xlfn.IFS(D479="","",D479="Grand Total",SUM(H$2:H478),TRUE,IF(COUNTIF(Transactions[Custom Category],D479)&gt;0,SUMIFS(Transactions[Amount],Transactions[Custom Category],D479,Transactions[Month],Sel_Month),SUMIFS(Transactions[Amount],Transactions[Name],D479,Transactions[Month],Sel_Month)))</f>
        <v/>
      </c>
      <c r="I479" s="8" t="str">
        <f t="shared" si="7"/>
        <v/>
      </c>
    </row>
    <row r="480" spans="8:9" x14ac:dyDescent="0.3">
      <c r="H480" s="7" t="str" cm="1">
        <f t="array" ref="H480">_xlfn.IFS(D480="","",D480="Grand Total",SUM(H$2:H479),TRUE,IF(COUNTIF(Transactions[Custom Category],D480)&gt;0,SUMIFS(Transactions[Amount],Transactions[Custom Category],D480,Transactions[Month],Sel_Month),SUMIFS(Transactions[Amount],Transactions[Name],D480,Transactions[Month],Sel_Month)))</f>
        <v/>
      </c>
      <c r="I480" s="8" t="str">
        <f t="shared" si="7"/>
        <v/>
      </c>
    </row>
    <row r="481" spans="8:9" x14ac:dyDescent="0.3">
      <c r="H481" s="7" t="str" cm="1">
        <f t="array" ref="H481">_xlfn.IFS(D481="","",D481="Grand Total",SUM(H$2:H480),TRUE,IF(COUNTIF(Transactions[Custom Category],D481)&gt;0,SUMIFS(Transactions[Amount],Transactions[Custom Category],D481,Transactions[Month],Sel_Month),SUMIFS(Transactions[Amount],Transactions[Name],D481,Transactions[Month],Sel_Month)))</f>
        <v/>
      </c>
      <c r="I481" s="8" t="str">
        <f t="shared" si="7"/>
        <v/>
      </c>
    </row>
    <row r="482" spans="8:9" x14ac:dyDescent="0.3">
      <c r="H482" s="7" t="str" cm="1">
        <f t="array" ref="H482">_xlfn.IFS(D482="","",D482="Grand Total",SUM(H$2:H481),TRUE,IF(COUNTIF(Transactions[Custom Category],D482)&gt;0,SUMIFS(Transactions[Amount],Transactions[Custom Category],D482,Transactions[Month],Sel_Month),SUMIFS(Transactions[Amount],Transactions[Name],D482,Transactions[Month],Sel_Month)))</f>
        <v/>
      </c>
      <c r="I482" s="8" t="str">
        <f t="shared" si="7"/>
        <v/>
      </c>
    </row>
    <row r="483" spans="8:9" x14ac:dyDescent="0.3">
      <c r="H483" s="7" t="str" cm="1">
        <f t="array" ref="H483">_xlfn.IFS(D483="","",D483="Grand Total",SUM(H$2:H482),TRUE,IF(COUNTIF(Transactions[Custom Category],D483)&gt;0,SUMIFS(Transactions[Amount],Transactions[Custom Category],D483,Transactions[Month],Sel_Month),SUMIFS(Transactions[Amount],Transactions[Name],D483,Transactions[Month],Sel_Month)))</f>
        <v/>
      </c>
      <c r="I483" s="8" t="str">
        <f t="shared" si="7"/>
        <v/>
      </c>
    </row>
    <row r="484" spans="8:9" x14ac:dyDescent="0.3">
      <c r="H484" s="7" t="str" cm="1">
        <f t="array" ref="H484">_xlfn.IFS(D484="","",D484="Grand Total",SUM(H$2:H483),TRUE,IF(COUNTIF(Transactions[Custom Category],D484)&gt;0,SUMIFS(Transactions[Amount],Transactions[Custom Category],D484,Transactions[Month],Sel_Month),SUMIFS(Transactions[Amount],Transactions[Name],D484,Transactions[Month],Sel_Month)))</f>
        <v/>
      </c>
      <c r="I484" s="8" t="str">
        <f t="shared" si="7"/>
        <v/>
      </c>
    </row>
    <row r="485" spans="8:9" x14ac:dyDescent="0.3">
      <c r="H485" s="7" t="str" cm="1">
        <f t="array" ref="H485">_xlfn.IFS(D485="","",D485="Grand Total",SUM(H$2:H484),TRUE,IF(COUNTIF(Transactions[Custom Category],D485)&gt;0,SUMIFS(Transactions[Amount],Transactions[Custom Category],D485,Transactions[Month],Sel_Month),SUMIFS(Transactions[Amount],Transactions[Name],D485,Transactions[Month],Sel_Month)))</f>
        <v/>
      </c>
      <c r="I485" s="8" t="str">
        <f t="shared" si="7"/>
        <v/>
      </c>
    </row>
    <row r="486" spans="8:9" x14ac:dyDescent="0.3">
      <c r="H486" s="7" t="str" cm="1">
        <f t="array" ref="H486">_xlfn.IFS(D486="","",D486="Grand Total",SUM(H$2:H485),TRUE,IF(COUNTIF(Transactions[Custom Category],D486)&gt;0,SUMIFS(Transactions[Amount],Transactions[Custom Category],D486,Transactions[Month],Sel_Month),SUMIFS(Transactions[Amount],Transactions[Name],D486,Transactions[Month],Sel_Month)))</f>
        <v/>
      </c>
      <c r="I486" s="8" t="str">
        <f t="shared" si="7"/>
        <v/>
      </c>
    </row>
    <row r="487" spans="8:9" x14ac:dyDescent="0.3">
      <c r="H487" s="7" t="str" cm="1">
        <f t="array" ref="H487">_xlfn.IFS(D487="","",D487="Grand Total",SUM(H$2:H486),TRUE,IF(COUNTIF(Transactions[Custom Category],D487)&gt;0,SUMIFS(Transactions[Amount],Transactions[Custom Category],D487,Transactions[Month],Sel_Month),SUMIFS(Transactions[Amount],Transactions[Name],D487,Transactions[Month],Sel_Month)))</f>
        <v/>
      </c>
      <c r="I487" s="8" t="str">
        <f t="shared" si="7"/>
        <v/>
      </c>
    </row>
    <row r="488" spans="8:9" x14ac:dyDescent="0.3">
      <c r="H488" s="7" t="str" cm="1">
        <f t="array" ref="H488">_xlfn.IFS(D488="","",D488="Grand Total",SUM(H$2:H487),TRUE,IF(COUNTIF(Transactions[Custom Category],D488)&gt;0,SUMIFS(Transactions[Amount],Transactions[Custom Category],D488,Transactions[Month],Sel_Month),SUMIFS(Transactions[Amount],Transactions[Name],D488,Transactions[Month],Sel_Month)))</f>
        <v/>
      </c>
      <c r="I488" s="8" t="str">
        <f t="shared" si="7"/>
        <v/>
      </c>
    </row>
    <row r="489" spans="8:9" x14ac:dyDescent="0.3">
      <c r="H489" s="7" t="str" cm="1">
        <f t="array" ref="H489">_xlfn.IFS(D489="","",D489="Grand Total",SUM(H$2:H488),TRUE,IF(COUNTIF(Transactions[Custom Category],D489)&gt;0,SUMIFS(Transactions[Amount],Transactions[Custom Category],D489,Transactions[Month],Sel_Month),SUMIFS(Transactions[Amount],Transactions[Name],D489,Transactions[Month],Sel_Month)))</f>
        <v/>
      </c>
      <c r="I489" s="8" t="str">
        <f t="shared" si="7"/>
        <v/>
      </c>
    </row>
    <row r="490" spans="8:9" x14ac:dyDescent="0.3">
      <c r="H490" s="7" t="str" cm="1">
        <f t="array" ref="H490">_xlfn.IFS(D490="","",D490="Grand Total",SUM(H$2:H489),TRUE,IF(COUNTIF(Transactions[Custom Category],D490)&gt;0,SUMIFS(Transactions[Amount],Transactions[Custom Category],D490,Transactions[Month],Sel_Month),SUMIFS(Transactions[Amount],Transactions[Name],D490,Transactions[Month],Sel_Month)))</f>
        <v/>
      </c>
      <c r="I490" s="8" t="str">
        <f t="shared" si="7"/>
        <v/>
      </c>
    </row>
    <row r="491" spans="8:9" x14ac:dyDescent="0.3">
      <c r="H491" s="7" t="str" cm="1">
        <f t="array" ref="H491">_xlfn.IFS(D491="","",D491="Grand Total",SUM(H$2:H490),TRUE,IF(COUNTIF(Transactions[Custom Category],D491)&gt;0,SUMIFS(Transactions[Amount],Transactions[Custom Category],D491,Transactions[Month],Sel_Month),SUMIFS(Transactions[Amount],Transactions[Name],D491,Transactions[Month],Sel_Month)))</f>
        <v/>
      </c>
      <c r="I491" s="8" t="str">
        <f t="shared" si="7"/>
        <v/>
      </c>
    </row>
    <row r="492" spans="8:9" x14ac:dyDescent="0.3">
      <c r="H492" s="7" t="str" cm="1">
        <f t="array" ref="H492">_xlfn.IFS(D492="","",D492="Grand Total",SUM(H$2:H491),TRUE,IF(COUNTIF(Transactions[Custom Category],D492)&gt;0,SUMIFS(Transactions[Amount],Transactions[Custom Category],D492,Transactions[Month],Sel_Month),SUMIFS(Transactions[Amount],Transactions[Name],D492,Transactions[Month],Sel_Month)))</f>
        <v/>
      </c>
      <c r="I492" s="8" t="str">
        <f t="shared" si="7"/>
        <v/>
      </c>
    </row>
    <row r="493" spans="8:9" x14ac:dyDescent="0.3">
      <c r="H493" s="7" t="str" cm="1">
        <f t="array" ref="H493">_xlfn.IFS(D493="","",D493="Grand Total",SUM(H$2:H492),TRUE,IF(COUNTIF(Transactions[Custom Category],D493)&gt;0,SUMIFS(Transactions[Amount],Transactions[Custom Category],D493,Transactions[Month],Sel_Month),SUMIFS(Transactions[Amount],Transactions[Name],D493,Transactions[Month],Sel_Month)))</f>
        <v/>
      </c>
      <c r="I493" s="8" t="str">
        <f t="shared" si="7"/>
        <v/>
      </c>
    </row>
    <row r="494" spans="8:9" x14ac:dyDescent="0.3">
      <c r="H494" s="7" t="str" cm="1">
        <f t="array" ref="H494">_xlfn.IFS(D494="","",D494="Grand Total",SUM(H$2:H493),TRUE,IF(COUNTIF(Transactions[Custom Category],D494)&gt;0,SUMIFS(Transactions[Amount],Transactions[Custom Category],D494,Transactions[Month],Sel_Month),SUMIFS(Transactions[Amount],Transactions[Name],D494,Transactions[Month],Sel_Month)))</f>
        <v/>
      </c>
      <c r="I494" s="8" t="str">
        <f t="shared" si="7"/>
        <v/>
      </c>
    </row>
    <row r="495" spans="8:9" x14ac:dyDescent="0.3">
      <c r="H495" s="7" t="str" cm="1">
        <f t="array" ref="H495">_xlfn.IFS(D495="","",D495="Grand Total",SUM(H$2:H494),TRUE,IF(COUNTIF(Transactions[Custom Category],D495)&gt;0,SUMIFS(Transactions[Amount],Transactions[Custom Category],D495,Transactions[Month],Sel_Month),SUMIFS(Transactions[Amount],Transactions[Name],D495,Transactions[Month],Sel_Month)))</f>
        <v/>
      </c>
      <c r="I495" s="8" t="str">
        <f t="shared" si="7"/>
        <v/>
      </c>
    </row>
    <row r="496" spans="8:9" x14ac:dyDescent="0.3">
      <c r="H496" s="7" t="str" cm="1">
        <f t="array" ref="H496">_xlfn.IFS(D496="","",D496="Grand Total",SUM(H$2:H495),TRUE,IF(COUNTIF(Transactions[Custom Category],D496)&gt;0,SUMIFS(Transactions[Amount],Transactions[Custom Category],D496,Transactions[Month],Sel_Month),SUMIFS(Transactions[Amount],Transactions[Name],D496,Transactions[Month],Sel_Month)))</f>
        <v/>
      </c>
      <c r="I496" s="8" t="str">
        <f t="shared" si="7"/>
        <v/>
      </c>
    </row>
    <row r="497" spans="8:9" x14ac:dyDescent="0.3">
      <c r="H497" s="7" t="str" cm="1">
        <f t="array" ref="H497">_xlfn.IFS(D497="","",D497="Grand Total",SUM(H$2:H496),TRUE,IF(COUNTIF(Transactions[Custom Category],D497)&gt;0,SUMIFS(Transactions[Amount],Transactions[Custom Category],D497,Transactions[Month],Sel_Month),SUMIFS(Transactions[Amount],Transactions[Name],D497,Transactions[Month],Sel_Month)))</f>
        <v/>
      </c>
      <c r="I497" s="8" t="str">
        <f t="shared" si="7"/>
        <v/>
      </c>
    </row>
    <row r="498" spans="8:9" x14ac:dyDescent="0.3">
      <c r="H498" s="7" t="str" cm="1">
        <f t="array" ref="H498">_xlfn.IFS(D498="","",D498="Grand Total",SUM(H$2:H497),TRUE,IF(COUNTIF(Transactions[Custom Category],D498)&gt;0,SUMIFS(Transactions[Amount],Transactions[Custom Category],D498,Transactions[Month],Sel_Month),SUMIFS(Transactions[Amount],Transactions[Name],D498,Transactions[Month],Sel_Month)))</f>
        <v/>
      </c>
      <c r="I498" s="8" t="str">
        <f t="shared" si="7"/>
        <v/>
      </c>
    </row>
    <row r="499" spans="8:9" x14ac:dyDescent="0.3">
      <c r="H499" s="7" t="str" cm="1">
        <f t="array" ref="H499">_xlfn.IFS(D499="","",D499="Grand Total",SUM(H$2:H498),TRUE,IF(COUNTIF(Transactions[Custom Category],D499)&gt;0,SUMIFS(Transactions[Amount],Transactions[Custom Category],D499,Transactions[Month],Sel_Month),SUMIFS(Transactions[Amount],Transactions[Name],D499,Transactions[Month],Sel_Month)))</f>
        <v/>
      </c>
      <c r="I499" s="8" t="str">
        <f t="shared" si="7"/>
        <v/>
      </c>
    </row>
    <row r="500" spans="8:9" x14ac:dyDescent="0.3">
      <c r="H500" s="7" t="str" cm="1">
        <f t="array" ref="H500">_xlfn.IFS(D500="","",D500="Grand Total",SUM(H$2:H499),TRUE,IF(COUNTIF(Transactions[Custom Category],D500)&gt;0,SUMIFS(Transactions[Amount],Transactions[Custom Category],D500,Transactions[Month],Sel_Month),SUMIFS(Transactions[Amount],Transactions[Name],D500,Transactions[Month],Sel_Month)))</f>
        <v/>
      </c>
      <c r="I500" s="8" t="str">
        <f t="shared" si="7"/>
        <v/>
      </c>
    </row>
    <row r="501" spans="8:9" x14ac:dyDescent="0.3">
      <c r="H501" s="7" t="str" cm="1">
        <f t="array" ref="H501">_xlfn.IFS(D501="","",D501="Grand Total",SUM(H$2:H500),TRUE,IF(COUNTIF(Transactions[Custom Category],D501)&gt;0,SUMIFS(Transactions[Amount],Transactions[Custom Category],D501,Transactions[Month],Sel_Month),SUMIFS(Transactions[Amount],Transactions[Name],D501,Transactions[Month],Sel_Month)))</f>
        <v/>
      </c>
      <c r="I501" s="8" t="str">
        <f t="shared" si="7"/>
        <v/>
      </c>
    </row>
    <row r="502" spans="8:9" x14ac:dyDescent="0.3">
      <c r="H502" s="7" t="str" cm="1">
        <f t="array" ref="H502">_xlfn.IFS(D502="","",D502="Grand Total",SUM(H$2:H501),TRUE,IF(COUNTIF(Transactions[Custom Category],D502)&gt;0,SUMIFS(Transactions[Amount],Transactions[Custom Category],D502,Transactions[Month],Sel_Month),SUMIFS(Transactions[Amount],Transactions[Name],D502,Transactions[Month],Sel_Month)))</f>
        <v/>
      </c>
      <c r="I502" s="8" t="str">
        <f t="shared" si="7"/>
        <v/>
      </c>
    </row>
    <row r="503" spans="8:9" x14ac:dyDescent="0.3">
      <c r="H503" s="7" t="str" cm="1">
        <f t="array" ref="H503">_xlfn.IFS(D503="","",D503="Grand Total",SUM(H$2:H502),TRUE,IF(COUNTIF(Transactions[Custom Category],D503)&gt;0,SUMIFS(Transactions[Amount],Transactions[Custom Category],D503,Transactions[Month],Sel_Month),SUMIFS(Transactions[Amount],Transactions[Name],D503,Transactions[Month],Sel_Month)))</f>
        <v/>
      </c>
      <c r="I503" s="8" t="str">
        <f t="shared" si="7"/>
        <v/>
      </c>
    </row>
    <row r="504" spans="8:9" x14ac:dyDescent="0.3">
      <c r="H504" s="7" t="str" cm="1">
        <f t="array" ref="H504">_xlfn.IFS(D504="","",D504="Grand Total",SUM(H$2:H503),TRUE,IF(COUNTIF(Transactions[Custom Category],D504)&gt;0,SUMIFS(Transactions[Amount],Transactions[Custom Category],D504,Transactions[Month],Sel_Month),SUMIFS(Transactions[Amount],Transactions[Name],D504,Transactions[Month],Sel_Month)))</f>
        <v/>
      </c>
      <c r="I504" s="8" t="str">
        <f t="shared" si="7"/>
        <v/>
      </c>
    </row>
    <row r="505" spans="8:9" x14ac:dyDescent="0.3">
      <c r="H505" s="7" t="str" cm="1">
        <f t="array" ref="H505">_xlfn.IFS(D505="","",D505="Grand Total",SUM(H$2:H504),TRUE,IF(COUNTIF(Transactions[Custom Category],D505)&gt;0,SUMIFS(Transactions[Amount],Transactions[Custom Category],D505,Transactions[Month],Sel_Month),SUMIFS(Transactions[Amount],Transactions[Name],D505,Transactions[Month],Sel_Month)))</f>
        <v/>
      </c>
      <c r="I505" s="8" t="str">
        <f t="shared" si="7"/>
        <v/>
      </c>
    </row>
    <row r="506" spans="8:9" x14ac:dyDescent="0.3">
      <c r="H506" s="7" t="str" cm="1">
        <f t="array" ref="H506">_xlfn.IFS(D506="","",D506="Grand Total",SUM(H$2:H505),TRUE,IF(COUNTIF(Transactions[Custom Category],D506)&gt;0,SUMIFS(Transactions[Amount],Transactions[Custom Category],D506,Transactions[Month],Sel_Month),SUMIFS(Transactions[Amount],Transactions[Name],D506,Transactions[Month],Sel_Month)))</f>
        <v/>
      </c>
      <c r="I506" s="8" t="str">
        <f t="shared" si="7"/>
        <v/>
      </c>
    </row>
    <row r="507" spans="8:9" x14ac:dyDescent="0.3">
      <c r="H507" s="7" t="str" cm="1">
        <f t="array" ref="H507">_xlfn.IFS(D507="","",D507="Grand Total",SUM(H$2:H506),TRUE,IF(COUNTIF(Transactions[Custom Category],D507)&gt;0,SUMIFS(Transactions[Amount],Transactions[Custom Category],D507,Transactions[Month],Sel_Month),SUMIFS(Transactions[Amount],Transactions[Name],D507,Transactions[Month],Sel_Month)))</f>
        <v/>
      </c>
      <c r="I507" s="8" t="str">
        <f t="shared" si="7"/>
        <v/>
      </c>
    </row>
    <row r="508" spans="8:9" x14ac:dyDescent="0.3">
      <c r="H508" s="7" t="str" cm="1">
        <f t="array" ref="H508">_xlfn.IFS(D508="","",D508="Grand Total",SUM(H$2:H507),TRUE,IF(COUNTIF(Transactions[Custom Category],D508)&gt;0,SUMIFS(Transactions[Amount],Transactions[Custom Category],D508,Transactions[Month],Sel_Month),SUMIFS(Transactions[Amount],Transactions[Name],D508,Transactions[Month],Sel_Month)))</f>
        <v/>
      </c>
      <c r="I508" s="8" t="str">
        <f t="shared" si="7"/>
        <v/>
      </c>
    </row>
    <row r="509" spans="8:9" x14ac:dyDescent="0.3">
      <c r="H509" s="7" t="str" cm="1">
        <f t="array" ref="H509">_xlfn.IFS(D509="","",D509="Grand Total",SUM(H$2:H508),TRUE,IF(COUNTIF(Transactions[Custom Category],D509)&gt;0,SUMIFS(Transactions[Amount],Transactions[Custom Category],D509,Transactions[Month],Sel_Month),SUMIFS(Transactions[Amount],Transactions[Name],D509,Transactions[Month],Sel_Month)))</f>
        <v/>
      </c>
      <c r="I509" s="8" t="str">
        <f t="shared" si="7"/>
        <v/>
      </c>
    </row>
    <row r="510" spans="8:9" x14ac:dyDescent="0.3">
      <c r="H510" s="7" t="str" cm="1">
        <f t="array" ref="H510">_xlfn.IFS(D510="","",D510="Grand Total",SUM(H$2:H509),TRUE,IF(COUNTIF(Transactions[Custom Category],D510)&gt;0,SUMIFS(Transactions[Amount],Transactions[Custom Category],D510,Transactions[Month],Sel_Month),SUMIFS(Transactions[Amount],Transactions[Name],D510,Transactions[Month],Sel_Month)))</f>
        <v/>
      </c>
      <c r="I510" s="8" t="str">
        <f t="shared" si="7"/>
        <v/>
      </c>
    </row>
    <row r="511" spans="8:9" x14ac:dyDescent="0.3">
      <c r="H511" s="7" t="str" cm="1">
        <f t="array" ref="H511">_xlfn.IFS(D511="","",D511="Grand Total",SUM(H$2:H510),TRUE,IF(COUNTIF(Transactions[Custom Category],D511)&gt;0,SUMIFS(Transactions[Amount],Transactions[Custom Category],D511,Transactions[Month],Sel_Month),SUMIFS(Transactions[Amount],Transactions[Name],D511,Transactions[Month],Sel_Month)))</f>
        <v/>
      </c>
      <c r="I511" s="8" t="str">
        <f t="shared" si="7"/>
        <v/>
      </c>
    </row>
    <row r="512" spans="8:9" x14ac:dyDescent="0.3">
      <c r="H512" s="7" t="str" cm="1">
        <f t="array" ref="H512">_xlfn.IFS(D512="","",D512="Grand Total",SUM(H$2:H511),TRUE,IF(COUNTIF(Transactions[Custom Category],D512)&gt;0,SUMIFS(Transactions[Amount],Transactions[Custom Category],D512,Transactions[Month],Sel_Month),SUMIFS(Transactions[Amount],Transactions[Name],D512,Transactions[Month],Sel_Month)))</f>
        <v/>
      </c>
      <c r="I512" s="8" t="str">
        <f t="shared" si="7"/>
        <v/>
      </c>
    </row>
    <row r="513" spans="8:9" x14ac:dyDescent="0.3">
      <c r="H513" s="7" t="str" cm="1">
        <f t="array" ref="H513">_xlfn.IFS(D513="","",D513="Grand Total",SUM(H$2:H512),TRUE,IF(COUNTIF(Transactions[Custom Category],D513)&gt;0,SUMIFS(Transactions[Amount],Transactions[Custom Category],D513,Transactions[Month],Sel_Month),SUMIFS(Transactions[Amount],Transactions[Name],D513,Transactions[Month],Sel_Month)))</f>
        <v/>
      </c>
      <c r="I513" s="8" t="str">
        <f t="shared" si="7"/>
        <v/>
      </c>
    </row>
    <row r="514" spans="8:9" x14ac:dyDescent="0.3">
      <c r="H514" s="7" t="str" cm="1">
        <f t="array" ref="H514">_xlfn.IFS(D514="","",D514="Grand Total",SUM(H$2:H513),TRUE,IF(COUNTIF(Transactions[Custom Category],D514)&gt;0,SUMIFS(Transactions[Amount],Transactions[Custom Category],D514,Transactions[Month],Sel_Month),SUMIFS(Transactions[Amount],Transactions[Name],D514,Transactions[Month],Sel_Month)))</f>
        <v/>
      </c>
      <c r="I514" s="8" t="str">
        <f t="shared" si="7"/>
        <v/>
      </c>
    </row>
    <row r="515" spans="8:9" x14ac:dyDescent="0.3">
      <c r="H515" s="7" t="str" cm="1">
        <f t="array" ref="H515">_xlfn.IFS(D515="","",D515="Grand Total",SUM(H$2:H514),TRUE,IF(COUNTIF(Transactions[Custom Category],D515)&gt;0,SUMIFS(Transactions[Amount],Transactions[Custom Category],D515,Transactions[Month],Sel_Month),SUMIFS(Transactions[Amount],Transactions[Name],D515,Transactions[Month],Sel_Month)))</f>
        <v/>
      </c>
      <c r="I515" s="8" t="str">
        <f t="shared" si="7"/>
        <v/>
      </c>
    </row>
    <row r="516" spans="8:9" x14ac:dyDescent="0.3">
      <c r="H516" s="7" t="str" cm="1">
        <f t="array" ref="H516">_xlfn.IFS(D516="","",D516="Grand Total",SUM(H$2:H515),TRUE,IF(COUNTIF(Transactions[Custom Category],D516)&gt;0,SUMIFS(Transactions[Amount],Transactions[Custom Category],D516,Transactions[Month],Sel_Month),SUMIFS(Transactions[Amount],Transactions[Name],D516,Transactions[Month],Sel_Month)))</f>
        <v/>
      </c>
      <c r="I516" s="8" t="str">
        <f t="shared" ref="I516:I579" si="8">IF(F516="","",IF(F516=0,0,1-((F516-H516)/F516)))</f>
        <v/>
      </c>
    </row>
    <row r="517" spans="8:9" x14ac:dyDescent="0.3">
      <c r="H517" s="7" t="str" cm="1">
        <f t="array" ref="H517">_xlfn.IFS(D517="","",D517="Grand Total",SUM(H$2:H516),TRUE,IF(COUNTIF(Transactions[Custom Category],D517)&gt;0,SUMIFS(Transactions[Amount],Transactions[Custom Category],D517,Transactions[Month],Sel_Month),SUMIFS(Transactions[Amount],Transactions[Name],D517,Transactions[Month],Sel_Month)))</f>
        <v/>
      </c>
      <c r="I517" s="8" t="str">
        <f t="shared" si="8"/>
        <v/>
      </c>
    </row>
    <row r="518" spans="8:9" x14ac:dyDescent="0.3">
      <c r="H518" s="7" t="str" cm="1">
        <f t="array" ref="H518">_xlfn.IFS(D518="","",D518="Grand Total",SUM(H$2:H517),TRUE,IF(COUNTIF(Transactions[Custom Category],D518)&gt;0,SUMIFS(Transactions[Amount],Transactions[Custom Category],D518,Transactions[Month],Sel_Month),SUMIFS(Transactions[Amount],Transactions[Name],D518,Transactions[Month],Sel_Month)))</f>
        <v/>
      </c>
      <c r="I518" s="8" t="str">
        <f t="shared" si="8"/>
        <v/>
      </c>
    </row>
    <row r="519" spans="8:9" x14ac:dyDescent="0.3">
      <c r="H519" s="7" t="str" cm="1">
        <f t="array" ref="H519">_xlfn.IFS(D519="","",D519="Grand Total",SUM(H$2:H518),TRUE,IF(COUNTIF(Transactions[Custom Category],D519)&gt;0,SUMIFS(Transactions[Amount],Transactions[Custom Category],D519,Transactions[Month],Sel_Month),SUMIFS(Transactions[Amount],Transactions[Name],D519,Transactions[Month],Sel_Month)))</f>
        <v/>
      </c>
      <c r="I519" s="8" t="str">
        <f t="shared" si="8"/>
        <v/>
      </c>
    </row>
    <row r="520" spans="8:9" x14ac:dyDescent="0.3">
      <c r="H520" s="7" t="str" cm="1">
        <f t="array" ref="H520">_xlfn.IFS(D520="","",D520="Grand Total",SUM(H$2:H519),TRUE,IF(COUNTIF(Transactions[Custom Category],D520)&gt;0,SUMIFS(Transactions[Amount],Transactions[Custom Category],D520,Transactions[Month],Sel_Month),SUMIFS(Transactions[Amount],Transactions[Name],D520,Transactions[Month],Sel_Month)))</f>
        <v/>
      </c>
      <c r="I520" s="8" t="str">
        <f t="shared" si="8"/>
        <v/>
      </c>
    </row>
    <row r="521" spans="8:9" x14ac:dyDescent="0.3">
      <c r="H521" s="7" t="str" cm="1">
        <f t="array" ref="H521">_xlfn.IFS(D521="","",D521="Grand Total",SUM(H$2:H520),TRUE,IF(COUNTIF(Transactions[Custom Category],D521)&gt;0,SUMIFS(Transactions[Amount],Transactions[Custom Category],D521,Transactions[Month],Sel_Month),SUMIFS(Transactions[Amount],Transactions[Name],D521,Transactions[Month],Sel_Month)))</f>
        <v/>
      </c>
      <c r="I521" s="8" t="str">
        <f t="shared" si="8"/>
        <v/>
      </c>
    </row>
    <row r="522" spans="8:9" x14ac:dyDescent="0.3">
      <c r="H522" s="7" t="str" cm="1">
        <f t="array" ref="H522">_xlfn.IFS(D522="","",D522="Grand Total",SUM(H$2:H521),TRUE,IF(COUNTIF(Transactions[Custom Category],D522)&gt;0,SUMIFS(Transactions[Amount],Transactions[Custom Category],D522,Transactions[Month],Sel_Month),SUMIFS(Transactions[Amount],Transactions[Name],D522,Transactions[Month],Sel_Month)))</f>
        <v/>
      </c>
      <c r="I522" s="8" t="str">
        <f t="shared" si="8"/>
        <v/>
      </c>
    </row>
    <row r="523" spans="8:9" x14ac:dyDescent="0.3">
      <c r="H523" s="7" t="str" cm="1">
        <f t="array" ref="H523">_xlfn.IFS(D523="","",D523="Grand Total",SUM(H$2:H522),TRUE,IF(COUNTIF(Transactions[Custom Category],D523)&gt;0,SUMIFS(Transactions[Amount],Transactions[Custom Category],D523,Transactions[Month],Sel_Month),SUMIFS(Transactions[Amount],Transactions[Name],D523,Transactions[Month],Sel_Month)))</f>
        <v/>
      </c>
      <c r="I523" s="8" t="str">
        <f t="shared" si="8"/>
        <v/>
      </c>
    </row>
    <row r="524" spans="8:9" x14ac:dyDescent="0.3">
      <c r="H524" s="7" t="str" cm="1">
        <f t="array" ref="H524">_xlfn.IFS(D524="","",D524="Grand Total",SUM(H$2:H523),TRUE,IF(COUNTIF(Transactions[Custom Category],D524)&gt;0,SUMIFS(Transactions[Amount],Transactions[Custom Category],D524,Transactions[Month],Sel_Month),SUMIFS(Transactions[Amount],Transactions[Name],D524,Transactions[Month],Sel_Month)))</f>
        <v/>
      </c>
      <c r="I524" s="8" t="str">
        <f t="shared" si="8"/>
        <v/>
      </c>
    </row>
    <row r="525" spans="8:9" x14ac:dyDescent="0.3">
      <c r="H525" s="7" t="str" cm="1">
        <f t="array" ref="H525">_xlfn.IFS(D525="","",D525="Grand Total",SUM(H$2:H524),TRUE,IF(COUNTIF(Transactions[Custom Category],D525)&gt;0,SUMIFS(Transactions[Amount],Transactions[Custom Category],D525,Transactions[Month],Sel_Month),SUMIFS(Transactions[Amount],Transactions[Name],D525,Transactions[Month],Sel_Month)))</f>
        <v/>
      </c>
      <c r="I525" s="8" t="str">
        <f t="shared" si="8"/>
        <v/>
      </c>
    </row>
    <row r="526" spans="8:9" x14ac:dyDescent="0.3">
      <c r="H526" s="7" t="str" cm="1">
        <f t="array" ref="H526">_xlfn.IFS(D526="","",D526="Grand Total",SUM(H$2:H525),TRUE,IF(COUNTIF(Transactions[Custom Category],D526)&gt;0,SUMIFS(Transactions[Amount],Transactions[Custom Category],D526,Transactions[Month],Sel_Month),SUMIFS(Transactions[Amount],Transactions[Name],D526,Transactions[Month],Sel_Month)))</f>
        <v/>
      </c>
      <c r="I526" s="8" t="str">
        <f t="shared" si="8"/>
        <v/>
      </c>
    </row>
    <row r="527" spans="8:9" x14ac:dyDescent="0.3">
      <c r="H527" s="7" t="str" cm="1">
        <f t="array" ref="H527">_xlfn.IFS(D527="","",D527="Grand Total",SUM(H$2:H526),TRUE,IF(COUNTIF(Transactions[Custom Category],D527)&gt;0,SUMIFS(Transactions[Amount],Transactions[Custom Category],D527,Transactions[Month],Sel_Month),SUMIFS(Transactions[Amount],Transactions[Name],D527,Transactions[Month],Sel_Month)))</f>
        <v/>
      </c>
      <c r="I527" s="8" t="str">
        <f t="shared" si="8"/>
        <v/>
      </c>
    </row>
    <row r="528" spans="8:9" x14ac:dyDescent="0.3">
      <c r="H528" s="7" t="str" cm="1">
        <f t="array" ref="H528">_xlfn.IFS(D528="","",D528="Grand Total",SUM(H$2:H527),TRUE,IF(COUNTIF(Transactions[Custom Category],D528)&gt;0,SUMIFS(Transactions[Amount],Transactions[Custom Category],D528,Transactions[Month],Sel_Month),SUMIFS(Transactions[Amount],Transactions[Name],D528,Transactions[Month],Sel_Month)))</f>
        <v/>
      </c>
      <c r="I528" s="8" t="str">
        <f t="shared" si="8"/>
        <v/>
      </c>
    </row>
    <row r="529" spans="8:9" x14ac:dyDescent="0.3">
      <c r="H529" s="7" t="str" cm="1">
        <f t="array" ref="H529">_xlfn.IFS(D529="","",D529="Grand Total",SUM(H$2:H528),TRUE,IF(COUNTIF(Transactions[Custom Category],D529)&gt;0,SUMIFS(Transactions[Amount],Transactions[Custom Category],D529,Transactions[Month],Sel_Month),SUMIFS(Transactions[Amount],Transactions[Name],D529,Transactions[Month],Sel_Month)))</f>
        <v/>
      </c>
      <c r="I529" s="8" t="str">
        <f t="shared" si="8"/>
        <v/>
      </c>
    </row>
    <row r="530" spans="8:9" x14ac:dyDescent="0.3">
      <c r="H530" s="7" t="str" cm="1">
        <f t="array" ref="H530">_xlfn.IFS(D530="","",D530="Grand Total",SUM(H$2:H529),TRUE,IF(COUNTIF(Transactions[Custom Category],D530)&gt;0,SUMIFS(Transactions[Amount],Transactions[Custom Category],D530,Transactions[Month],Sel_Month),SUMIFS(Transactions[Amount],Transactions[Name],D530,Transactions[Month],Sel_Month)))</f>
        <v/>
      </c>
      <c r="I530" s="8" t="str">
        <f t="shared" si="8"/>
        <v/>
      </c>
    </row>
    <row r="531" spans="8:9" x14ac:dyDescent="0.3">
      <c r="H531" s="7" t="str" cm="1">
        <f t="array" ref="H531">_xlfn.IFS(D531="","",D531="Grand Total",SUM(H$2:H530),TRUE,IF(COUNTIF(Transactions[Custom Category],D531)&gt;0,SUMIFS(Transactions[Amount],Transactions[Custom Category],D531,Transactions[Month],Sel_Month),SUMIFS(Transactions[Amount],Transactions[Name],D531,Transactions[Month],Sel_Month)))</f>
        <v/>
      </c>
      <c r="I531" s="8" t="str">
        <f t="shared" si="8"/>
        <v/>
      </c>
    </row>
    <row r="532" spans="8:9" x14ac:dyDescent="0.3">
      <c r="H532" s="7" t="str" cm="1">
        <f t="array" ref="H532">_xlfn.IFS(D532="","",D532="Grand Total",SUM(H$2:H531),TRUE,IF(COUNTIF(Transactions[Custom Category],D532)&gt;0,SUMIFS(Transactions[Amount],Transactions[Custom Category],D532,Transactions[Month],Sel_Month),SUMIFS(Transactions[Amount],Transactions[Name],D532,Transactions[Month],Sel_Month)))</f>
        <v/>
      </c>
      <c r="I532" s="8" t="str">
        <f t="shared" si="8"/>
        <v/>
      </c>
    </row>
    <row r="533" spans="8:9" x14ac:dyDescent="0.3">
      <c r="H533" s="7" t="str" cm="1">
        <f t="array" ref="H533">_xlfn.IFS(D533="","",D533="Grand Total",SUM(H$2:H532),TRUE,IF(COUNTIF(Transactions[Custom Category],D533)&gt;0,SUMIFS(Transactions[Amount],Transactions[Custom Category],D533,Transactions[Month],Sel_Month),SUMIFS(Transactions[Amount],Transactions[Name],D533,Transactions[Month],Sel_Month)))</f>
        <v/>
      </c>
      <c r="I533" s="8" t="str">
        <f t="shared" si="8"/>
        <v/>
      </c>
    </row>
    <row r="534" spans="8:9" x14ac:dyDescent="0.3">
      <c r="H534" s="7" t="str" cm="1">
        <f t="array" ref="H534">_xlfn.IFS(D534="","",D534="Grand Total",SUM(H$2:H533),TRUE,IF(COUNTIF(Transactions[Custom Category],D534)&gt;0,SUMIFS(Transactions[Amount],Transactions[Custom Category],D534,Transactions[Month],Sel_Month),SUMIFS(Transactions[Amount],Transactions[Name],D534,Transactions[Month],Sel_Month)))</f>
        <v/>
      </c>
      <c r="I534" s="8" t="str">
        <f t="shared" si="8"/>
        <v/>
      </c>
    </row>
    <row r="535" spans="8:9" x14ac:dyDescent="0.3">
      <c r="H535" s="7" t="str" cm="1">
        <f t="array" ref="H535">_xlfn.IFS(D535="","",D535="Grand Total",SUM(H$2:H534),TRUE,IF(COUNTIF(Transactions[Custom Category],D535)&gt;0,SUMIFS(Transactions[Amount],Transactions[Custom Category],D535,Transactions[Month],Sel_Month),SUMIFS(Transactions[Amount],Transactions[Name],D535,Transactions[Month],Sel_Month)))</f>
        <v/>
      </c>
      <c r="I535" s="8" t="str">
        <f t="shared" si="8"/>
        <v/>
      </c>
    </row>
    <row r="536" spans="8:9" x14ac:dyDescent="0.3">
      <c r="H536" s="7" t="str" cm="1">
        <f t="array" ref="H536">_xlfn.IFS(D536="","",D536="Grand Total",SUM(H$2:H535),TRUE,IF(COUNTIF(Transactions[Custom Category],D536)&gt;0,SUMIFS(Transactions[Amount],Transactions[Custom Category],D536,Transactions[Month],Sel_Month),SUMIFS(Transactions[Amount],Transactions[Name],D536,Transactions[Month],Sel_Month)))</f>
        <v/>
      </c>
      <c r="I536" s="8" t="str">
        <f t="shared" si="8"/>
        <v/>
      </c>
    </row>
    <row r="537" spans="8:9" x14ac:dyDescent="0.3">
      <c r="H537" s="7" t="str" cm="1">
        <f t="array" ref="H537">_xlfn.IFS(D537="","",D537="Grand Total",SUM(H$2:H536),TRUE,IF(COUNTIF(Transactions[Custom Category],D537)&gt;0,SUMIFS(Transactions[Amount],Transactions[Custom Category],D537,Transactions[Month],Sel_Month),SUMIFS(Transactions[Amount],Transactions[Name],D537,Transactions[Month],Sel_Month)))</f>
        <v/>
      </c>
      <c r="I537" s="8" t="str">
        <f t="shared" si="8"/>
        <v/>
      </c>
    </row>
    <row r="538" spans="8:9" x14ac:dyDescent="0.3">
      <c r="H538" s="7" t="str" cm="1">
        <f t="array" ref="H538">_xlfn.IFS(D538="","",D538="Grand Total",SUM(H$2:H537),TRUE,IF(COUNTIF(Transactions[Custom Category],D538)&gt;0,SUMIFS(Transactions[Amount],Transactions[Custom Category],D538,Transactions[Month],Sel_Month),SUMIFS(Transactions[Amount],Transactions[Name],D538,Transactions[Month],Sel_Month)))</f>
        <v/>
      </c>
      <c r="I538" s="8" t="str">
        <f t="shared" si="8"/>
        <v/>
      </c>
    </row>
    <row r="539" spans="8:9" x14ac:dyDescent="0.3">
      <c r="H539" s="7" t="str" cm="1">
        <f t="array" ref="H539">_xlfn.IFS(D539="","",D539="Grand Total",SUM(H$2:H538),TRUE,IF(COUNTIF(Transactions[Custom Category],D539)&gt;0,SUMIFS(Transactions[Amount],Transactions[Custom Category],D539,Transactions[Month],Sel_Month),SUMIFS(Transactions[Amount],Transactions[Name],D539,Transactions[Month],Sel_Month)))</f>
        <v/>
      </c>
      <c r="I539" s="8" t="str">
        <f t="shared" si="8"/>
        <v/>
      </c>
    </row>
    <row r="540" spans="8:9" x14ac:dyDescent="0.3">
      <c r="H540" s="7" t="str" cm="1">
        <f t="array" ref="H540">_xlfn.IFS(D540="","",D540="Grand Total",SUM(H$2:H539),TRUE,IF(COUNTIF(Transactions[Custom Category],D540)&gt;0,SUMIFS(Transactions[Amount],Transactions[Custom Category],D540,Transactions[Month],Sel_Month),SUMIFS(Transactions[Amount],Transactions[Name],D540,Transactions[Month],Sel_Month)))</f>
        <v/>
      </c>
      <c r="I540" s="8" t="str">
        <f t="shared" si="8"/>
        <v/>
      </c>
    </row>
    <row r="541" spans="8:9" x14ac:dyDescent="0.3">
      <c r="H541" s="7" t="str" cm="1">
        <f t="array" ref="H541">_xlfn.IFS(D541="","",D541="Grand Total",SUM(H$2:H540),TRUE,IF(COUNTIF(Transactions[Custom Category],D541)&gt;0,SUMIFS(Transactions[Amount],Transactions[Custom Category],D541,Transactions[Month],Sel_Month),SUMIFS(Transactions[Amount],Transactions[Name],D541,Transactions[Month],Sel_Month)))</f>
        <v/>
      </c>
      <c r="I541" s="8" t="str">
        <f t="shared" si="8"/>
        <v/>
      </c>
    </row>
    <row r="542" spans="8:9" x14ac:dyDescent="0.3">
      <c r="H542" s="7" t="str" cm="1">
        <f t="array" ref="H542">_xlfn.IFS(D542="","",D542="Grand Total",SUM(H$2:H541),TRUE,IF(COUNTIF(Transactions[Custom Category],D542)&gt;0,SUMIFS(Transactions[Amount],Transactions[Custom Category],D542,Transactions[Month],Sel_Month),SUMIFS(Transactions[Amount],Transactions[Name],D542,Transactions[Month],Sel_Month)))</f>
        <v/>
      </c>
      <c r="I542" s="8" t="str">
        <f t="shared" si="8"/>
        <v/>
      </c>
    </row>
    <row r="543" spans="8:9" x14ac:dyDescent="0.3">
      <c r="H543" s="7" t="str" cm="1">
        <f t="array" ref="H543">_xlfn.IFS(D543="","",D543="Grand Total",SUM(H$2:H542),TRUE,IF(COUNTIF(Transactions[Custom Category],D543)&gt;0,SUMIFS(Transactions[Amount],Transactions[Custom Category],D543,Transactions[Month],Sel_Month),SUMIFS(Transactions[Amount],Transactions[Name],D543,Transactions[Month],Sel_Month)))</f>
        <v/>
      </c>
      <c r="I543" s="8" t="str">
        <f t="shared" si="8"/>
        <v/>
      </c>
    </row>
    <row r="544" spans="8:9" x14ac:dyDescent="0.3">
      <c r="H544" s="7" t="str" cm="1">
        <f t="array" ref="H544">_xlfn.IFS(D544="","",D544="Grand Total",SUM(H$2:H543),TRUE,IF(COUNTIF(Transactions[Custom Category],D544)&gt;0,SUMIFS(Transactions[Amount],Transactions[Custom Category],D544,Transactions[Month],Sel_Month),SUMIFS(Transactions[Amount],Transactions[Name],D544,Transactions[Month],Sel_Month)))</f>
        <v/>
      </c>
      <c r="I544" s="8" t="str">
        <f t="shared" si="8"/>
        <v/>
      </c>
    </row>
    <row r="545" spans="8:9" x14ac:dyDescent="0.3">
      <c r="H545" s="7" t="str" cm="1">
        <f t="array" ref="H545">_xlfn.IFS(D545="","",D545="Grand Total",SUM(H$2:H544),TRUE,IF(COUNTIF(Transactions[Custom Category],D545)&gt;0,SUMIFS(Transactions[Amount],Transactions[Custom Category],D545,Transactions[Month],Sel_Month),SUMIFS(Transactions[Amount],Transactions[Name],D545,Transactions[Month],Sel_Month)))</f>
        <v/>
      </c>
      <c r="I545" s="8" t="str">
        <f t="shared" si="8"/>
        <v/>
      </c>
    </row>
    <row r="546" spans="8:9" x14ac:dyDescent="0.3">
      <c r="H546" s="7" t="str" cm="1">
        <f t="array" ref="H546">_xlfn.IFS(D546="","",D546="Grand Total",SUM(H$2:H545),TRUE,IF(COUNTIF(Transactions[Custom Category],D546)&gt;0,SUMIFS(Transactions[Amount],Transactions[Custom Category],D546,Transactions[Month],Sel_Month),SUMIFS(Transactions[Amount],Transactions[Name],D546,Transactions[Month],Sel_Month)))</f>
        <v/>
      </c>
      <c r="I546" s="8" t="str">
        <f t="shared" si="8"/>
        <v/>
      </c>
    </row>
    <row r="547" spans="8:9" x14ac:dyDescent="0.3">
      <c r="H547" s="7" t="str" cm="1">
        <f t="array" ref="H547">_xlfn.IFS(D547="","",D547="Grand Total",SUM(H$2:H546),TRUE,IF(COUNTIF(Transactions[Custom Category],D547)&gt;0,SUMIFS(Transactions[Amount],Transactions[Custom Category],D547,Transactions[Month],Sel_Month),SUMIFS(Transactions[Amount],Transactions[Name],D547,Transactions[Month],Sel_Month)))</f>
        <v/>
      </c>
      <c r="I547" s="8" t="str">
        <f t="shared" si="8"/>
        <v/>
      </c>
    </row>
    <row r="548" spans="8:9" x14ac:dyDescent="0.3">
      <c r="H548" s="7" t="str" cm="1">
        <f t="array" ref="H548">_xlfn.IFS(D548="","",D548="Grand Total",SUM(H$2:H547),TRUE,IF(COUNTIF(Transactions[Custom Category],D548)&gt;0,SUMIFS(Transactions[Amount],Transactions[Custom Category],D548,Transactions[Month],Sel_Month),SUMIFS(Transactions[Amount],Transactions[Name],D548,Transactions[Month],Sel_Month)))</f>
        <v/>
      </c>
      <c r="I548" s="8" t="str">
        <f t="shared" si="8"/>
        <v/>
      </c>
    </row>
    <row r="549" spans="8:9" x14ac:dyDescent="0.3">
      <c r="H549" s="7" t="str" cm="1">
        <f t="array" ref="H549">_xlfn.IFS(D549="","",D549="Grand Total",SUM(H$2:H548),TRUE,IF(COUNTIF(Transactions[Custom Category],D549)&gt;0,SUMIFS(Transactions[Amount],Transactions[Custom Category],D549,Transactions[Month],Sel_Month),SUMIFS(Transactions[Amount],Transactions[Name],D549,Transactions[Month],Sel_Month)))</f>
        <v/>
      </c>
      <c r="I549" s="8" t="str">
        <f t="shared" si="8"/>
        <v/>
      </c>
    </row>
    <row r="550" spans="8:9" x14ac:dyDescent="0.3">
      <c r="H550" s="7" t="str" cm="1">
        <f t="array" ref="H550">_xlfn.IFS(D550="","",D550="Grand Total",SUM(H$2:H549),TRUE,IF(COUNTIF(Transactions[Custom Category],D550)&gt;0,SUMIFS(Transactions[Amount],Transactions[Custom Category],D550,Transactions[Month],Sel_Month),SUMIFS(Transactions[Amount],Transactions[Name],D550,Transactions[Month],Sel_Month)))</f>
        <v/>
      </c>
      <c r="I550" s="8" t="str">
        <f t="shared" si="8"/>
        <v/>
      </c>
    </row>
    <row r="551" spans="8:9" x14ac:dyDescent="0.3">
      <c r="H551" s="7" t="str" cm="1">
        <f t="array" ref="H551">_xlfn.IFS(D551="","",D551="Grand Total",SUM(H$2:H550),TRUE,IF(COUNTIF(Transactions[Custom Category],D551)&gt;0,SUMIFS(Transactions[Amount],Transactions[Custom Category],D551,Transactions[Month],Sel_Month),SUMIFS(Transactions[Amount],Transactions[Name],D551,Transactions[Month],Sel_Month)))</f>
        <v/>
      </c>
      <c r="I551" s="8" t="str">
        <f t="shared" si="8"/>
        <v/>
      </c>
    </row>
    <row r="552" spans="8:9" x14ac:dyDescent="0.3">
      <c r="H552" s="7" t="str" cm="1">
        <f t="array" ref="H552">_xlfn.IFS(D552="","",D552="Grand Total",SUM(H$2:H551),TRUE,IF(COUNTIF(Transactions[Custom Category],D552)&gt;0,SUMIFS(Transactions[Amount],Transactions[Custom Category],D552,Transactions[Month],Sel_Month),SUMIFS(Transactions[Amount],Transactions[Name],D552,Transactions[Month],Sel_Month)))</f>
        <v/>
      </c>
      <c r="I552" s="8" t="str">
        <f t="shared" si="8"/>
        <v/>
      </c>
    </row>
    <row r="553" spans="8:9" x14ac:dyDescent="0.3">
      <c r="H553" s="7" t="str" cm="1">
        <f t="array" ref="H553">_xlfn.IFS(D553="","",D553="Grand Total",SUM(H$2:H552),TRUE,IF(COUNTIF(Transactions[Custom Category],D553)&gt;0,SUMIFS(Transactions[Amount],Transactions[Custom Category],D553,Transactions[Month],Sel_Month),SUMIFS(Transactions[Amount],Transactions[Name],D553,Transactions[Month],Sel_Month)))</f>
        <v/>
      </c>
      <c r="I553" s="8" t="str">
        <f t="shared" si="8"/>
        <v/>
      </c>
    </row>
    <row r="554" spans="8:9" x14ac:dyDescent="0.3">
      <c r="H554" s="7" t="str" cm="1">
        <f t="array" ref="H554">_xlfn.IFS(D554="","",D554="Grand Total",SUM(H$2:H553),TRUE,IF(COUNTIF(Transactions[Custom Category],D554)&gt;0,SUMIFS(Transactions[Amount],Transactions[Custom Category],D554,Transactions[Month],Sel_Month),SUMIFS(Transactions[Amount],Transactions[Name],D554,Transactions[Month],Sel_Month)))</f>
        <v/>
      </c>
      <c r="I554" s="8" t="str">
        <f t="shared" si="8"/>
        <v/>
      </c>
    </row>
    <row r="555" spans="8:9" x14ac:dyDescent="0.3">
      <c r="H555" s="7" t="str" cm="1">
        <f t="array" ref="H555">_xlfn.IFS(D555="","",D555="Grand Total",SUM(H$2:H554),TRUE,IF(COUNTIF(Transactions[Custom Category],D555)&gt;0,SUMIFS(Transactions[Amount],Transactions[Custom Category],D555,Transactions[Month],Sel_Month),SUMIFS(Transactions[Amount],Transactions[Name],D555,Transactions[Month],Sel_Month)))</f>
        <v/>
      </c>
      <c r="I555" s="8" t="str">
        <f t="shared" si="8"/>
        <v/>
      </c>
    </row>
    <row r="556" spans="8:9" x14ac:dyDescent="0.3">
      <c r="H556" s="7" t="str" cm="1">
        <f t="array" ref="H556">_xlfn.IFS(D556="","",D556="Grand Total",SUM(H$2:H555),TRUE,IF(COUNTIF(Transactions[Custom Category],D556)&gt;0,SUMIFS(Transactions[Amount],Transactions[Custom Category],D556,Transactions[Month],Sel_Month),SUMIFS(Transactions[Amount],Transactions[Name],D556,Transactions[Month],Sel_Month)))</f>
        <v/>
      </c>
      <c r="I556" s="8" t="str">
        <f t="shared" si="8"/>
        <v/>
      </c>
    </row>
    <row r="557" spans="8:9" x14ac:dyDescent="0.3">
      <c r="H557" s="7" t="str" cm="1">
        <f t="array" ref="H557">_xlfn.IFS(D557="","",D557="Grand Total",SUM(H$2:H556),TRUE,IF(COUNTIF(Transactions[Custom Category],D557)&gt;0,SUMIFS(Transactions[Amount],Transactions[Custom Category],D557,Transactions[Month],Sel_Month),SUMIFS(Transactions[Amount],Transactions[Name],D557,Transactions[Month],Sel_Month)))</f>
        <v/>
      </c>
      <c r="I557" s="8" t="str">
        <f t="shared" si="8"/>
        <v/>
      </c>
    </row>
    <row r="558" spans="8:9" x14ac:dyDescent="0.3">
      <c r="H558" s="7" t="str" cm="1">
        <f t="array" ref="H558">_xlfn.IFS(D558="","",D558="Grand Total",SUM(H$2:H557),TRUE,IF(COUNTIF(Transactions[Custom Category],D558)&gt;0,SUMIFS(Transactions[Amount],Transactions[Custom Category],D558,Transactions[Month],Sel_Month),SUMIFS(Transactions[Amount],Transactions[Name],D558,Transactions[Month],Sel_Month)))</f>
        <v/>
      </c>
      <c r="I558" s="8" t="str">
        <f t="shared" si="8"/>
        <v/>
      </c>
    </row>
    <row r="559" spans="8:9" x14ac:dyDescent="0.3">
      <c r="H559" s="7" t="str" cm="1">
        <f t="array" ref="H559">_xlfn.IFS(D559="","",D559="Grand Total",SUM(H$2:H558),TRUE,IF(COUNTIF(Transactions[Custom Category],D559)&gt;0,SUMIFS(Transactions[Amount],Transactions[Custom Category],D559,Transactions[Month],Sel_Month),SUMIFS(Transactions[Amount],Transactions[Name],D559,Transactions[Month],Sel_Month)))</f>
        <v/>
      </c>
      <c r="I559" s="8" t="str">
        <f t="shared" si="8"/>
        <v/>
      </c>
    </row>
    <row r="560" spans="8:9" x14ac:dyDescent="0.3">
      <c r="H560" s="7" t="str" cm="1">
        <f t="array" ref="H560">_xlfn.IFS(D560="","",D560="Grand Total",SUM(H$2:H559),TRUE,IF(COUNTIF(Transactions[Custom Category],D560)&gt;0,SUMIFS(Transactions[Amount],Transactions[Custom Category],D560,Transactions[Month],Sel_Month),SUMIFS(Transactions[Amount],Transactions[Name],D560,Transactions[Month],Sel_Month)))</f>
        <v/>
      </c>
      <c r="I560" s="8" t="str">
        <f t="shared" si="8"/>
        <v/>
      </c>
    </row>
    <row r="561" spans="8:9" x14ac:dyDescent="0.3">
      <c r="H561" s="7" t="str" cm="1">
        <f t="array" ref="H561">_xlfn.IFS(D561="","",D561="Grand Total",SUM(H$2:H560),TRUE,IF(COUNTIF(Transactions[Custom Category],D561)&gt;0,SUMIFS(Transactions[Amount],Transactions[Custom Category],D561,Transactions[Month],Sel_Month),SUMIFS(Transactions[Amount],Transactions[Name],D561,Transactions[Month],Sel_Month)))</f>
        <v/>
      </c>
      <c r="I561" s="8" t="str">
        <f t="shared" si="8"/>
        <v/>
      </c>
    </row>
    <row r="562" spans="8:9" x14ac:dyDescent="0.3">
      <c r="H562" s="7" t="str" cm="1">
        <f t="array" ref="H562">_xlfn.IFS(D562="","",D562="Grand Total",SUM(H$2:H561),TRUE,IF(COUNTIF(Transactions[Custom Category],D562)&gt;0,SUMIFS(Transactions[Amount],Transactions[Custom Category],D562,Transactions[Month],Sel_Month),SUMIFS(Transactions[Amount],Transactions[Name],D562,Transactions[Month],Sel_Month)))</f>
        <v/>
      </c>
      <c r="I562" s="8" t="str">
        <f t="shared" si="8"/>
        <v/>
      </c>
    </row>
    <row r="563" spans="8:9" x14ac:dyDescent="0.3">
      <c r="H563" s="7" t="str" cm="1">
        <f t="array" ref="H563">_xlfn.IFS(D563="","",D563="Grand Total",SUM(H$2:H562),TRUE,IF(COUNTIF(Transactions[Custom Category],D563)&gt;0,SUMIFS(Transactions[Amount],Transactions[Custom Category],D563,Transactions[Month],Sel_Month),SUMIFS(Transactions[Amount],Transactions[Name],D563,Transactions[Month],Sel_Month)))</f>
        <v/>
      </c>
      <c r="I563" s="8" t="str">
        <f t="shared" si="8"/>
        <v/>
      </c>
    </row>
    <row r="564" spans="8:9" x14ac:dyDescent="0.3">
      <c r="H564" s="7" t="str" cm="1">
        <f t="array" ref="H564">_xlfn.IFS(D564="","",D564="Grand Total",SUM(H$2:H563),TRUE,IF(COUNTIF(Transactions[Custom Category],D564)&gt;0,SUMIFS(Transactions[Amount],Transactions[Custom Category],D564,Transactions[Month],Sel_Month),SUMIFS(Transactions[Amount],Transactions[Name],D564,Transactions[Month],Sel_Month)))</f>
        <v/>
      </c>
      <c r="I564" s="8" t="str">
        <f t="shared" si="8"/>
        <v/>
      </c>
    </row>
    <row r="565" spans="8:9" x14ac:dyDescent="0.3">
      <c r="H565" s="7" t="str" cm="1">
        <f t="array" ref="H565">_xlfn.IFS(D565="","",D565="Grand Total",SUM(H$2:H564),TRUE,IF(COUNTIF(Transactions[Custom Category],D565)&gt;0,SUMIFS(Transactions[Amount],Transactions[Custom Category],D565,Transactions[Month],Sel_Month),SUMIFS(Transactions[Amount],Transactions[Name],D565,Transactions[Month],Sel_Month)))</f>
        <v/>
      </c>
      <c r="I565" s="8" t="str">
        <f t="shared" si="8"/>
        <v/>
      </c>
    </row>
    <row r="566" spans="8:9" x14ac:dyDescent="0.3">
      <c r="H566" s="7" t="str" cm="1">
        <f t="array" ref="H566">_xlfn.IFS(D566="","",D566="Grand Total",SUM(H$2:H565),TRUE,IF(COUNTIF(Transactions[Custom Category],D566)&gt;0,SUMIFS(Transactions[Amount],Transactions[Custom Category],D566,Transactions[Month],Sel_Month),SUMIFS(Transactions[Amount],Transactions[Name],D566,Transactions[Month],Sel_Month)))</f>
        <v/>
      </c>
      <c r="I566" s="8" t="str">
        <f t="shared" si="8"/>
        <v/>
      </c>
    </row>
    <row r="567" spans="8:9" x14ac:dyDescent="0.3">
      <c r="H567" s="7" t="str" cm="1">
        <f t="array" ref="H567">_xlfn.IFS(D567="","",D567="Grand Total",SUM(H$2:H566),TRUE,IF(COUNTIF(Transactions[Custom Category],D567)&gt;0,SUMIFS(Transactions[Amount],Transactions[Custom Category],D567,Transactions[Month],Sel_Month),SUMIFS(Transactions[Amount],Transactions[Name],D567,Transactions[Month],Sel_Month)))</f>
        <v/>
      </c>
      <c r="I567" s="8" t="str">
        <f t="shared" si="8"/>
        <v/>
      </c>
    </row>
    <row r="568" spans="8:9" x14ac:dyDescent="0.3">
      <c r="H568" s="7" t="str" cm="1">
        <f t="array" ref="H568">_xlfn.IFS(D568="","",D568="Grand Total",SUM(H$2:H567),TRUE,IF(COUNTIF(Transactions[Custom Category],D568)&gt;0,SUMIFS(Transactions[Amount],Transactions[Custom Category],D568,Transactions[Month],Sel_Month),SUMIFS(Transactions[Amount],Transactions[Name],D568,Transactions[Month],Sel_Month)))</f>
        <v/>
      </c>
      <c r="I568" s="8" t="str">
        <f t="shared" si="8"/>
        <v/>
      </c>
    </row>
    <row r="569" spans="8:9" x14ac:dyDescent="0.3">
      <c r="H569" s="7" t="str" cm="1">
        <f t="array" ref="H569">_xlfn.IFS(D569="","",D569="Grand Total",SUM(H$2:H568),TRUE,IF(COUNTIF(Transactions[Custom Category],D569)&gt;0,SUMIFS(Transactions[Amount],Transactions[Custom Category],D569,Transactions[Month],Sel_Month),SUMIFS(Transactions[Amount],Transactions[Name],D569,Transactions[Month],Sel_Month)))</f>
        <v/>
      </c>
      <c r="I569" s="8" t="str">
        <f t="shared" si="8"/>
        <v/>
      </c>
    </row>
    <row r="570" spans="8:9" x14ac:dyDescent="0.3">
      <c r="H570" s="7" t="str" cm="1">
        <f t="array" ref="H570">_xlfn.IFS(D570="","",D570="Grand Total",SUM(H$2:H569),TRUE,IF(COUNTIF(Transactions[Custom Category],D570)&gt;0,SUMIFS(Transactions[Amount],Transactions[Custom Category],D570,Transactions[Month],Sel_Month),SUMIFS(Transactions[Amount],Transactions[Name],D570,Transactions[Month],Sel_Month)))</f>
        <v/>
      </c>
      <c r="I570" s="8" t="str">
        <f t="shared" si="8"/>
        <v/>
      </c>
    </row>
    <row r="571" spans="8:9" x14ac:dyDescent="0.3">
      <c r="H571" s="7" t="str" cm="1">
        <f t="array" ref="H571">_xlfn.IFS(D571="","",D571="Grand Total",SUM(H$2:H570),TRUE,IF(COUNTIF(Transactions[Custom Category],D571)&gt;0,SUMIFS(Transactions[Amount],Transactions[Custom Category],D571,Transactions[Month],Sel_Month),SUMIFS(Transactions[Amount],Transactions[Name],D571,Transactions[Month],Sel_Month)))</f>
        <v/>
      </c>
      <c r="I571" s="8" t="str">
        <f t="shared" si="8"/>
        <v/>
      </c>
    </row>
    <row r="572" spans="8:9" x14ac:dyDescent="0.3">
      <c r="H572" s="7" t="str" cm="1">
        <f t="array" ref="H572">_xlfn.IFS(D572="","",D572="Grand Total",SUM(H$2:H571),TRUE,IF(COUNTIF(Transactions[Custom Category],D572)&gt;0,SUMIFS(Transactions[Amount],Transactions[Custom Category],D572,Transactions[Month],Sel_Month),SUMIFS(Transactions[Amount],Transactions[Name],D572,Transactions[Month],Sel_Month)))</f>
        <v/>
      </c>
      <c r="I572" s="8" t="str">
        <f t="shared" si="8"/>
        <v/>
      </c>
    </row>
    <row r="573" spans="8:9" x14ac:dyDescent="0.3">
      <c r="H573" s="7" t="str" cm="1">
        <f t="array" ref="H573">_xlfn.IFS(D573="","",D573="Grand Total",SUM(H$2:H572),TRUE,IF(COUNTIF(Transactions[Custom Category],D573)&gt;0,SUMIFS(Transactions[Amount],Transactions[Custom Category],D573,Transactions[Month],Sel_Month),SUMIFS(Transactions[Amount],Transactions[Name],D573,Transactions[Month],Sel_Month)))</f>
        <v/>
      </c>
      <c r="I573" s="8" t="str">
        <f t="shared" si="8"/>
        <v/>
      </c>
    </row>
    <row r="574" spans="8:9" x14ac:dyDescent="0.3">
      <c r="H574" s="7" t="str" cm="1">
        <f t="array" ref="H574">_xlfn.IFS(D574="","",D574="Grand Total",SUM(H$2:H573),TRUE,IF(COUNTIF(Transactions[Custom Category],D574)&gt;0,SUMIFS(Transactions[Amount],Transactions[Custom Category],D574,Transactions[Month],Sel_Month),SUMIFS(Transactions[Amount],Transactions[Name],D574,Transactions[Month],Sel_Month)))</f>
        <v/>
      </c>
      <c r="I574" s="8" t="str">
        <f t="shared" si="8"/>
        <v/>
      </c>
    </row>
    <row r="575" spans="8:9" x14ac:dyDescent="0.3">
      <c r="H575" s="7" t="str" cm="1">
        <f t="array" ref="H575">_xlfn.IFS(D575="","",D575="Grand Total",SUM(H$2:H574),TRUE,IF(COUNTIF(Transactions[Custom Category],D575)&gt;0,SUMIFS(Transactions[Amount],Transactions[Custom Category],D575,Transactions[Month],Sel_Month),SUMIFS(Transactions[Amount],Transactions[Name],D575,Transactions[Month],Sel_Month)))</f>
        <v/>
      </c>
      <c r="I575" s="8" t="str">
        <f t="shared" si="8"/>
        <v/>
      </c>
    </row>
    <row r="576" spans="8:9" x14ac:dyDescent="0.3">
      <c r="H576" s="7" t="str" cm="1">
        <f t="array" ref="H576">_xlfn.IFS(D576="","",D576="Grand Total",SUM(H$2:H575),TRUE,IF(COUNTIF(Transactions[Custom Category],D576)&gt;0,SUMIFS(Transactions[Amount],Transactions[Custom Category],D576,Transactions[Month],Sel_Month),SUMIFS(Transactions[Amount],Transactions[Name],D576,Transactions[Month],Sel_Month)))</f>
        <v/>
      </c>
      <c r="I576" s="8" t="str">
        <f t="shared" si="8"/>
        <v/>
      </c>
    </row>
    <row r="577" spans="8:9" x14ac:dyDescent="0.3">
      <c r="H577" s="7" t="str" cm="1">
        <f t="array" ref="H577">_xlfn.IFS(D577="","",D577="Grand Total",SUM(H$2:H576),TRUE,IF(COUNTIF(Transactions[Custom Category],D577)&gt;0,SUMIFS(Transactions[Amount],Transactions[Custom Category],D577,Transactions[Month],Sel_Month),SUMIFS(Transactions[Amount],Transactions[Name],D577,Transactions[Month],Sel_Month)))</f>
        <v/>
      </c>
      <c r="I577" s="8" t="str">
        <f t="shared" si="8"/>
        <v/>
      </c>
    </row>
    <row r="578" spans="8:9" x14ac:dyDescent="0.3">
      <c r="H578" s="7" t="str" cm="1">
        <f t="array" ref="H578">_xlfn.IFS(D578="","",D578="Grand Total",SUM(H$2:H577),TRUE,IF(COUNTIF(Transactions[Custom Category],D578)&gt;0,SUMIFS(Transactions[Amount],Transactions[Custom Category],D578,Transactions[Month],Sel_Month),SUMIFS(Transactions[Amount],Transactions[Name],D578,Transactions[Month],Sel_Month)))</f>
        <v/>
      </c>
      <c r="I578" s="8" t="str">
        <f t="shared" si="8"/>
        <v/>
      </c>
    </row>
    <row r="579" spans="8:9" x14ac:dyDescent="0.3">
      <c r="H579" s="7" t="str" cm="1">
        <f t="array" ref="H579">_xlfn.IFS(D579="","",D579="Grand Total",SUM(H$2:H578),TRUE,IF(COUNTIF(Transactions[Custom Category],D579)&gt;0,SUMIFS(Transactions[Amount],Transactions[Custom Category],D579,Transactions[Month],Sel_Month),SUMIFS(Transactions[Amount],Transactions[Name],D579,Transactions[Month],Sel_Month)))</f>
        <v/>
      </c>
      <c r="I579" s="8" t="str">
        <f t="shared" si="8"/>
        <v/>
      </c>
    </row>
    <row r="580" spans="8:9" x14ac:dyDescent="0.3">
      <c r="H580" s="7" t="str" cm="1">
        <f t="array" ref="H580">_xlfn.IFS(D580="","",D580="Grand Total",SUM(H$2:H579),TRUE,IF(COUNTIF(Transactions[Custom Category],D580)&gt;0,SUMIFS(Transactions[Amount],Transactions[Custom Category],D580,Transactions[Month],Sel_Month),SUMIFS(Transactions[Amount],Transactions[Name],D580,Transactions[Month],Sel_Month)))</f>
        <v/>
      </c>
      <c r="I580" s="8" t="str">
        <f t="shared" ref="I580:I643" si="9">IF(F580="","",IF(F580=0,0,1-((F580-H580)/F580)))</f>
        <v/>
      </c>
    </row>
    <row r="581" spans="8:9" x14ac:dyDescent="0.3">
      <c r="H581" s="7" t="str" cm="1">
        <f t="array" ref="H581">_xlfn.IFS(D581="","",D581="Grand Total",SUM(H$2:H580),TRUE,IF(COUNTIF(Transactions[Custom Category],D581)&gt;0,SUMIFS(Transactions[Amount],Transactions[Custom Category],D581,Transactions[Month],Sel_Month),SUMIFS(Transactions[Amount],Transactions[Name],D581,Transactions[Month],Sel_Month)))</f>
        <v/>
      </c>
      <c r="I581" s="8" t="str">
        <f t="shared" si="9"/>
        <v/>
      </c>
    </row>
    <row r="582" spans="8:9" x14ac:dyDescent="0.3">
      <c r="H582" s="7" t="str" cm="1">
        <f t="array" ref="H582">_xlfn.IFS(D582="","",D582="Grand Total",SUM(H$2:H581),TRUE,IF(COUNTIF(Transactions[Custom Category],D582)&gt;0,SUMIFS(Transactions[Amount],Transactions[Custom Category],D582,Transactions[Month],Sel_Month),SUMIFS(Transactions[Amount],Transactions[Name],D582,Transactions[Month],Sel_Month)))</f>
        <v/>
      </c>
      <c r="I582" s="8" t="str">
        <f t="shared" si="9"/>
        <v/>
      </c>
    </row>
    <row r="583" spans="8:9" x14ac:dyDescent="0.3">
      <c r="H583" s="7" t="str" cm="1">
        <f t="array" ref="H583">_xlfn.IFS(D583="","",D583="Grand Total",SUM(H$2:H582),TRUE,IF(COUNTIF(Transactions[Custom Category],D583)&gt;0,SUMIFS(Transactions[Amount],Transactions[Custom Category],D583,Transactions[Month],Sel_Month),SUMIFS(Transactions[Amount],Transactions[Name],D583,Transactions[Month],Sel_Month)))</f>
        <v/>
      </c>
      <c r="I583" s="8" t="str">
        <f t="shared" si="9"/>
        <v/>
      </c>
    </row>
    <row r="584" spans="8:9" x14ac:dyDescent="0.3">
      <c r="H584" s="7" t="str" cm="1">
        <f t="array" ref="H584">_xlfn.IFS(D584="","",D584="Grand Total",SUM(H$2:H583),TRUE,IF(COUNTIF(Transactions[Custom Category],D584)&gt;0,SUMIFS(Transactions[Amount],Transactions[Custom Category],D584,Transactions[Month],Sel_Month),SUMIFS(Transactions[Amount],Transactions[Name],D584,Transactions[Month],Sel_Month)))</f>
        <v/>
      </c>
      <c r="I584" s="8" t="str">
        <f t="shared" si="9"/>
        <v/>
      </c>
    </row>
    <row r="585" spans="8:9" x14ac:dyDescent="0.3">
      <c r="H585" s="7" t="str" cm="1">
        <f t="array" ref="H585">_xlfn.IFS(D585="","",D585="Grand Total",SUM(H$2:H584),TRUE,IF(COUNTIF(Transactions[Custom Category],D585)&gt;0,SUMIFS(Transactions[Amount],Transactions[Custom Category],D585,Transactions[Month],Sel_Month),SUMIFS(Transactions[Amount],Transactions[Name],D585,Transactions[Month],Sel_Month)))</f>
        <v/>
      </c>
      <c r="I585" s="8" t="str">
        <f t="shared" si="9"/>
        <v/>
      </c>
    </row>
    <row r="586" spans="8:9" x14ac:dyDescent="0.3">
      <c r="H586" s="7" t="str" cm="1">
        <f t="array" ref="H586">_xlfn.IFS(D586="","",D586="Grand Total",SUM(H$2:H585),TRUE,IF(COUNTIF(Transactions[Custom Category],D586)&gt;0,SUMIFS(Transactions[Amount],Transactions[Custom Category],D586,Transactions[Month],Sel_Month),SUMIFS(Transactions[Amount],Transactions[Name],D586,Transactions[Month],Sel_Month)))</f>
        <v/>
      </c>
      <c r="I586" s="8" t="str">
        <f t="shared" si="9"/>
        <v/>
      </c>
    </row>
    <row r="587" spans="8:9" x14ac:dyDescent="0.3">
      <c r="H587" s="7" t="str" cm="1">
        <f t="array" ref="H587">_xlfn.IFS(D587="","",D587="Grand Total",SUM(H$2:H586),TRUE,IF(COUNTIF(Transactions[Custom Category],D587)&gt;0,SUMIFS(Transactions[Amount],Transactions[Custom Category],D587,Transactions[Month],Sel_Month),SUMIFS(Transactions[Amount],Transactions[Name],D587,Transactions[Month],Sel_Month)))</f>
        <v/>
      </c>
      <c r="I587" s="8" t="str">
        <f t="shared" si="9"/>
        <v/>
      </c>
    </row>
    <row r="588" spans="8:9" x14ac:dyDescent="0.3">
      <c r="H588" s="7" t="str" cm="1">
        <f t="array" ref="H588">_xlfn.IFS(D588="","",D588="Grand Total",SUM(H$2:H587),TRUE,IF(COUNTIF(Transactions[Custom Category],D588)&gt;0,SUMIFS(Transactions[Amount],Transactions[Custom Category],D588,Transactions[Month],Sel_Month),SUMIFS(Transactions[Amount],Transactions[Name],D588,Transactions[Month],Sel_Month)))</f>
        <v/>
      </c>
      <c r="I588" s="8" t="str">
        <f t="shared" si="9"/>
        <v/>
      </c>
    </row>
    <row r="589" spans="8:9" x14ac:dyDescent="0.3">
      <c r="H589" s="7" t="str" cm="1">
        <f t="array" ref="H589">_xlfn.IFS(D589="","",D589="Grand Total",SUM(H$2:H588),TRUE,IF(COUNTIF(Transactions[Custom Category],D589)&gt;0,SUMIFS(Transactions[Amount],Transactions[Custom Category],D589,Transactions[Month],Sel_Month),SUMIFS(Transactions[Amount],Transactions[Name],D589,Transactions[Month],Sel_Month)))</f>
        <v/>
      </c>
      <c r="I589" s="8" t="str">
        <f t="shared" si="9"/>
        <v/>
      </c>
    </row>
    <row r="590" spans="8:9" x14ac:dyDescent="0.3">
      <c r="H590" s="7" t="str" cm="1">
        <f t="array" ref="H590">_xlfn.IFS(D590="","",D590="Grand Total",SUM(H$2:H589),TRUE,IF(COUNTIF(Transactions[Custom Category],D590)&gt;0,SUMIFS(Transactions[Amount],Transactions[Custom Category],D590,Transactions[Month],Sel_Month),SUMIFS(Transactions[Amount],Transactions[Name],D590,Transactions[Month],Sel_Month)))</f>
        <v/>
      </c>
      <c r="I590" s="8" t="str">
        <f t="shared" si="9"/>
        <v/>
      </c>
    </row>
    <row r="591" spans="8:9" x14ac:dyDescent="0.3">
      <c r="H591" s="7" t="str" cm="1">
        <f t="array" ref="H591">_xlfn.IFS(D591="","",D591="Grand Total",SUM(H$2:H590),TRUE,IF(COUNTIF(Transactions[Custom Category],D591)&gt;0,SUMIFS(Transactions[Amount],Transactions[Custom Category],D591,Transactions[Month],Sel_Month),SUMIFS(Transactions[Amount],Transactions[Name],D591,Transactions[Month],Sel_Month)))</f>
        <v/>
      </c>
      <c r="I591" s="8" t="str">
        <f t="shared" si="9"/>
        <v/>
      </c>
    </row>
    <row r="592" spans="8:9" x14ac:dyDescent="0.3">
      <c r="H592" s="7" t="str" cm="1">
        <f t="array" ref="H592">_xlfn.IFS(D592="","",D592="Grand Total",SUM(H$2:H591),TRUE,IF(COUNTIF(Transactions[Custom Category],D592)&gt;0,SUMIFS(Transactions[Amount],Transactions[Custom Category],D592,Transactions[Month],Sel_Month),SUMIFS(Transactions[Amount],Transactions[Name],D592,Transactions[Month],Sel_Month)))</f>
        <v/>
      </c>
      <c r="I592" s="8" t="str">
        <f t="shared" si="9"/>
        <v/>
      </c>
    </row>
    <row r="593" spans="8:9" x14ac:dyDescent="0.3">
      <c r="H593" s="7" t="str" cm="1">
        <f t="array" ref="H593">_xlfn.IFS(D593="","",D593="Grand Total",SUM(H$2:H592),TRUE,IF(COUNTIF(Transactions[Custom Category],D593)&gt;0,SUMIFS(Transactions[Amount],Transactions[Custom Category],D593,Transactions[Month],Sel_Month),SUMIFS(Transactions[Amount],Transactions[Name],D593,Transactions[Month],Sel_Month)))</f>
        <v/>
      </c>
      <c r="I593" s="8" t="str">
        <f t="shared" si="9"/>
        <v/>
      </c>
    </row>
    <row r="594" spans="8:9" x14ac:dyDescent="0.3">
      <c r="H594" s="7" t="str" cm="1">
        <f t="array" ref="H594">_xlfn.IFS(D594="","",D594="Grand Total",SUM(H$2:H593),TRUE,IF(COUNTIF(Transactions[Custom Category],D594)&gt;0,SUMIFS(Transactions[Amount],Transactions[Custom Category],D594,Transactions[Month],Sel_Month),SUMIFS(Transactions[Amount],Transactions[Name],D594,Transactions[Month],Sel_Month)))</f>
        <v/>
      </c>
      <c r="I594" s="8" t="str">
        <f t="shared" si="9"/>
        <v/>
      </c>
    </row>
    <row r="595" spans="8:9" x14ac:dyDescent="0.3">
      <c r="H595" s="7" t="str" cm="1">
        <f t="array" ref="H595">_xlfn.IFS(D595="","",D595="Grand Total",SUM(H$2:H594),TRUE,IF(COUNTIF(Transactions[Custom Category],D595)&gt;0,SUMIFS(Transactions[Amount],Transactions[Custom Category],D595,Transactions[Month],Sel_Month),SUMIFS(Transactions[Amount],Transactions[Name],D595,Transactions[Month],Sel_Month)))</f>
        <v/>
      </c>
      <c r="I595" s="8" t="str">
        <f t="shared" si="9"/>
        <v/>
      </c>
    </row>
    <row r="596" spans="8:9" x14ac:dyDescent="0.3">
      <c r="H596" s="7" t="str" cm="1">
        <f t="array" ref="H596">_xlfn.IFS(D596="","",D596="Grand Total",SUM(H$2:H595),TRUE,IF(COUNTIF(Transactions[Custom Category],D596)&gt;0,SUMIFS(Transactions[Amount],Transactions[Custom Category],D596,Transactions[Month],Sel_Month),SUMIFS(Transactions[Amount],Transactions[Name],D596,Transactions[Month],Sel_Month)))</f>
        <v/>
      </c>
      <c r="I596" s="8" t="str">
        <f t="shared" si="9"/>
        <v/>
      </c>
    </row>
    <row r="597" spans="8:9" x14ac:dyDescent="0.3">
      <c r="H597" s="7" t="str" cm="1">
        <f t="array" ref="H597">_xlfn.IFS(D597="","",D597="Grand Total",SUM(H$2:H596),TRUE,IF(COUNTIF(Transactions[Custom Category],D597)&gt;0,SUMIFS(Transactions[Amount],Transactions[Custom Category],D597,Transactions[Month],Sel_Month),SUMIFS(Transactions[Amount],Transactions[Name],D597,Transactions[Month],Sel_Month)))</f>
        <v/>
      </c>
      <c r="I597" s="8" t="str">
        <f t="shared" si="9"/>
        <v/>
      </c>
    </row>
    <row r="598" spans="8:9" x14ac:dyDescent="0.3">
      <c r="H598" s="7" t="str" cm="1">
        <f t="array" ref="H598">_xlfn.IFS(D598="","",D598="Grand Total",SUM(H$2:H597),TRUE,IF(COUNTIF(Transactions[Custom Category],D598)&gt;0,SUMIFS(Transactions[Amount],Transactions[Custom Category],D598,Transactions[Month],Sel_Month),SUMIFS(Transactions[Amount],Transactions[Name],D598,Transactions[Month],Sel_Month)))</f>
        <v/>
      </c>
      <c r="I598" s="8" t="str">
        <f t="shared" si="9"/>
        <v/>
      </c>
    </row>
    <row r="599" spans="8:9" x14ac:dyDescent="0.3">
      <c r="H599" s="7" t="str" cm="1">
        <f t="array" ref="H599">_xlfn.IFS(D599="","",D599="Grand Total",SUM(H$2:H598),TRUE,IF(COUNTIF(Transactions[Custom Category],D599)&gt;0,SUMIFS(Transactions[Amount],Transactions[Custom Category],D599,Transactions[Month],Sel_Month),SUMIFS(Transactions[Amount],Transactions[Name],D599,Transactions[Month],Sel_Month)))</f>
        <v/>
      </c>
      <c r="I599" s="8" t="str">
        <f t="shared" si="9"/>
        <v/>
      </c>
    </row>
    <row r="600" spans="8:9" x14ac:dyDescent="0.3">
      <c r="H600" s="7" t="str" cm="1">
        <f t="array" ref="H600">_xlfn.IFS(D600="","",D600="Grand Total",SUM(H$2:H599),TRUE,IF(COUNTIF(Transactions[Custom Category],D600)&gt;0,SUMIFS(Transactions[Amount],Transactions[Custom Category],D600,Transactions[Month],Sel_Month),SUMIFS(Transactions[Amount],Transactions[Name],D600,Transactions[Month],Sel_Month)))</f>
        <v/>
      </c>
      <c r="I600" s="8" t="str">
        <f t="shared" si="9"/>
        <v/>
      </c>
    </row>
    <row r="601" spans="8:9" x14ac:dyDescent="0.3">
      <c r="H601" s="7" t="str" cm="1">
        <f t="array" ref="H601">_xlfn.IFS(D601="","",D601="Grand Total",SUM(H$2:H600),TRUE,IF(COUNTIF(Transactions[Custom Category],D601)&gt;0,SUMIFS(Transactions[Amount],Transactions[Custom Category],D601,Transactions[Month],Sel_Month),SUMIFS(Transactions[Amount],Transactions[Name],D601,Transactions[Month],Sel_Month)))</f>
        <v/>
      </c>
      <c r="I601" s="8" t="str">
        <f t="shared" si="9"/>
        <v/>
      </c>
    </row>
    <row r="602" spans="8:9" x14ac:dyDescent="0.3">
      <c r="H602" s="7" t="str" cm="1">
        <f t="array" ref="H602">_xlfn.IFS(D602="","",D602="Grand Total",SUM(H$2:H601),TRUE,IF(COUNTIF(Transactions[Custom Category],D602)&gt;0,SUMIFS(Transactions[Amount],Transactions[Custom Category],D602,Transactions[Month],Sel_Month),SUMIFS(Transactions[Amount],Transactions[Name],D602,Transactions[Month],Sel_Month)))</f>
        <v/>
      </c>
      <c r="I602" s="8" t="str">
        <f t="shared" si="9"/>
        <v/>
      </c>
    </row>
    <row r="603" spans="8:9" x14ac:dyDescent="0.3">
      <c r="H603" s="7" t="str" cm="1">
        <f t="array" ref="H603">_xlfn.IFS(D603="","",D603="Grand Total",SUM(H$2:H602),TRUE,IF(COUNTIF(Transactions[Custom Category],D603)&gt;0,SUMIFS(Transactions[Amount],Transactions[Custom Category],D603,Transactions[Month],Sel_Month),SUMIFS(Transactions[Amount],Transactions[Name],D603,Transactions[Month],Sel_Month)))</f>
        <v/>
      </c>
      <c r="I603" s="8" t="str">
        <f t="shared" si="9"/>
        <v/>
      </c>
    </row>
    <row r="604" spans="8:9" x14ac:dyDescent="0.3">
      <c r="H604" s="7" t="str" cm="1">
        <f t="array" ref="H604">_xlfn.IFS(D604="","",D604="Grand Total",SUM(H$2:H603),TRUE,IF(COUNTIF(Transactions[Custom Category],D604)&gt;0,SUMIFS(Transactions[Amount],Transactions[Custom Category],D604,Transactions[Month],Sel_Month),SUMIFS(Transactions[Amount],Transactions[Name],D604,Transactions[Month],Sel_Month)))</f>
        <v/>
      </c>
      <c r="I604" s="8" t="str">
        <f t="shared" si="9"/>
        <v/>
      </c>
    </row>
    <row r="605" spans="8:9" x14ac:dyDescent="0.3">
      <c r="H605" s="7" t="str" cm="1">
        <f t="array" ref="H605">_xlfn.IFS(D605="","",D605="Grand Total",SUM(H$2:H604),TRUE,IF(COUNTIF(Transactions[Custom Category],D605)&gt;0,SUMIFS(Transactions[Amount],Transactions[Custom Category],D605,Transactions[Month],Sel_Month),SUMIFS(Transactions[Amount],Transactions[Name],D605,Transactions[Month],Sel_Month)))</f>
        <v/>
      </c>
      <c r="I605" s="8" t="str">
        <f t="shared" si="9"/>
        <v/>
      </c>
    </row>
    <row r="606" spans="8:9" x14ac:dyDescent="0.3">
      <c r="H606" s="7" t="str" cm="1">
        <f t="array" ref="H606">_xlfn.IFS(D606="","",D606="Grand Total",SUM(H$2:H605),TRUE,IF(COUNTIF(Transactions[Custom Category],D606)&gt;0,SUMIFS(Transactions[Amount],Transactions[Custom Category],D606,Transactions[Month],Sel_Month),SUMIFS(Transactions[Amount],Transactions[Name],D606,Transactions[Month],Sel_Month)))</f>
        <v/>
      </c>
      <c r="I606" s="8" t="str">
        <f t="shared" si="9"/>
        <v/>
      </c>
    </row>
    <row r="607" spans="8:9" x14ac:dyDescent="0.3">
      <c r="H607" s="7" t="str" cm="1">
        <f t="array" ref="H607">_xlfn.IFS(D607="","",D607="Grand Total",SUM(H$2:H606),TRUE,IF(COUNTIF(Transactions[Custom Category],D607)&gt;0,SUMIFS(Transactions[Amount],Transactions[Custom Category],D607,Transactions[Month],Sel_Month),SUMIFS(Transactions[Amount],Transactions[Name],D607,Transactions[Month],Sel_Month)))</f>
        <v/>
      </c>
      <c r="I607" s="8" t="str">
        <f t="shared" si="9"/>
        <v/>
      </c>
    </row>
    <row r="608" spans="8:9" x14ac:dyDescent="0.3">
      <c r="H608" s="7" t="str" cm="1">
        <f t="array" ref="H608">_xlfn.IFS(D608="","",D608="Grand Total",SUM(H$2:H607),TRUE,IF(COUNTIF(Transactions[Custom Category],D608)&gt;0,SUMIFS(Transactions[Amount],Transactions[Custom Category],D608,Transactions[Month],Sel_Month),SUMIFS(Transactions[Amount],Transactions[Name],D608,Transactions[Month],Sel_Month)))</f>
        <v/>
      </c>
      <c r="I608" s="8" t="str">
        <f t="shared" si="9"/>
        <v/>
      </c>
    </row>
    <row r="609" spans="8:9" x14ac:dyDescent="0.3">
      <c r="H609" s="7" t="str" cm="1">
        <f t="array" ref="H609">_xlfn.IFS(D609="","",D609="Grand Total",SUM(H$2:H608),TRUE,IF(COUNTIF(Transactions[Custom Category],D609)&gt;0,SUMIFS(Transactions[Amount],Transactions[Custom Category],D609,Transactions[Month],Sel_Month),SUMIFS(Transactions[Amount],Transactions[Name],D609,Transactions[Month],Sel_Month)))</f>
        <v/>
      </c>
      <c r="I609" s="8" t="str">
        <f t="shared" si="9"/>
        <v/>
      </c>
    </row>
    <row r="610" spans="8:9" x14ac:dyDescent="0.3">
      <c r="H610" s="7" t="str" cm="1">
        <f t="array" ref="H610">_xlfn.IFS(D610="","",D610="Grand Total",SUM(H$2:H609),TRUE,IF(COUNTIF(Transactions[Custom Category],D610)&gt;0,SUMIFS(Transactions[Amount],Transactions[Custom Category],D610,Transactions[Month],Sel_Month),SUMIFS(Transactions[Amount],Transactions[Name],D610,Transactions[Month],Sel_Month)))</f>
        <v/>
      </c>
      <c r="I610" s="8" t="str">
        <f t="shared" si="9"/>
        <v/>
      </c>
    </row>
    <row r="611" spans="8:9" x14ac:dyDescent="0.3">
      <c r="H611" s="7" t="str" cm="1">
        <f t="array" ref="H611">_xlfn.IFS(D611="","",D611="Grand Total",SUM(H$2:H610),TRUE,IF(COUNTIF(Transactions[Custom Category],D611)&gt;0,SUMIFS(Transactions[Amount],Transactions[Custom Category],D611,Transactions[Month],Sel_Month),SUMIFS(Transactions[Amount],Transactions[Name],D611,Transactions[Month],Sel_Month)))</f>
        <v/>
      </c>
      <c r="I611" s="8" t="str">
        <f t="shared" si="9"/>
        <v/>
      </c>
    </row>
    <row r="612" spans="8:9" x14ac:dyDescent="0.3">
      <c r="H612" s="7" t="str" cm="1">
        <f t="array" ref="H612">_xlfn.IFS(D612="","",D612="Grand Total",SUM(H$2:H611),TRUE,IF(COUNTIF(Transactions[Custom Category],D612)&gt;0,SUMIFS(Transactions[Amount],Transactions[Custom Category],D612,Transactions[Month],Sel_Month),SUMIFS(Transactions[Amount],Transactions[Name],D612,Transactions[Month],Sel_Month)))</f>
        <v/>
      </c>
      <c r="I612" s="8" t="str">
        <f t="shared" si="9"/>
        <v/>
      </c>
    </row>
    <row r="613" spans="8:9" x14ac:dyDescent="0.3">
      <c r="H613" s="7" t="str" cm="1">
        <f t="array" ref="H613">_xlfn.IFS(D613="","",D613="Grand Total",SUM(H$2:H612),TRUE,IF(COUNTIF(Transactions[Custom Category],D613)&gt;0,SUMIFS(Transactions[Amount],Transactions[Custom Category],D613,Transactions[Month],Sel_Month),SUMIFS(Transactions[Amount],Transactions[Name],D613,Transactions[Month],Sel_Month)))</f>
        <v/>
      </c>
      <c r="I613" s="8" t="str">
        <f t="shared" si="9"/>
        <v/>
      </c>
    </row>
    <row r="614" spans="8:9" x14ac:dyDescent="0.3">
      <c r="H614" s="7" t="str" cm="1">
        <f t="array" ref="H614">_xlfn.IFS(D614="","",D614="Grand Total",SUM(H$2:H613),TRUE,IF(COUNTIF(Transactions[Custom Category],D614)&gt;0,SUMIFS(Transactions[Amount],Transactions[Custom Category],D614,Transactions[Month],Sel_Month),SUMIFS(Transactions[Amount],Transactions[Name],D614,Transactions[Month],Sel_Month)))</f>
        <v/>
      </c>
      <c r="I614" s="8" t="str">
        <f t="shared" si="9"/>
        <v/>
      </c>
    </row>
    <row r="615" spans="8:9" x14ac:dyDescent="0.3">
      <c r="H615" s="7" t="str" cm="1">
        <f t="array" ref="H615">_xlfn.IFS(D615="","",D615="Grand Total",SUM(H$2:H614),TRUE,IF(COUNTIF(Transactions[Custom Category],D615)&gt;0,SUMIFS(Transactions[Amount],Transactions[Custom Category],D615,Transactions[Month],Sel_Month),SUMIFS(Transactions[Amount],Transactions[Name],D615,Transactions[Month],Sel_Month)))</f>
        <v/>
      </c>
      <c r="I615" s="8" t="str">
        <f t="shared" si="9"/>
        <v/>
      </c>
    </row>
    <row r="616" spans="8:9" x14ac:dyDescent="0.3">
      <c r="H616" s="7" t="str" cm="1">
        <f t="array" ref="H616">_xlfn.IFS(D616="","",D616="Grand Total",SUM(H$2:H615),TRUE,IF(COUNTIF(Transactions[Custom Category],D616)&gt;0,SUMIFS(Transactions[Amount],Transactions[Custom Category],D616,Transactions[Month],Sel_Month),SUMIFS(Transactions[Amount],Transactions[Name],D616,Transactions[Month],Sel_Month)))</f>
        <v/>
      </c>
      <c r="I616" s="8" t="str">
        <f t="shared" si="9"/>
        <v/>
      </c>
    </row>
    <row r="617" spans="8:9" x14ac:dyDescent="0.3">
      <c r="H617" s="7" t="str" cm="1">
        <f t="array" ref="H617">_xlfn.IFS(D617="","",D617="Grand Total",SUM(H$2:H616),TRUE,IF(COUNTIF(Transactions[Custom Category],D617)&gt;0,SUMIFS(Transactions[Amount],Transactions[Custom Category],D617,Transactions[Month],Sel_Month),SUMIFS(Transactions[Amount],Transactions[Name],D617,Transactions[Month],Sel_Month)))</f>
        <v/>
      </c>
      <c r="I617" s="8" t="str">
        <f t="shared" si="9"/>
        <v/>
      </c>
    </row>
    <row r="618" spans="8:9" x14ac:dyDescent="0.3">
      <c r="H618" s="7" t="str" cm="1">
        <f t="array" ref="H618">_xlfn.IFS(D618="","",D618="Grand Total",SUM(H$2:H617),TRUE,IF(COUNTIF(Transactions[Custom Category],D618)&gt;0,SUMIFS(Transactions[Amount],Transactions[Custom Category],D618,Transactions[Month],Sel_Month),SUMIFS(Transactions[Amount],Transactions[Name],D618,Transactions[Month],Sel_Month)))</f>
        <v/>
      </c>
      <c r="I618" s="8" t="str">
        <f t="shared" si="9"/>
        <v/>
      </c>
    </row>
    <row r="619" spans="8:9" x14ac:dyDescent="0.3">
      <c r="H619" s="7" t="str" cm="1">
        <f t="array" ref="H619">_xlfn.IFS(D619="","",D619="Grand Total",SUM(H$2:H618),TRUE,IF(COUNTIF(Transactions[Custom Category],D619)&gt;0,SUMIFS(Transactions[Amount],Transactions[Custom Category],D619,Transactions[Month],Sel_Month),SUMIFS(Transactions[Amount],Transactions[Name],D619,Transactions[Month],Sel_Month)))</f>
        <v/>
      </c>
      <c r="I619" s="8" t="str">
        <f t="shared" si="9"/>
        <v/>
      </c>
    </row>
    <row r="620" spans="8:9" x14ac:dyDescent="0.3">
      <c r="H620" s="7" t="str" cm="1">
        <f t="array" ref="H620">_xlfn.IFS(D620="","",D620="Grand Total",SUM(H$2:H619),TRUE,IF(COUNTIF(Transactions[Custom Category],D620)&gt;0,SUMIFS(Transactions[Amount],Transactions[Custom Category],D620,Transactions[Month],Sel_Month),SUMIFS(Transactions[Amount],Transactions[Name],D620,Transactions[Month],Sel_Month)))</f>
        <v/>
      </c>
      <c r="I620" s="8" t="str">
        <f t="shared" si="9"/>
        <v/>
      </c>
    </row>
    <row r="621" spans="8:9" x14ac:dyDescent="0.3">
      <c r="H621" s="7" t="str" cm="1">
        <f t="array" ref="H621">_xlfn.IFS(D621="","",D621="Grand Total",SUM(H$2:H620),TRUE,IF(COUNTIF(Transactions[Custom Category],D621)&gt;0,SUMIFS(Transactions[Amount],Transactions[Custom Category],D621,Transactions[Month],Sel_Month),SUMIFS(Transactions[Amount],Transactions[Name],D621,Transactions[Month],Sel_Month)))</f>
        <v/>
      </c>
      <c r="I621" s="8" t="str">
        <f t="shared" si="9"/>
        <v/>
      </c>
    </row>
    <row r="622" spans="8:9" x14ac:dyDescent="0.3">
      <c r="H622" s="7" t="str" cm="1">
        <f t="array" ref="H622">_xlfn.IFS(D622="","",D622="Grand Total",SUM(H$2:H621),TRUE,IF(COUNTIF(Transactions[Custom Category],D622)&gt;0,SUMIFS(Transactions[Amount],Transactions[Custom Category],D622,Transactions[Month],Sel_Month),SUMIFS(Transactions[Amount],Transactions[Name],D622,Transactions[Month],Sel_Month)))</f>
        <v/>
      </c>
      <c r="I622" s="8" t="str">
        <f t="shared" si="9"/>
        <v/>
      </c>
    </row>
    <row r="623" spans="8:9" x14ac:dyDescent="0.3">
      <c r="H623" s="7" t="str" cm="1">
        <f t="array" ref="H623">_xlfn.IFS(D623="","",D623="Grand Total",SUM(H$2:H622),TRUE,IF(COUNTIF(Transactions[Custom Category],D623)&gt;0,SUMIFS(Transactions[Amount],Transactions[Custom Category],D623,Transactions[Month],Sel_Month),SUMIFS(Transactions[Amount],Transactions[Name],D623,Transactions[Month],Sel_Month)))</f>
        <v/>
      </c>
      <c r="I623" s="8" t="str">
        <f t="shared" si="9"/>
        <v/>
      </c>
    </row>
    <row r="624" spans="8:9" x14ac:dyDescent="0.3">
      <c r="H624" s="7" t="str" cm="1">
        <f t="array" ref="H624">_xlfn.IFS(D624="","",D624="Grand Total",SUM(H$2:H623),TRUE,IF(COUNTIF(Transactions[Custom Category],D624)&gt;0,SUMIFS(Transactions[Amount],Transactions[Custom Category],D624,Transactions[Month],Sel_Month),SUMIFS(Transactions[Amount],Transactions[Name],D624,Transactions[Month],Sel_Month)))</f>
        <v/>
      </c>
      <c r="I624" s="8" t="str">
        <f t="shared" si="9"/>
        <v/>
      </c>
    </row>
    <row r="625" spans="8:9" x14ac:dyDescent="0.3">
      <c r="H625" s="7" t="str" cm="1">
        <f t="array" ref="H625">_xlfn.IFS(D625="","",D625="Grand Total",SUM(H$2:H624),TRUE,IF(COUNTIF(Transactions[Custom Category],D625)&gt;0,SUMIFS(Transactions[Amount],Transactions[Custom Category],D625,Transactions[Month],Sel_Month),SUMIFS(Transactions[Amount],Transactions[Name],D625,Transactions[Month],Sel_Month)))</f>
        <v/>
      </c>
      <c r="I625" s="8" t="str">
        <f t="shared" si="9"/>
        <v/>
      </c>
    </row>
    <row r="626" spans="8:9" x14ac:dyDescent="0.3">
      <c r="H626" s="7" t="str" cm="1">
        <f t="array" ref="H626">_xlfn.IFS(D626="","",D626="Grand Total",SUM(H$2:H625),TRUE,IF(COUNTIF(Transactions[Custom Category],D626)&gt;0,SUMIFS(Transactions[Amount],Transactions[Custom Category],D626,Transactions[Month],Sel_Month),SUMIFS(Transactions[Amount],Transactions[Name],D626,Transactions[Month],Sel_Month)))</f>
        <v/>
      </c>
      <c r="I626" s="8" t="str">
        <f t="shared" si="9"/>
        <v/>
      </c>
    </row>
    <row r="627" spans="8:9" x14ac:dyDescent="0.3">
      <c r="H627" s="7" t="str" cm="1">
        <f t="array" ref="H627">_xlfn.IFS(D627="","",D627="Grand Total",SUM(H$2:H626),TRUE,IF(COUNTIF(Transactions[Custom Category],D627)&gt;0,SUMIFS(Transactions[Amount],Transactions[Custom Category],D627,Transactions[Month],Sel_Month),SUMIFS(Transactions[Amount],Transactions[Name],D627,Transactions[Month],Sel_Month)))</f>
        <v/>
      </c>
      <c r="I627" s="8" t="str">
        <f t="shared" si="9"/>
        <v/>
      </c>
    </row>
    <row r="628" spans="8:9" x14ac:dyDescent="0.3">
      <c r="H628" s="7" t="str" cm="1">
        <f t="array" ref="H628">_xlfn.IFS(D628="","",D628="Grand Total",SUM(H$2:H627),TRUE,IF(COUNTIF(Transactions[Custom Category],D628)&gt;0,SUMIFS(Transactions[Amount],Transactions[Custom Category],D628,Transactions[Month],Sel_Month),SUMIFS(Transactions[Amount],Transactions[Name],D628,Transactions[Month],Sel_Month)))</f>
        <v/>
      </c>
      <c r="I628" s="8" t="str">
        <f t="shared" si="9"/>
        <v/>
      </c>
    </row>
    <row r="629" spans="8:9" x14ac:dyDescent="0.3">
      <c r="H629" s="7" t="str" cm="1">
        <f t="array" ref="H629">_xlfn.IFS(D629="","",D629="Grand Total",SUM(H$2:H628),TRUE,IF(COUNTIF(Transactions[Custom Category],D629)&gt;0,SUMIFS(Transactions[Amount],Transactions[Custom Category],D629,Transactions[Month],Sel_Month),SUMIFS(Transactions[Amount],Transactions[Name],D629,Transactions[Month],Sel_Month)))</f>
        <v/>
      </c>
      <c r="I629" s="8" t="str">
        <f t="shared" si="9"/>
        <v/>
      </c>
    </row>
    <row r="630" spans="8:9" x14ac:dyDescent="0.3">
      <c r="H630" s="7" t="str" cm="1">
        <f t="array" ref="H630">_xlfn.IFS(D630="","",D630="Grand Total",SUM(H$2:H629),TRUE,IF(COUNTIF(Transactions[Custom Category],D630)&gt;0,SUMIFS(Transactions[Amount],Transactions[Custom Category],D630,Transactions[Month],Sel_Month),SUMIFS(Transactions[Amount],Transactions[Name],D630,Transactions[Month],Sel_Month)))</f>
        <v/>
      </c>
      <c r="I630" s="8" t="str">
        <f t="shared" si="9"/>
        <v/>
      </c>
    </row>
    <row r="631" spans="8:9" x14ac:dyDescent="0.3">
      <c r="H631" s="7" t="str" cm="1">
        <f t="array" ref="H631">_xlfn.IFS(D631="","",D631="Grand Total",SUM(H$2:H630),TRUE,IF(COUNTIF(Transactions[Custom Category],D631)&gt;0,SUMIFS(Transactions[Amount],Transactions[Custom Category],D631,Transactions[Month],Sel_Month),SUMIFS(Transactions[Amount],Transactions[Name],D631,Transactions[Month],Sel_Month)))</f>
        <v/>
      </c>
      <c r="I631" s="8" t="str">
        <f t="shared" si="9"/>
        <v/>
      </c>
    </row>
    <row r="632" spans="8:9" x14ac:dyDescent="0.3">
      <c r="H632" s="7" t="str" cm="1">
        <f t="array" ref="H632">_xlfn.IFS(D632="","",D632="Grand Total",SUM(H$2:H631),TRUE,IF(COUNTIF(Transactions[Custom Category],D632)&gt;0,SUMIFS(Transactions[Amount],Transactions[Custom Category],D632,Transactions[Month],Sel_Month),SUMIFS(Transactions[Amount],Transactions[Name],D632,Transactions[Month],Sel_Month)))</f>
        <v/>
      </c>
      <c r="I632" s="8" t="str">
        <f t="shared" si="9"/>
        <v/>
      </c>
    </row>
    <row r="633" spans="8:9" x14ac:dyDescent="0.3">
      <c r="H633" s="7" t="str" cm="1">
        <f t="array" ref="H633">_xlfn.IFS(D633="","",D633="Grand Total",SUM(H$2:H632),TRUE,IF(COUNTIF(Transactions[Custom Category],D633)&gt;0,SUMIFS(Transactions[Amount],Transactions[Custom Category],D633,Transactions[Month],Sel_Month),SUMIFS(Transactions[Amount],Transactions[Name],D633,Transactions[Month],Sel_Month)))</f>
        <v/>
      </c>
      <c r="I633" s="8" t="str">
        <f t="shared" si="9"/>
        <v/>
      </c>
    </row>
    <row r="634" spans="8:9" x14ac:dyDescent="0.3">
      <c r="H634" s="7" t="str" cm="1">
        <f t="array" ref="H634">_xlfn.IFS(D634="","",D634="Grand Total",SUM(H$2:H633),TRUE,IF(COUNTIF(Transactions[Custom Category],D634)&gt;0,SUMIFS(Transactions[Amount],Transactions[Custom Category],D634,Transactions[Month],Sel_Month),SUMIFS(Transactions[Amount],Transactions[Name],D634,Transactions[Month],Sel_Month)))</f>
        <v/>
      </c>
      <c r="I634" s="8" t="str">
        <f t="shared" si="9"/>
        <v/>
      </c>
    </row>
    <row r="635" spans="8:9" x14ac:dyDescent="0.3">
      <c r="H635" s="7" t="str" cm="1">
        <f t="array" ref="H635">_xlfn.IFS(D635="","",D635="Grand Total",SUM(H$2:H634),TRUE,IF(COUNTIF(Transactions[Custom Category],D635)&gt;0,SUMIFS(Transactions[Amount],Transactions[Custom Category],D635,Transactions[Month],Sel_Month),SUMIFS(Transactions[Amount],Transactions[Name],D635,Transactions[Month],Sel_Month)))</f>
        <v/>
      </c>
      <c r="I635" s="8" t="str">
        <f t="shared" si="9"/>
        <v/>
      </c>
    </row>
    <row r="636" spans="8:9" x14ac:dyDescent="0.3">
      <c r="H636" s="7" t="str" cm="1">
        <f t="array" ref="H636">_xlfn.IFS(D636="","",D636="Grand Total",SUM(H$2:H635),TRUE,IF(COUNTIF(Transactions[Custom Category],D636)&gt;0,SUMIFS(Transactions[Amount],Transactions[Custom Category],D636,Transactions[Month],Sel_Month),SUMIFS(Transactions[Amount],Transactions[Name],D636,Transactions[Month],Sel_Month)))</f>
        <v/>
      </c>
      <c r="I636" s="8" t="str">
        <f t="shared" si="9"/>
        <v/>
      </c>
    </row>
    <row r="637" spans="8:9" x14ac:dyDescent="0.3">
      <c r="H637" s="7" t="str" cm="1">
        <f t="array" ref="H637">_xlfn.IFS(D637="","",D637="Grand Total",SUM(H$2:H636),TRUE,IF(COUNTIF(Transactions[Custom Category],D637)&gt;0,SUMIFS(Transactions[Amount],Transactions[Custom Category],D637,Transactions[Month],Sel_Month),SUMIFS(Transactions[Amount],Transactions[Name],D637,Transactions[Month],Sel_Month)))</f>
        <v/>
      </c>
      <c r="I637" s="8" t="str">
        <f t="shared" si="9"/>
        <v/>
      </c>
    </row>
    <row r="638" spans="8:9" x14ac:dyDescent="0.3">
      <c r="H638" s="7" t="str" cm="1">
        <f t="array" ref="H638">_xlfn.IFS(D638="","",D638="Grand Total",SUM(H$2:H637),TRUE,IF(COUNTIF(Transactions[Custom Category],D638)&gt;0,SUMIFS(Transactions[Amount],Transactions[Custom Category],D638,Transactions[Month],Sel_Month),SUMIFS(Transactions[Amount],Transactions[Name],D638,Transactions[Month],Sel_Month)))</f>
        <v/>
      </c>
      <c r="I638" s="8" t="str">
        <f t="shared" si="9"/>
        <v/>
      </c>
    </row>
    <row r="639" spans="8:9" x14ac:dyDescent="0.3">
      <c r="H639" s="7" t="str" cm="1">
        <f t="array" ref="H639">_xlfn.IFS(D639="","",D639="Grand Total",SUM(H$2:H638),TRUE,IF(COUNTIF(Transactions[Custom Category],D639)&gt;0,SUMIFS(Transactions[Amount],Transactions[Custom Category],D639,Transactions[Month],Sel_Month),SUMIFS(Transactions[Amount],Transactions[Name],D639,Transactions[Month],Sel_Month)))</f>
        <v/>
      </c>
      <c r="I639" s="8" t="str">
        <f t="shared" si="9"/>
        <v/>
      </c>
    </row>
    <row r="640" spans="8:9" x14ac:dyDescent="0.3">
      <c r="H640" s="7" t="str" cm="1">
        <f t="array" ref="H640">_xlfn.IFS(D640="","",D640="Grand Total",SUM(H$2:H639),TRUE,IF(COUNTIF(Transactions[Custom Category],D640)&gt;0,SUMIFS(Transactions[Amount],Transactions[Custom Category],D640,Transactions[Month],Sel_Month),SUMIFS(Transactions[Amount],Transactions[Name],D640,Transactions[Month],Sel_Month)))</f>
        <v/>
      </c>
      <c r="I640" s="8" t="str">
        <f t="shared" si="9"/>
        <v/>
      </c>
    </row>
    <row r="641" spans="8:9" x14ac:dyDescent="0.3">
      <c r="H641" s="7" t="str" cm="1">
        <f t="array" ref="H641">_xlfn.IFS(D641="","",D641="Grand Total",SUM(H$2:H640),TRUE,IF(COUNTIF(Transactions[Custom Category],D641)&gt;0,SUMIFS(Transactions[Amount],Transactions[Custom Category],D641,Transactions[Month],Sel_Month),SUMIFS(Transactions[Amount],Transactions[Name],D641,Transactions[Month],Sel_Month)))</f>
        <v/>
      </c>
      <c r="I641" s="8" t="str">
        <f t="shared" si="9"/>
        <v/>
      </c>
    </row>
    <row r="642" spans="8:9" x14ac:dyDescent="0.3">
      <c r="H642" s="7" t="str" cm="1">
        <f t="array" ref="H642">_xlfn.IFS(D642="","",D642="Grand Total",SUM(H$2:H641),TRUE,IF(COUNTIF(Transactions[Custom Category],D642)&gt;0,SUMIFS(Transactions[Amount],Transactions[Custom Category],D642,Transactions[Month],Sel_Month),SUMIFS(Transactions[Amount],Transactions[Name],D642,Transactions[Month],Sel_Month)))</f>
        <v/>
      </c>
      <c r="I642" s="8" t="str">
        <f t="shared" si="9"/>
        <v/>
      </c>
    </row>
    <row r="643" spans="8:9" x14ac:dyDescent="0.3">
      <c r="H643" s="7" t="str" cm="1">
        <f t="array" ref="H643">_xlfn.IFS(D643="","",D643="Grand Total",SUM(H$2:H642),TRUE,IF(COUNTIF(Transactions[Custom Category],D643)&gt;0,SUMIFS(Transactions[Amount],Transactions[Custom Category],D643,Transactions[Month],Sel_Month),SUMIFS(Transactions[Amount],Transactions[Name],D643,Transactions[Month],Sel_Month)))</f>
        <v/>
      </c>
      <c r="I643" s="8" t="str">
        <f t="shared" si="9"/>
        <v/>
      </c>
    </row>
    <row r="644" spans="8:9" x14ac:dyDescent="0.3">
      <c r="H644" s="7" t="str" cm="1">
        <f t="array" ref="H644">_xlfn.IFS(D644="","",D644="Grand Total",SUM(H$2:H643),TRUE,IF(COUNTIF(Transactions[Custom Category],D644)&gt;0,SUMIFS(Transactions[Amount],Transactions[Custom Category],D644,Transactions[Month],Sel_Month),SUMIFS(Transactions[Amount],Transactions[Name],D644,Transactions[Month],Sel_Month)))</f>
        <v/>
      </c>
      <c r="I644" s="8" t="str">
        <f t="shared" ref="I644:I707" si="10">IF(F644="","",IF(F644=0,0,1-((F644-H644)/F644)))</f>
        <v/>
      </c>
    </row>
    <row r="645" spans="8:9" x14ac:dyDescent="0.3">
      <c r="H645" s="7" t="str" cm="1">
        <f t="array" ref="H645">_xlfn.IFS(D645="","",D645="Grand Total",SUM(H$2:H644),TRUE,IF(COUNTIF(Transactions[Custom Category],D645)&gt;0,SUMIFS(Transactions[Amount],Transactions[Custom Category],D645,Transactions[Month],Sel_Month),SUMIFS(Transactions[Amount],Transactions[Name],D645,Transactions[Month],Sel_Month)))</f>
        <v/>
      </c>
      <c r="I645" s="8" t="str">
        <f t="shared" si="10"/>
        <v/>
      </c>
    </row>
    <row r="646" spans="8:9" x14ac:dyDescent="0.3">
      <c r="H646" s="7" t="str" cm="1">
        <f t="array" ref="H646">_xlfn.IFS(D646="","",D646="Grand Total",SUM(H$2:H645),TRUE,IF(COUNTIF(Transactions[Custom Category],D646)&gt;0,SUMIFS(Transactions[Amount],Transactions[Custom Category],D646,Transactions[Month],Sel_Month),SUMIFS(Transactions[Amount],Transactions[Name],D646,Transactions[Month],Sel_Month)))</f>
        <v/>
      </c>
      <c r="I646" s="8" t="str">
        <f t="shared" si="10"/>
        <v/>
      </c>
    </row>
    <row r="647" spans="8:9" x14ac:dyDescent="0.3">
      <c r="H647" s="7" t="str" cm="1">
        <f t="array" ref="H647">_xlfn.IFS(D647="","",D647="Grand Total",SUM(H$2:H646),TRUE,IF(COUNTIF(Transactions[Custom Category],D647)&gt;0,SUMIFS(Transactions[Amount],Transactions[Custom Category],D647,Transactions[Month],Sel_Month),SUMIFS(Transactions[Amount],Transactions[Name],D647,Transactions[Month],Sel_Month)))</f>
        <v/>
      </c>
      <c r="I647" s="8" t="str">
        <f t="shared" si="10"/>
        <v/>
      </c>
    </row>
    <row r="648" spans="8:9" x14ac:dyDescent="0.3">
      <c r="H648" s="7" t="str" cm="1">
        <f t="array" ref="H648">_xlfn.IFS(D648="","",D648="Grand Total",SUM(H$2:H647),TRUE,IF(COUNTIF(Transactions[Custom Category],D648)&gt;0,SUMIFS(Transactions[Amount],Transactions[Custom Category],D648,Transactions[Month],Sel_Month),SUMIFS(Transactions[Amount],Transactions[Name],D648,Transactions[Month],Sel_Month)))</f>
        <v/>
      </c>
      <c r="I648" s="8" t="str">
        <f t="shared" si="10"/>
        <v/>
      </c>
    </row>
    <row r="649" spans="8:9" x14ac:dyDescent="0.3">
      <c r="H649" s="7" t="str" cm="1">
        <f t="array" ref="H649">_xlfn.IFS(D649="","",D649="Grand Total",SUM(H$2:H648),TRUE,IF(COUNTIF(Transactions[Custom Category],D649)&gt;0,SUMIFS(Transactions[Amount],Transactions[Custom Category],D649,Transactions[Month],Sel_Month),SUMIFS(Transactions[Amount],Transactions[Name],D649,Transactions[Month],Sel_Month)))</f>
        <v/>
      </c>
      <c r="I649" s="8" t="str">
        <f t="shared" si="10"/>
        <v/>
      </c>
    </row>
    <row r="650" spans="8:9" x14ac:dyDescent="0.3">
      <c r="H650" s="7" t="str" cm="1">
        <f t="array" ref="H650">_xlfn.IFS(D650="","",D650="Grand Total",SUM(H$2:H649),TRUE,IF(COUNTIF(Transactions[Custom Category],D650)&gt;0,SUMIFS(Transactions[Amount],Transactions[Custom Category],D650,Transactions[Month],Sel_Month),SUMIFS(Transactions[Amount],Transactions[Name],D650,Transactions[Month],Sel_Month)))</f>
        <v/>
      </c>
      <c r="I650" s="8" t="str">
        <f t="shared" si="10"/>
        <v/>
      </c>
    </row>
    <row r="651" spans="8:9" x14ac:dyDescent="0.3">
      <c r="H651" s="7" t="str" cm="1">
        <f t="array" ref="H651">_xlfn.IFS(D651="","",D651="Grand Total",SUM(H$2:H650),TRUE,IF(COUNTIF(Transactions[Custom Category],D651)&gt;0,SUMIFS(Transactions[Amount],Transactions[Custom Category],D651,Transactions[Month],Sel_Month),SUMIFS(Transactions[Amount],Transactions[Name],D651,Transactions[Month],Sel_Month)))</f>
        <v/>
      </c>
      <c r="I651" s="8" t="str">
        <f t="shared" si="10"/>
        <v/>
      </c>
    </row>
    <row r="652" spans="8:9" x14ac:dyDescent="0.3">
      <c r="H652" s="7" t="str" cm="1">
        <f t="array" ref="H652">_xlfn.IFS(D652="","",D652="Grand Total",SUM(H$2:H651),TRUE,IF(COUNTIF(Transactions[Custom Category],D652)&gt;0,SUMIFS(Transactions[Amount],Transactions[Custom Category],D652,Transactions[Month],Sel_Month),SUMIFS(Transactions[Amount],Transactions[Name],D652,Transactions[Month],Sel_Month)))</f>
        <v/>
      </c>
      <c r="I652" s="8" t="str">
        <f t="shared" si="10"/>
        <v/>
      </c>
    </row>
    <row r="653" spans="8:9" x14ac:dyDescent="0.3">
      <c r="H653" s="7" t="str" cm="1">
        <f t="array" ref="H653">_xlfn.IFS(D653="","",D653="Grand Total",SUM(H$2:H652),TRUE,IF(COUNTIF(Transactions[Custom Category],D653)&gt;0,SUMIFS(Transactions[Amount],Transactions[Custom Category],D653,Transactions[Month],Sel_Month),SUMIFS(Transactions[Amount],Transactions[Name],D653,Transactions[Month],Sel_Month)))</f>
        <v/>
      </c>
      <c r="I653" s="8" t="str">
        <f t="shared" si="10"/>
        <v/>
      </c>
    </row>
    <row r="654" spans="8:9" x14ac:dyDescent="0.3">
      <c r="H654" s="7" t="str" cm="1">
        <f t="array" ref="H654">_xlfn.IFS(D654="","",D654="Grand Total",SUM(H$2:H653),TRUE,IF(COUNTIF(Transactions[Custom Category],D654)&gt;0,SUMIFS(Transactions[Amount],Transactions[Custom Category],D654,Transactions[Month],Sel_Month),SUMIFS(Transactions[Amount],Transactions[Name],D654,Transactions[Month],Sel_Month)))</f>
        <v/>
      </c>
      <c r="I654" s="8" t="str">
        <f t="shared" si="10"/>
        <v/>
      </c>
    </row>
    <row r="655" spans="8:9" x14ac:dyDescent="0.3">
      <c r="H655" s="7" t="str" cm="1">
        <f t="array" ref="H655">_xlfn.IFS(D655="","",D655="Grand Total",SUM(H$2:H654),TRUE,IF(COUNTIF(Transactions[Custom Category],D655)&gt;0,SUMIFS(Transactions[Amount],Transactions[Custom Category],D655,Transactions[Month],Sel_Month),SUMIFS(Transactions[Amount],Transactions[Name],D655,Transactions[Month],Sel_Month)))</f>
        <v/>
      </c>
      <c r="I655" s="8" t="str">
        <f t="shared" si="10"/>
        <v/>
      </c>
    </row>
    <row r="656" spans="8:9" x14ac:dyDescent="0.3">
      <c r="H656" s="7" t="str" cm="1">
        <f t="array" ref="H656">_xlfn.IFS(D656="","",D656="Grand Total",SUM(H$2:H655),TRUE,IF(COUNTIF(Transactions[Custom Category],D656)&gt;0,SUMIFS(Transactions[Amount],Transactions[Custom Category],D656,Transactions[Month],Sel_Month),SUMIFS(Transactions[Amount],Transactions[Name],D656,Transactions[Month],Sel_Month)))</f>
        <v/>
      </c>
      <c r="I656" s="8" t="str">
        <f t="shared" si="10"/>
        <v/>
      </c>
    </row>
    <row r="657" spans="8:9" x14ac:dyDescent="0.3">
      <c r="H657" s="7" t="str" cm="1">
        <f t="array" ref="H657">_xlfn.IFS(D657="","",D657="Grand Total",SUM(H$2:H656),TRUE,IF(COUNTIF(Transactions[Custom Category],D657)&gt;0,SUMIFS(Transactions[Amount],Transactions[Custom Category],D657,Transactions[Month],Sel_Month),SUMIFS(Transactions[Amount],Transactions[Name],D657,Transactions[Month],Sel_Month)))</f>
        <v/>
      </c>
      <c r="I657" s="8" t="str">
        <f t="shared" si="10"/>
        <v/>
      </c>
    </row>
    <row r="658" spans="8:9" x14ac:dyDescent="0.3">
      <c r="H658" s="7" t="str" cm="1">
        <f t="array" ref="H658">_xlfn.IFS(D658="","",D658="Grand Total",SUM(H$2:H657),TRUE,IF(COUNTIF(Transactions[Custom Category],D658)&gt;0,SUMIFS(Transactions[Amount],Transactions[Custom Category],D658,Transactions[Month],Sel_Month),SUMIFS(Transactions[Amount],Transactions[Name],D658,Transactions[Month],Sel_Month)))</f>
        <v/>
      </c>
      <c r="I658" s="8" t="str">
        <f t="shared" si="10"/>
        <v/>
      </c>
    </row>
    <row r="659" spans="8:9" x14ac:dyDescent="0.3">
      <c r="H659" s="7" t="str" cm="1">
        <f t="array" ref="H659">_xlfn.IFS(D659="","",D659="Grand Total",SUM(H$2:H658),TRUE,IF(COUNTIF(Transactions[Custom Category],D659)&gt;0,SUMIFS(Transactions[Amount],Transactions[Custom Category],D659,Transactions[Month],Sel_Month),SUMIFS(Transactions[Amount],Transactions[Name],D659,Transactions[Month],Sel_Month)))</f>
        <v/>
      </c>
      <c r="I659" s="8" t="str">
        <f t="shared" si="10"/>
        <v/>
      </c>
    </row>
    <row r="660" spans="8:9" x14ac:dyDescent="0.3">
      <c r="H660" s="7" t="str" cm="1">
        <f t="array" ref="H660">_xlfn.IFS(D660="","",D660="Grand Total",SUM(H$2:H659),TRUE,IF(COUNTIF(Transactions[Custom Category],D660)&gt;0,SUMIFS(Transactions[Amount],Transactions[Custom Category],D660,Transactions[Month],Sel_Month),SUMIFS(Transactions[Amount],Transactions[Name],D660,Transactions[Month],Sel_Month)))</f>
        <v/>
      </c>
      <c r="I660" s="8" t="str">
        <f t="shared" si="10"/>
        <v/>
      </c>
    </row>
    <row r="661" spans="8:9" x14ac:dyDescent="0.3">
      <c r="H661" s="7" t="str" cm="1">
        <f t="array" ref="H661">_xlfn.IFS(D661="","",D661="Grand Total",SUM(H$2:H660),TRUE,IF(COUNTIF(Transactions[Custom Category],D661)&gt;0,SUMIFS(Transactions[Amount],Transactions[Custom Category],D661,Transactions[Month],Sel_Month),SUMIFS(Transactions[Amount],Transactions[Name],D661,Transactions[Month],Sel_Month)))</f>
        <v/>
      </c>
      <c r="I661" s="8" t="str">
        <f t="shared" si="10"/>
        <v/>
      </c>
    </row>
    <row r="662" spans="8:9" x14ac:dyDescent="0.3">
      <c r="H662" s="7" t="str" cm="1">
        <f t="array" ref="H662">_xlfn.IFS(D662="","",D662="Grand Total",SUM(H$2:H661),TRUE,IF(COUNTIF(Transactions[Custom Category],D662)&gt;0,SUMIFS(Transactions[Amount],Transactions[Custom Category],D662,Transactions[Month],Sel_Month),SUMIFS(Transactions[Amount],Transactions[Name],D662,Transactions[Month],Sel_Month)))</f>
        <v/>
      </c>
      <c r="I662" s="8" t="str">
        <f t="shared" si="10"/>
        <v/>
      </c>
    </row>
    <row r="663" spans="8:9" x14ac:dyDescent="0.3">
      <c r="H663" s="7" t="str" cm="1">
        <f t="array" ref="H663">_xlfn.IFS(D663="","",D663="Grand Total",SUM(H$2:H662),TRUE,IF(COUNTIF(Transactions[Custom Category],D663)&gt;0,SUMIFS(Transactions[Amount],Transactions[Custom Category],D663,Transactions[Month],Sel_Month),SUMIFS(Transactions[Amount],Transactions[Name],D663,Transactions[Month],Sel_Month)))</f>
        <v/>
      </c>
      <c r="I663" s="8" t="str">
        <f t="shared" si="10"/>
        <v/>
      </c>
    </row>
    <row r="664" spans="8:9" x14ac:dyDescent="0.3">
      <c r="H664" s="7" t="str" cm="1">
        <f t="array" ref="H664">_xlfn.IFS(D664="","",D664="Grand Total",SUM(H$2:H663),TRUE,IF(COUNTIF(Transactions[Custom Category],D664)&gt;0,SUMIFS(Transactions[Amount],Transactions[Custom Category],D664,Transactions[Month],Sel_Month),SUMIFS(Transactions[Amount],Transactions[Name],D664,Transactions[Month],Sel_Month)))</f>
        <v/>
      </c>
      <c r="I664" s="8" t="str">
        <f t="shared" si="10"/>
        <v/>
      </c>
    </row>
    <row r="665" spans="8:9" x14ac:dyDescent="0.3">
      <c r="H665" s="7" t="str" cm="1">
        <f t="array" ref="H665">_xlfn.IFS(D665="","",D665="Grand Total",SUM(H$2:H664),TRUE,IF(COUNTIF(Transactions[Custom Category],D665)&gt;0,SUMIFS(Transactions[Amount],Transactions[Custom Category],D665,Transactions[Month],Sel_Month),SUMIFS(Transactions[Amount],Transactions[Name],D665,Transactions[Month],Sel_Month)))</f>
        <v/>
      </c>
      <c r="I665" s="8" t="str">
        <f t="shared" si="10"/>
        <v/>
      </c>
    </row>
    <row r="666" spans="8:9" x14ac:dyDescent="0.3">
      <c r="H666" s="7" t="str" cm="1">
        <f t="array" ref="H666">_xlfn.IFS(D666="","",D666="Grand Total",SUM(H$2:H665),TRUE,IF(COUNTIF(Transactions[Custom Category],D666)&gt;0,SUMIFS(Transactions[Amount],Transactions[Custom Category],D666,Transactions[Month],Sel_Month),SUMIFS(Transactions[Amount],Transactions[Name],D666,Transactions[Month],Sel_Month)))</f>
        <v/>
      </c>
      <c r="I666" s="8" t="str">
        <f t="shared" si="10"/>
        <v/>
      </c>
    </row>
    <row r="667" spans="8:9" x14ac:dyDescent="0.3">
      <c r="H667" s="7" t="str" cm="1">
        <f t="array" ref="H667">_xlfn.IFS(D667="","",D667="Grand Total",SUM(H$2:H666),TRUE,IF(COUNTIF(Transactions[Custom Category],D667)&gt;0,SUMIFS(Transactions[Amount],Transactions[Custom Category],D667,Transactions[Month],Sel_Month),SUMIFS(Transactions[Amount],Transactions[Name],D667,Transactions[Month],Sel_Month)))</f>
        <v/>
      </c>
      <c r="I667" s="8" t="str">
        <f t="shared" si="10"/>
        <v/>
      </c>
    </row>
    <row r="668" spans="8:9" x14ac:dyDescent="0.3">
      <c r="H668" s="7" t="str" cm="1">
        <f t="array" ref="H668">_xlfn.IFS(D668="","",D668="Grand Total",SUM(H$2:H667),TRUE,IF(COUNTIF(Transactions[Custom Category],D668)&gt;0,SUMIFS(Transactions[Amount],Transactions[Custom Category],D668,Transactions[Month],Sel_Month),SUMIFS(Transactions[Amount],Transactions[Name],D668,Transactions[Month],Sel_Month)))</f>
        <v/>
      </c>
      <c r="I668" s="8" t="str">
        <f t="shared" si="10"/>
        <v/>
      </c>
    </row>
    <row r="669" spans="8:9" x14ac:dyDescent="0.3">
      <c r="H669" s="7" t="str" cm="1">
        <f t="array" ref="H669">_xlfn.IFS(D669="","",D669="Grand Total",SUM(H$2:H668),TRUE,IF(COUNTIF(Transactions[Custom Category],D669)&gt;0,SUMIFS(Transactions[Amount],Transactions[Custom Category],D669,Transactions[Month],Sel_Month),SUMIFS(Transactions[Amount],Transactions[Name],D669,Transactions[Month],Sel_Month)))</f>
        <v/>
      </c>
      <c r="I669" s="8" t="str">
        <f t="shared" si="10"/>
        <v/>
      </c>
    </row>
    <row r="670" spans="8:9" x14ac:dyDescent="0.3">
      <c r="H670" s="7" t="str" cm="1">
        <f t="array" ref="H670">_xlfn.IFS(D670="","",D670="Grand Total",SUM(H$2:H669),TRUE,IF(COUNTIF(Transactions[Custom Category],D670)&gt;0,SUMIFS(Transactions[Amount],Transactions[Custom Category],D670,Transactions[Month],Sel_Month),SUMIFS(Transactions[Amount],Transactions[Name],D670,Transactions[Month],Sel_Month)))</f>
        <v/>
      </c>
      <c r="I670" s="8" t="str">
        <f t="shared" si="10"/>
        <v/>
      </c>
    </row>
    <row r="671" spans="8:9" x14ac:dyDescent="0.3">
      <c r="H671" s="7" t="str" cm="1">
        <f t="array" ref="H671">_xlfn.IFS(D671="","",D671="Grand Total",SUM(H$2:H670),TRUE,IF(COUNTIF(Transactions[Custom Category],D671)&gt;0,SUMIFS(Transactions[Amount],Transactions[Custom Category],D671,Transactions[Month],Sel_Month),SUMIFS(Transactions[Amount],Transactions[Name],D671,Transactions[Month],Sel_Month)))</f>
        <v/>
      </c>
      <c r="I671" s="8" t="str">
        <f t="shared" si="10"/>
        <v/>
      </c>
    </row>
    <row r="672" spans="8:9" x14ac:dyDescent="0.3">
      <c r="H672" s="7" t="str" cm="1">
        <f t="array" ref="H672">_xlfn.IFS(D672="","",D672="Grand Total",SUM(H$2:H671),TRUE,IF(COUNTIF(Transactions[Custom Category],D672)&gt;0,SUMIFS(Transactions[Amount],Transactions[Custom Category],D672,Transactions[Month],Sel_Month),SUMIFS(Transactions[Amount],Transactions[Name],D672,Transactions[Month],Sel_Month)))</f>
        <v/>
      </c>
      <c r="I672" s="8" t="str">
        <f t="shared" si="10"/>
        <v/>
      </c>
    </row>
    <row r="673" spans="8:9" x14ac:dyDescent="0.3">
      <c r="H673" s="7" t="str" cm="1">
        <f t="array" ref="H673">_xlfn.IFS(D673="","",D673="Grand Total",SUM(H$2:H672),TRUE,IF(COUNTIF(Transactions[Custom Category],D673)&gt;0,SUMIFS(Transactions[Amount],Transactions[Custom Category],D673,Transactions[Month],Sel_Month),SUMIFS(Transactions[Amount],Transactions[Name],D673,Transactions[Month],Sel_Month)))</f>
        <v/>
      </c>
      <c r="I673" s="8" t="str">
        <f t="shared" si="10"/>
        <v/>
      </c>
    </row>
    <row r="674" spans="8:9" x14ac:dyDescent="0.3">
      <c r="H674" s="7" t="str" cm="1">
        <f t="array" ref="H674">_xlfn.IFS(D674="","",D674="Grand Total",SUM(H$2:H673),TRUE,IF(COUNTIF(Transactions[Custom Category],D674)&gt;0,SUMIFS(Transactions[Amount],Transactions[Custom Category],D674,Transactions[Month],Sel_Month),SUMIFS(Transactions[Amount],Transactions[Name],D674,Transactions[Month],Sel_Month)))</f>
        <v/>
      </c>
      <c r="I674" s="8" t="str">
        <f t="shared" si="10"/>
        <v/>
      </c>
    </row>
    <row r="675" spans="8:9" x14ac:dyDescent="0.3">
      <c r="H675" s="7" t="str" cm="1">
        <f t="array" ref="H675">_xlfn.IFS(D675="","",D675="Grand Total",SUM(H$2:H674),TRUE,IF(COUNTIF(Transactions[Custom Category],D675)&gt;0,SUMIFS(Transactions[Amount],Transactions[Custom Category],D675,Transactions[Month],Sel_Month),SUMIFS(Transactions[Amount],Transactions[Name],D675,Transactions[Month],Sel_Month)))</f>
        <v/>
      </c>
      <c r="I675" s="8" t="str">
        <f t="shared" si="10"/>
        <v/>
      </c>
    </row>
    <row r="676" spans="8:9" x14ac:dyDescent="0.3">
      <c r="H676" s="7" t="str" cm="1">
        <f t="array" ref="H676">_xlfn.IFS(D676="","",D676="Grand Total",SUM(H$2:H675),TRUE,IF(COUNTIF(Transactions[Custom Category],D676)&gt;0,SUMIFS(Transactions[Amount],Transactions[Custom Category],D676,Transactions[Month],Sel_Month),SUMIFS(Transactions[Amount],Transactions[Name],D676,Transactions[Month],Sel_Month)))</f>
        <v/>
      </c>
      <c r="I676" s="8" t="str">
        <f t="shared" si="10"/>
        <v/>
      </c>
    </row>
    <row r="677" spans="8:9" x14ac:dyDescent="0.3">
      <c r="H677" s="7" t="str" cm="1">
        <f t="array" ref="H677">_xlfn.IFS(D677="","",D677="Grand Total",SUM(H$2:H676),TRUE,IF(COUNTIF(Transactions[Custom Category],D677)&gt;0,SUMIFS(Transactions[Amount],Transactions[Custom Category],D677,Transactions[Month],Sel_Month),SUMIFS(Transactions[Amount],Transactions[Name],D677,Transactions[Month],Sel_Month)))</f>
        <v/>
      </c>
      <c r="I677" s="8" t="str">
        <f t="shared" si="10"/>
        <v/>
      </c>
    </row>
    <row r="678" spans="8:9" x14ac:dyDescent="0.3">
      <c r="H678" s="7" t="str" cm="1">
        <f t="array" ref="H678">_xlfn.IFS(D678="","",D678="Grand Total",SUM(H$2:H677),TRUE,IF(COUNTIF(Transactions[Custom Category],D678)&gt;0,SUMIFS(Transactions[Amount],Transactions[Custom Category],D678,Transactions[Month],Sel_Month),SUMIFS(Transactions[Amount],Transactions[Name],D678,Transactions[Month],Sel_Month)))</f>
        <v/>
      </c>
      <c r="I678" s="8" t="str">
        <f t="shared" si="10"/>
        <v/>
      </c>
    </row>
    <row r="679" spans="8:9" x14ac:dyDescent="0.3">
      <c r="H679" s="7" t="str" cm="1">
        <f t="array" ref="H679">_xlfn.IFS(D679="","",D679="Grand Total",SUM(H$2:H678),TRUE,IF(COUNTIF(Transactions[Custom Category],D679)&gt;0,SUMIFS(Transactions[Amount],Transactions[Custom Category],D679,Transactions[Month],Sel_Month),SUMIFS(Transactions[Amount],Transactions[Name],D679,Transactions[Month],Sel_Month)))</f>
        <v/>
      </c>
      <c r="I679" s="8" t="str">
        <f t="shared" si="10"/>
        <v/>
      </c>
    </row>
    <row r="680" spans="8:9" x14ac:dyDescent="0.3">
      <c r="H680" s="7" t="str" cm="1">
        <f t="array" ref="H680">_xlfn.IFS(D680="","",D680="Grand Total",SUM(H$2:H679),TRUE,IF(COUNTIF(Transactions[Custom Category],D680)&gt;0,SUMIFS(Transactions[Amount],Transactions[Custom Category],D680,Transactions[Month],Sel_Month),SUMIFS(Transactions[Amount],Transactions[Name],D680,Transactions[Month],Sel_Month)))</f>
        <v/>
      </c>
      <c r="I680" s="8" t="str">
        <f t="shared" si="10"/>
        <v/>
      </c>
    </row>
    <row r="681" spans="8:9" x14ac:dyDescent="0.3">
      <c r="H681" s="7" t="str" cm="1">
        <f t="array" ref="H681">_xlfn.IFS(D681="","",D681="Grand Total",SUM(H$2:H680),TRUE,IF(COUNTIF(Transactions[Custom Category],D681)&gt;0,SUMIFS(Transactions[Amount],Transactions[Custom Category],D681,Transactions[Month],Sel_Month),SUMIFS(Transactions[Amount],Transactions[Name],D681,Transactions[Month],Sel_Month)))</f>
        <v/>
      </c>
      <c r="I681" s="8" t="str">
        <f t="shared" si="10"/>
        <v/>
      </c>
    </row>
    <row r="682" spans="8:9" x14ac:dyDescent="0.3">
      <c r="H682" s="7" t="str" cm="1">
        <f t="array" ref="H682">_xlfn.IFS(D682="","",D682="Grand Total",SUM(H$2:H681),TRUE,IF(COUNTIF(Transactions[Custom Category],D682)&gt;0,SUMIFS(Transactions[Amount],Transactions[Custom Category],D682,Transactions[Month],Sel_Month),SUMIFS(Transactions[Amount],Transactions[Name],D682,Transactions[Month],Sel_Month)))</f>
        <v/>
      </c>
      <c r="I682" s="8" t="str">
        <f t="shared" si="10"/>
        <v/>
      </c>
    </row>
    <row r="683" spans="8:9" x14ac:dyDescent="0.3">
      <c r="H683" s="7" t="str" cm="1">
        <f t="array" ref="H683">_xlfn.IFS(D683="","",D683="Grand Total",SUM(H$2:H682),TRUE,IF(COUNTIF(Transactions[Custom Category],D683)&gt;0,SUMIFS(Transactions[Amount],Transactions[Custom Category],D683,Transactions[Month],Sel_Month),SUMIFS(Transactions[Amount],Transactions[Name],D683,Transactions[Month],Sel_Month)))</f>
        <v/>
      </c>
      <c r="I683" s="8" t="str">
        <f t="shared" si="10"/>
        <v/>
      </c>
    </row>
    <row r="684" spans="8:9" x14ac:dyDescent="0.3">
      <c r="H684" s="7" t="str" cm="1">
        <f t="array" ref="H684">_xlfn.IFS(D684="","",D684="Grand Total",SUM(H$2:H683),TRUE,IF(COUNTIF(Transactions[Custom Category],D684)&gt;0,SUMIFS(Transactions[Amount],Transactions[Custom Category],D684,Transactions[Month],Sel_Month),SUMIFS(Transactions[Amount],Transactions[Name],D684,Transactions[Month],Sel_Month)))</f>
        <v/>
      </c>
      <c r="I684" s="8" t="str">
        <f t="shared" si="10"/>
        <v/>
      </c>
    </row>
    <row r="685" spans="8:9" x14ac:dyDescent="0.3">
      <c r="H685" s="7" t="str" cm="1">
        <f t="array" ref="H685">_xlfn.IFS(D685="","",D685="Grand Total",SUM(H$2:H684),TRUE,IF(COUNTIF(Transactions[Custom Category],D685)&gt;0,SUMIFS(Transactions[Amount],Transactions[Custom Category],D685,Transactions[Month],Sel_Month),SUMIFS(Transactions[Amount],Transactions[Name],D685,Transactions[Month],Sel_Month)))</f>
        <v/>
      </c>
      <c r="I685" s="8" t="str">
        <f t="shared" si="10"/>
        <v/>
      </c>
    </row>
    <row r="686" spans="8:9" x14ac:dyDescent="0.3">
      <c r="H686" s="7" t="str" cm="1">
        <f t="array" ref="H686">_xlfn.IFS(D686="","",D686="Grand Total",SUM(H$2:H685),TRUE,IF(COUNTIF(Transactions[Custom Category],D686)&gt;0,SUMIFS(Transactions[Amount],Transactions[Custom Category],D686,Transactions[Month],Sel_Month),SUMIFS(Transactions[Amount],Transactions[Name],D686,Transactions[Month],Sel_Month)))</f>
        <v/>
      </c>
      <c r="I686" s="8" t="str">
        <f t="shared" si="10"/>
        <v/>
      </c>
    </row>
    <row r="687" spans="8:9" x14ac:dyDescent="0.3">
      <c r="H687" s="7" t="str" cm="1">
        <f t="array" ref="H687">_xlfn.IFS(D687="","",D687="Grand Total",SUM(H$2:H686),TRUE,IF(COUNTIF(Transactions[Custom Category],D687)&gt;0,SUMIFS(Transactions[Amount],Transactions[Custom Category],D687,Transactions[Month],Sel_Month),SUMIFS(Transactions[Amount],Transactions[Name],D687,Transactions[Month],Sel_Month)))</f>
        <v/>
      </c>
      <c r="I687" s="8" t="str">
        <f t="shared" si="10"/>
        <v/>
      </c>
    </row>
    <row r="688" spans="8:9" x14ac:dyDescent="0.3">
      <c r="H688" s="7" t="str" cm="1">
        <f t="array" ref="H688">_xlfn.IFS(D688="","",D688="Grand Total",SUM(H$2:H687),TRUE,IF(COUNTIF(Transactions[Custom Category],D688)&gt;0,SUMIFS(Transactions[Amount],Transactions[Custom Category],D688,Transactions[Month],Sel_Month),SUMIFS(Transactions[Amount],Transactions[Name],D688,Transactions[Month],Sel_Month)))</f>
        <v/>
      </c>
      <c r="I688" s="8" t="str">
        <f t="shared" si="10"/>
        <v/>
      </c>
    </row>
    <row r="689" spans="8:9" x14ac:dyDescent="0.3">
      <c r="H689" s="7" t="str" cm="1">
        <f t="array" ref="H689">_xlfn.IFS(D689="","",D689="Grand Total",SUM(H$2:H688),TRUE,IF(COUNTIF(Transactions[Custom Category],D689)&gt;0,SUMIFS(Transactions[Amount],Transactions[Custom Category],D689,Transactions[Month],Sel_Month),SUMIFS(Transactions[Amount],Transactions[Name],D689,Transactions[Month],Sel_Month)))</f>
        <v/>
      </c>
      <c r="I689" s="8" t="str">
        <f t="shared" si="10"/>
        <v/>
      </c>
    </row>
    <row r="690" spans="8:9" x14ac:dyDescent="0.3">
      <c r="H690" s="7" t="str" cm="1">
        <f t="array" ref="H690">_xlfn.IFS(D690="","",D690="Grand Total",SUM(H$2:H689),TRUE,IF(COUNTIF(Transactions[Custom Category],D690)&gt;0,SUMIFS(Transactions[Amount],Transactions[Custom Category],D690,Transactions[Month],Sel_Month),SUMIFS(Transactions[Amount],Transactions[Name],D690,Transactions[Month],Sel_Month)))</f>
        <v/>
      </c>
      <c r="I690" s="8" t="str">
        <f t="shared" si="10"/>
        <v/>
      </c>
    </row>
    <row r="691" spans="8:9" x14ac:dyDescent="0.3">
      <c r="H691" s="7" t="str" cm="1">
        <f t="array" ref="H691">_xlfn.IFS(D691="","",D691="Grand Total",SUM(H$2:H690),TRUE,IF(COUNTIF(Transactions[Custom Category],D691)&gt;0,SUMIFS(Transactions[Amount],Transactions[Custom Category],D691,Transactions[Month],Sel_Month),SUMIFS(Transactions[Amount],Transactions[Name],D691,Transactions[Month],Sel_Month)))</f>
        <v/>
      </c>
      <c r="I691" s="8" t="str">
        <f t="shared" si="10"/>
        <v/>
      </c>
    </row>
    <row r="692" spans="8:9" x14ac:dyDescent="0.3">
      <c r="H692" s="7" t="str" cm="1">
        <f t="array" ref="H692">_xlfn.IFS(D692="","",D692="Grand Total",SUM(H$2:H691),TRUE,IF(COUNTIF(Transactions[Custom Category],D692)&gt;0,SUMIFS(Transactions[Amount],Transactions[Custom Category],D692,Transactions[Month],Sel_Month),SUMIFS(Transactions[Amount],Transactions[Name],D692,Transactions[Month],Sel_Month)))</f>
        <v/>
      </c>
      <c r="I692" s="8" t="str">
        <f t="shared" si="10"/>
        <v/>
      </c>
    </row>
    <row r="693" spans="8:9" x14ac:dyDescent="0.3">
      <c r="H693" s="7" t="str" cm="1">
        <f t="array" ref="H693">_xlfn.IFS(D693="","",D693="Grand Total",SUM(H$2:H692),TRUE,IF(COUNTIF(Transactions[Custom Category],D693)&gt;0,SUMIFS(Transactions[Amount],Transactions[Custom Category],D693,Transactions[Month],Sel_Month),SUMIFS(Transactions[Amount],Transactions[Name],D693,Transactions[Month],Sel_Month)))</f>
        <v/>
      </c>
      <c r="I693" s="8" t="str">
        <f t="shared" si="10"/>
        <v/>
      </c>
    </row>
    <row r="694" spans="8:9" x14ac:dyDescent="0.3">
      <c r="H694" s="7" t="str" cm="1">
        <f t="array" ref="H694">_xlfn.IFS(D694="","",D694="Grand Total",SUM(H$2:H693),TRUE,IF(COUNTIF(Transactions[Custom Category],D694)&gt;0,SUMIFS(Transactions[Amount],Transactions[Custom Category],D694,Transactions[Month],Sel_Month),SUMIFS(Transactions[Amount],Transactions[Name],D694,Transactions[Month],Sel_Month)))</f>
        <v/>
      </c>
      <c r="I694" s="8" t="str">
        <f t="shared" si="10"/>
        <v/>
      </c>
    </row>
    <row r="695" spans="8:9" x14ac:dyDescent="0.3">
      <c r="H695" s="7" t="str" cm="1">
        <f t="array" ref="H695">_xlfn.IFS(D695="","",D695="Grand Total",SUM(H$2:H694),TRUE,IF(COUNTIF(Transactions[Custom Category],D695)&gt;0,SUMIFS(Transactions[Amount],Transactions[Custom Category],D695,Transactions[Month],Sel_Month),SUMIFS(Transactions[Amount],Transactions[Name],D695,Transactions[Month],Sel_Month)))</f>
        <v/>
      </c>
      <c r="I695" s="8" t="str">
        <f t="shared" si="10"/>
        <v/>
      </c>
    </row>
    <row r="696" spans="8:9" x14ac:dyDescent="0.3">
      <c r="H696" s="7" t="str" cm="1">
        <f t="array" ref="H696">_xlfn.IFS(D696="","",D696="Grand Total",SUM(H$2:H695),TRUE,IF(COUNTIF(Transactions[Custom Category],D696)&gt;0,SUMIFS(Transactions[Amount],Transactions[Custom Category],D696,Transactions[Month],Sel_Month),SUMIFS(Transactions[Amount],Transactions[Name],D696,Transactions[Month],Sel_Month)))</f>
        <v/>
      </c>
      <c r="I696" s="8" t="str">
        <f t="shared" si="10"/>
        <v/>
      </c>
    </row>
    <row r="697" spans="8:9" x14ac:dyDescent="0.3">
      <c r="H697" s="7" t="str" cm="1">
        <f t="array" ref="H697">_xlfn.IFS(D697="","",D697="Grand Total",SUM(H$2:H696),TRUE,IF(COUNTIF(Transactions[Custom Category],D697)&gt;0,SUMIFS(Transactions[Amount],Transactions[Custom Category],D697,Transactions[Month],Sel_Month),SUMIFS(Transactions[Amount],Transactions[Name],D697,Transactions[Month],Sel_Month)))</f>
        <v/>
      </c>
      <c r="I697" s="8" t="str">
        <f t="shared" si="10"/>
        <v/>
      </c>
    </row>
    <row r="698" spans="8:9" x14ac:dyDescent="0.3">
      <c r="H698" s="7" t="str" cm="1">
        <f t="array" ref="H698">_xlfn.IFS(D698="","",D698="Grand Total",SUM(H$2:H697),TRUE,IF(COUNTIF(Transactions[Custom Category],D698)&gt;0,SUMIFS(Transactions[Amount],Transactions[Custom Category],D698,Transactions[Month],Sel_Month),SUMIFS(Transactions[Amount],Transactions[Name],D698,Transactions[Month],Sel_Month)))</f>
        <v/>
      </c>
      <c r="I698" s="8" t="str">
        <f t="shared" si="10"/>
        <v/>
      </c>
    </row>
    <row r="699" spans="8:9" x14ac:dyDescent="0.3">
      <c r="H699" s="7" t="str" cm="1">
        <f t="array" ref="H699">_xlfn.IFS(D699="","",D699="Grand Total",SUM(H$2:H698),TRUE,IF(COUNTIF(Transactions[Custom Category],D699)&gt;0,SUMIFS(Transactions[Amount],Transactions[Custom Category],D699,Transactions[Month],Sel_Month),SUMIFS(Transactions[Amount],Transactions[Name],D699,Transactions[Month],Sel_Month)))</f>
        <v/>
      </c>
      <c r="I699" s="8" t="str">
        <f t="shared" si="10"/>
        <v/>
      </c>
    </row>
    <row r="700" spans="8:9" x14ac:dyDescent="0.3">
      <c r="H700" s="7" t="str" cm="1">
        <f t="array" ref="H700">_xlfn.IFS(D700="","",D700="Grand Total",SUM(H$2:H699),TRUE,IF(COUNTIF(Transactions[Custom Category],D700)&gt;0,SUMIFS(Transactions[Amount],Transactions[Custom Category],D700,Transactions[Month],Sel_Month),SUMIFS(Transactions[Amount],Transactions[Name],D700,Transactions[Month],Sel_Month)))</f>
        <v/>
      </c>
      <c r="I700" s="8" t="str">
        <f t="shared" si="10"/>
        <v/>
      </c>
    </row>
    <row r="701" spans="8:9" x14ac:dyDescent="0.3">
      <c r="H701" s="7" t="str" cm="1">
        <f t="array" ref="H701">_xlfn.IFS(D701="","",D701="Grand Total",SUM(H$2:H700),TRUE,IF(COUNTIF(Transactions[Custom Category],D701)&gt;0,SUMIFS(Transactions[Amount],Transactions[Custom Category],D701,Transactions[Month],Sel_Month),SUMIFS(Transactions[Amount],Transactions[Name],D701,Transactions[Month],Sel_Month)))</f>
        <v/>
      </c>
      <c r="I701" s="8" t="str">
        <f t="shared" si="10"/>
        <v/>
      </c>
    </row>
    <row r="702" spans="8:9" x14ac:dyDescent="0.3">
      <c r="H702" s="7" t="str" cm="1">
        <f t="array" ref="H702">_xlfn.IFS(D702="","",D702="Grand Total",SUM(H$2:H701),TRUE,IF(COUNTIF(Transactions[Custom Category],D702)&gt;0,SUMIFS(Transactions[Amount],Transactions[Custom Category],D702,Transactions[Month],Sel_Month),SUMIFS(Transactions[Amount],Transactions[Name],D702,Transactions[Month],Sel_Month)))</f>
        <v/>
      </c>
      <c r="I702" s="8" t="str">
        <f t="shared" si="10"/>
        <v/>
      </c>
    </row>
    <row r="703" spans="8:9" x14ac:dyDescent="0.3">
      <c r="H703" s="7" t="str" cm="1">
        <f t="array" ref="H703">_xlfn.IFS(D703="","",D703="Grand Total",SUM(H$2:H702),TRUE,IF(COUNTIF(Transactions[Custom Category],D703)&gt;0,SUMIFS(Transactions[Amount],Transactions[Custom Category],D703,Transactions[Month],Sel_Month),SUMIFS(Transactions[Amount],Transactions[Name],D703,Transactions[Month],Sel_Month)))</f>
        <v/>
      </c>
      <c r="I703" s="8" t="str">
        <f t="shared" si="10"/>
        <v/>
      </c>
    </row>
    <row r="704" spans="8:9" x14ac:dyDescent="0.3">
      <c r="H704" s="7" t="str" cm="1">
        <f t="array" ref="H704">_xlfn.IFS(D704="","",D704="Grand Total",SUM(H$2:H703),TRUE,IF(COUNTIF(Transactions[Custom Category],D704)&gt;0,SUMIFS(Transactions[Amount],Transactions[Custom Category],D704,Transactions[Month],Sel_Month),SUMIFS(Transactions[Amount],Transactions[Name],D704,Transactions[Month],Sel_Month)))</f>
        <v/>
      </c>
      <c r="I704" s="8" t="str">
        <f t="shared" si="10"/>
        <v/>
      </c>
    </row>
    <row r="705" spans="8:9" x14ac:dyDescent="0.3">
      <c r="H705" s="7" t="str" cm="1">
        <f t="array" ref="H705">_xlfn.IFS(D705="","",D705="Grand Total",SUM(H$2:H704),TRUE,IF(COUNTIF(Transactions[Custom Category],D705)&gt;0,SUMIFS(Transactions[Amount],Transactions[Custom Category],D705,Transactions[Month],Sel_Month),SUMIFS(Transactions[Amount],Transactions[Name],D705,Transactions[Month],Sel_Month)))</f>
        <v/>
      </c>
      <c r="I705" s="8" t="str">
        <f t="shared" si="10"/>
        <v/>
      </c>
    </row>
    <row r="706" spans="8:9" x14ac:dyDescent="0.3">
      <c r="H706" s="7" t="str" cm="1">
        <f t="array" ref="H706">_xlfn.IFS(D706="","",D706="Grand Total",SUM(H$2:H705),TRUE,IF(COUNTIF(Transactions[Custom Category],D706)&gt;0,SUMIFS(Transactions[Amount],Transactions[Custom Category],D706,Transactions[Month],Sel_Month),SUMIFS(Transactions[Amount],Transactions[Name],D706,Transactions[Month],Sel_Month)))</f>
        <v/>
      </c>
      <c r="I706" s="8" t="str">
        <f t="shared" si="10"/>
        <v/>
      </c>
    </row>
    <row r="707" spans="8:9" x14ac:dyDescent="0.3">
      <c r="H707" s="7" t="str" cm="1">
        <f t="array" ref="H707">_xlfn.IFS(D707="","",D707="Grand Total",SUM(H$2:H706),TRUE,IF(COUNTIF(Transactions[Custom Category],D707)&gt;0,SUMIFS(Transactions[Amount],Transactions[Custom Category],D707,Transactions[Month],Sel_Month),SUMIFS(Transactions[Amount],Transactions[Name],D707,Transactions[Month],Sel_Month)))</f>
        <v/>
      </c>
      <c r="I707" s="8" t="str">
        <f t="shared" si="10"/>
        <v/>
      </c>
    </row>
    <row r="708" spans="8:9" x14ac:dyDescent="0.3">
      <c r="H708" s="7" t="str" cm="1">
        <f t="array" ref="H708">_xlfn.IFS(D708="","",D708="Grand Total",SUM(H$2:H707),TRUE,IF(COUNTIF(Transactions[Custom Category],D708)&gt;0,SUMIFS(Transactions[Amount],Transactions[Custom Category],D708,Transactions[Month],Sel_Month),SUMIFS(Transactions[Amount],Transactions[Name],D708,Transactions[Month],Sel_Month)))</f>
        <v/>
      </c>
      <c r="I708" s="8" t="str">
        <f t="shared" ref="I708:I771" si="11">IF(F708="","",IF(F708=0,0,1-((F708-H708)/F708)))</f>
        <v/>
      </c>
    </row>
    <row r="709" spans="8:9" x14ac:dyDescent="0.3">
      <c r="H709" s="7" t="str" cm="1">
        <f t="array" ref="H709">_xlfn.IFS(D709="","",D709="Grand Total",SUM(H$2:H708),TRUE,IF(COUNTIF(Transactions[Custom Category],D709)&gt;0,SUMIFS(Transactions[Amount],Transactions[Custom Category],D709,Transactions[Month],Sel_Month),SUMIFS(Transactions[Amount],Transactions[Name],D709,Transactions[Month],Sel_Month)))</f>
        <v/>
      </c>
      <c r="I709" s="8" t="str">
        <f t="shared" si="11"/>
        <v/>
      </c>
    </row>
    <row r="710" spans="8:9" x14ac:dyDescent="0.3">
      <c r="H710" s="7" t="str" cm="1">
        <f t="array" ref="H710">_xlfn.IFS(D710="","",D710="Grand Total",SUM(H$2:H709),TRUE,IF(COUNTIF(Transactions[Custom Category],D710)&gt;0,SUMIFS(Transactions[Amount],Transactions[Custom Category],D710,Transactions[Month],Sel_Month),SUMIFS(Transactions[Amount],Transactions[Name],D710,Transactions[Month],Sel_Month)))</f>
        <v/>
      </c>
      <c r="I710" s="8" t="str">
        <f t="shared" si="11"/>
        <v/>
      </c>
    </row>
    <row r="711" spans="8:9" x14ac:dyDescent="0.3">
      <c r="H711" s="7" t="str" cm="1">
        <f t="array" ref="H711">_xlfn.IFS(D711="","",D711="Grand Total",SUM(H$2:H710),TRUE,IF(COUNTIF(Transactions[Custom Category],D711)&gt;0,SUMIFS(Transactions[Amount],Transactions[Custom Category],D711,Transactions[Month],Sel_Month),SUMIFS(Transactions[Amount],Transactions[Name],D711,Transactions[Month],Sel_Month)))</f>
        <v/>
      </c>
      <c r="I711" s="8" t="str">
        <f t="shared" si="11"/>
        <v/>
      </c>
    </row>
    <row r="712" spans="8:9" x14ac:dyDescent="0.3">
      <c r="H712" s="7" t="str" cm="1">
        <f t="array" ref="H712">_xlfn.IFS(D712="","",D712="Grand Total",SUM(H$2:H711),TRUE,IF(COUNTIF(Transactions[Custom Category],D712)&gt;0,SUMIFS(Transactions[Amount],Transactions[Custom Category],D712,Transactions[Month],Sel_Month),SUMIFS(Transactions[Amount],Transactions[Name],D712,Transactions[Month],Sel_Month)))</f>
        <v/>
      </c>
      <c r="I712" s="8" t="str">
        <f t="shared" si="11"/>
        <v/>
      </c>
    </row>
    <row r="713" spans="8:9" x14ac:dyDescent="0.3">
      <c r="H713" s="7" t="str" cm="1">
        <f t="array" ref="H713">_xlfn.IFS(D713="","",D713="Grand Total",SUM(H$2:H712),TRUE,IF(COUNTIF(Transactions[Custom Category],D713)&gt;0,SUMIFS(Transactions[Amount],Transactions[Custom Category],D713,Transactions[Month],Sel_Month),SUMIFS(Transactions[Amount],Transactions[Name],D713,Transactions[Month],Sel_Month)))</f>
        <v/>
      </c>
      <c r="I713" s="8" t="str">
        <f t="shared" si="11"/>
        <v/>
      </c>
    </row>
    <row r="714" spans="8:9" x14ac:dyDescent="0.3">
      <c r="H714" s="7" t="str" cm="1">
        <f t="array" ref="H714">_xlfn.IFS(D714="","",D714="Grand Total",SUM(H$2:H713),TRUE,IF(COUNTIF(Transactions[Custom Category],D714)&gt;0,SUMIFS(Transactions[Amount],Transactions[Custom Category],D714,Transactions[Month],Sel_Month),SUMIFS(Transactions[Amount],Transactions[Name],D714,Transactions[Month],Sel_Month)))</f>
        <v/>
      </c>
      <c r="I714" s="8" t="str">
        <f t="shared" si="11"/>
        <v/>
      </c>
    </row>
    <row r="715" spans="8:9" x14ac:dyDescent="0.3">
      <c r="H715" s="7" t="str" cm="1">
        <f t="array" ref="H715">_xlfn.IFS(D715="","",D715="Grand Total",SUM(H$2:H714),TRUE,IF(COUNTIF(Transactions[Custom Category],D715)&gt;0,SUMIFS(Transactions[Amount],Transactions[Custom Category],D715,Transactions[Month],Sel_Month),SUMIFS(Transactions[Amount],Transactions[Name],D715,Transactions[Month],Sel_Month)))</f>
        <v/>
      </c>
      <c r="I715" s="8" t="str">
        <f t="shared" si="11"/>
        <v/>
      </c>
    </row>
    <row r="716" spans="8:9" x14ac:dyDescent="0.3">
      <c r="H716" s="7" t="str" cm="1">
        <f t="array" ref="H716">_xlfn.IFS(D716="","",D716="Grand Total",SUM(H$2:H715),TRUE,IF(COUNTIF(Transactions[Custom Category],D716)&gt;0,SUMIFS(Transactions[Amount],Transactions[Custom Category],D716,Transactions[Month],Sel_Month),SUMIFS(Transactions[Amount],Transactions[Name],D716,Transactions[Month],Sel_Month)))</f>
        <v/>
      </c>
      <c r="I716" s="8" t="str">
        <f t="shared" si="11"/>
        <v/>
      </c>
    </row>
    <row r="717" spans="8:9" x14ac:dyDescent="0.3">
      <c r="H717" s="7" t="str" cm="1">
        <f t="array" ref="H717">_xlfn.IFS(D717="","",D717="Grand Total",SUM(H$2:H716),TRUE,IF(COUNTIF(Transactions[Custom Category],D717)&gt;0,SUMIFS(Transactions[Amount],Transactions[Custom Category],D717,Transactions[Month],Sel_Month),SUMIFS(Transactions[Amount],Transactions[Name],D717,Transactions[Month],Sel_Month)))</f>
        <v/>
      </c>
      <c r="I717" s="8" t="str">
        <f t="shared" si="11"/>
        <v/>
      </c>
    </row>
    <row r="718" spans="8:9" x14ac:dyDescent="0.3">
      <c r="H718" s="7" t="str" cm="1">
        <f t="array" ref="H718">_xlfn.IFS(D718="","",D718="Grand Total",SUM(H$2:H717),TRUE,IF(COUNTIF(Transactions[Custom Category],D718)&gt;0,SUMIFS(Transactions[Amount],Transactions[Custom Category],D718,Transactions[Month],Sel_Month),SUMIFS(Transactions[Amount],Transactions[Name],D718,Transactions[Month],Sel_Month)))</f>
        <v/>
      </c>
      <c r="I718" s="8" t="str">
        <f t="shared" si="11"/>
        <v/>
      </c>
    </row>
    <row r="719" spans="8:9" x14ac:dyDescent="0.3">
      <c r="H719" s="7" t="str" cm="1">
        <f t="array" ref="H719">_xlfn.IFS(D719="","",D719="Grand Total",SUM(H$2:H718),TRUE,IF(COUNTIF(Transactions[Custom Category],D719)&gt;0,SUMIFS(Transactions[Amount],Transactions[Custom Category],D719,Transactions[Month],Sel_Month),SUMIFS(Transactions[Amount],Transactions[Name],D719,Transactions[Month],Sel_Month)))</f>
        <v/>
      </c>
      <c r="I719" s="8" t="str">
        <f t="shared" si="11"/>
        <v/>
      </c>
    </row>
    <row r="720" spans="8:9" x14ac:dyDescent="0.3">
      <c r="H720" s="7" t="str" cm="1">
        <f t="array" ref="H720">_xlfn.IFS(D720="","",D720="Grand Total",SUM(H$2:H719),TRUE,IF(COUNTIF(Transactions[Custom Category],D720)&gt;0,SUMIFS(Transactions[Amount],Transactions[Custom Category],D720,Transactions[Month],Sel_Month),SUMIFS(Transactions[Amount],Transactions[Name],D720,Transactions[Month],Sel_Month)))</f>
        <v/>
      </c>
      <c r="I720" s="8" t="str">
        <f t="shared" si="11"/>
        <v/>
      </c>
    </row>
    <row r="721" spans="8:9" x14ac:dyDescent="0.3">
      <c r="H721" s="7" t="str" cm="1">
        <f t="array" ref="H721">_xlfn.IFS(D721="","",D721="Grand Total",SUM(H$2:H720),TRUE,IF(COUNTIF(Transactions[Custom Category],D721)&gt;0,SUMIFS(Transactions[Amount],Transactions[Custom Category],D721,Transactions[Month],Sel_Month),SUMIFS(Transactions[Amount],Transactions[Name],D721,Transactions[Month],Sel_Month)))</f>
        <v/>
      </c>
      <c r="I721" s="8" t="str">
        <f t="shared" si="11"/>
        <v/>
      </c>
    </row>
    <row r="722" spans="8:9" x14ac:dyDescent="0.3">
      <c r="H722" s="7" t="str" cm="1">
        <f t="array" ref="H722">_xlfn.IFS(D722="","",D722="Grand Total",SUM(H$2:H721),TRUE,IF(COUNTIF(Transactions[Custom Category],D722)&gt;0,SUMIFS(Transactions[Amount],Transactions[Custom Category],D722,Transactions[Month],Sel_Month),SUMIFS(Transactions[Amount],Transactions[Name],D722,Transactions[Month],Sel_Month)))</f>
        <v/>
      </c>
      <c r="I722" s="8" t="str">
        <f t="shared" si="11"/>
        <v/>
      </c>
    </row>
    <row r="723" spans="8:9" x14ac:dyDescent="0.3">
      <c r="H723" s="7" t="str" cm="1">
        <f t="array" ref="H723">_xlfn.IFS(D723="","",D723="Grand Total",SUM(H$2:H722),TRUE,IF(COUNTIF(Transactions[Custom Category],D723)&gt;0,SUMIFS(Transactions[Amount],Transactions[Custom Category],D723,Transactions[Month],Sel_Month),SUMIFS(Transactions[Amount],Transactions[Name],D723,Transactions[Month],Sel_Month)))</f>
        <v/>
      </c>
      <c r="I723" s="8" t="str">
        <f t="shared" si="11"/>
        <v/>
      </c>
    </row>
    <row r="724" spans="8:9" x14ac:dyDescent="0.3">
      <c r="H724" s="7" t="str" cm="1">
        <f t="array" ref="H724">_xlfn.IFS(D724="","",D724="Grand Total",SUM(H$2:H723),TRUE,IF(COUNTIF(Transactions[Custom Category],D724)&gt;0,SUMIFS(Transactions[Amount],Transactions[Custom Category],D724,Transactions[Month],Sel_Month),SUMIFS(Transactions[Amount],Transactions[Name],D724,Transactions[Month],Sel_Month)))</f>
        <v/>
      </c>
      <c r="I724" s="8" t="str">
        <f t="shared" si="11"/>
        <v/>
      </c>
    </row>
    <row r="725" spans="8:9" x14ac:dyDescent="0.3">
      <c r="H725" s="7" t="str" cm="1">
        <f t="array" ref="H725">_xlfn.IFS(D725="","",D725="Grand Total",SUM(H$2:H724),TRUE,IF(COUNTIF(Transactions[Custom Category],D725)&gt;0,SUMIFS(Transactions[Amount],Transactions[Custom Category],D725,Transactions[Month],Sel_Month),SUMIFS(Transactions[Amount],Transactions[Name],D725,Transactions[Month],Sel_Month)))</f>
        <v/>
      </c>
      <c r="I725" s="8" t="str">
        <f t="shared" si="11"/>
        <v/>
      </c>
    </row>
    <row r="726" spans="8:9" x14ac:dyDescent="0.3">
      <c r="H726" s="7" t="str" cm="1">
        <f t="array" ref="H726">_xlfn.IFS(D726="","",D726="Grand Total",SUM(H$2:H725),TRUE,IF(COUNTIF(Transactions[Custom Category],D726)&gt;0,SUMIFS(Transactions[Amount],Transactions[Custom Category],D726,Transactions[Month],Sel_Month),SUMIFS(Transactions[Amount],Transactions[Name],D726,Transactions[Month],Sel_Month)))</f>
        <v/>
      </c>
      <c r="I726" s="8" t="str">
        <f t="shared" si="11"/>
        <v/>
      </c>
    </row>
    <row r="727" spans="8:9" x14ac:dyDescent="0.3">
      <c r="H727" s="7" t="str" cm="1">
        <f t="array" ref="H727">_xlfn.IFS(D727="","",D727="Grand Total",SUM(H$2:H726),TRUE,IF(COUNTIF(Transactions[Custom Category],D727)&gt;0,SUMIFS(Transactions[Amount],Transactions[Custom Category],D727,Transactions[Month],Sel_Month),SUMIFS(Transactions[Amount],Transactions[Name],D727,Transactions[Month],Sel_Month)))</f>
        <v/>
      </c>
      <c r="I727" s="8" t="str">
        <f t="shared" si="11"/>
        <v/>
      </c>
    </row>
    <row r="728" spans="8:9" x14ac:dyDescent="0.3">
      <c r="H728" s="7" t="str" cm="1">
        <f t="array" ref="H728">_xlfn.IFS(D728="","",D728="Grand Total",SUM(H$2:H727),TRUE,IF(COUNTIF(Transactions[Custom Category],D728)&gt;0,SUMIFS(Transactions[Amount],Transactions[Custom Category],D728,Transactions[Month],Sel_Month),SUMIFS(Transactions[Amount],Transactions[Name],D728,Transactions[Month],Sel_Month)))</f>
        <v/>
      </c>
      <c r="I728" s="8" t="str">
        <f t="shared" si="11"/>
        <v/>
      </c>
    </row>
    <row r="729" spans="8:9" x14ac:dyDescent="0.3">
      <c r="H729" s="7" t="str" cm="1">
        <f t="array" ref="H729">_xlfn.IFS(D729="","",D729="Grand Total",SUM(H$2:H728),TRUE,IF(COUNTIF(Transactions[Custom Category],D729)&gt;0,SUMIFS(Transactions[Amount],Transactions[Custom Category],D729,Transactions[Month],Sel_Month),SUMIFS(Transactions[Amount],Transactions[Name],D729,Transactions[Month],Sel_Month)))</f>
        <v/>
      </c>
      <c r="I729" s="8" t="str">
        <f t="shared" si="11"/>
        <v/>
      </c>
    </row>
    <row r="730" spans="8:9" x14ac:dyDescent="0.3">
      <c r="H730" s="7" t="str" cm="1">
        <f t="array" ref="H730">_xlfn.IFS(D730="","",D730="Grand Total",SUM(H$2:H729),TRUE,IF(COUNTIF(Transactions[Custom Category],D730)&gt;0,SUMIFS(Transactions[Amount],Transactions[Custom Category],D730,Transactions[Month],Sel_Month),SUMIFS(Transactions[Amount],Transactions[Name],D730,Transactions[Month],Sel_Month)))</f>
        <v/>
      </c>
      <c r="I730" s="8" t="str">
        <f t="shared" si="11"/>
        <v/>
      </c>
    </row>
    <row r="731" spans="8:9" x14ac:dyDescent="0.3">
      <c r="H731" s="7" t="str" cm="1">
        <f t="array" ref="H731">_xlfn.IFS(D731="","",D731="Grand Total",SUM(H$2:H730),TRUE,IF(COUNTIF(Transactions[Custom Category],D731)&gt;0,SUMIFS(Transactions[Amount],Transactions[Custom Category],D731,Transactions[Month],Sel_Month),SUMIFS(Transactions[Amount],Transactions[Name],D731,Transactions[Month],Sel_Month)))</f>
        <v/>
      </c>
      <c r="I731" s="8" t="str">
        <f t="shared" si="11"/>
        <v/>
      </c>
    </row>
    <row r="732" spans="8:9" x14ac:dyDescent="0.3">
      <c r="H732" s="7" t="str" cm="1">
        <f t="array" ref="H732">_xlfn.IFS(D732="","",D732="Grand Total",SUM(H$2:H731),TRUE,IF(COUNTIF(Transactions[Custom Category],D732)&gt;0,SUMIFS(Transactions[Amount],Transactions[Custom Category],D732,Transactions[Month],Sel_Month),SUMIFS(Transactions[Amount],Transactions[Name],D732,Transactions[Month],Sel_Month)))</f>
        <v/>
      </c>
      <c r="I732" s="8" t="str">
        <f t="shared" si="11"/>
        <v/>
      </c>
    </row>
    <row r="733" spans="8:9" x14ac:dyDescent="0.3">
      <c r="H733" s="7" t="str" cm="1">
        <f t="array" ref="H733">_xlfn.IFS(D733="","",D733="Grand Total",SUM(H$2:H732),TRUE,IF(COUNTIF(Transactions[Custom Category],D733)&gt;0,SUMIFS(Transactions[Amount],Transactions[Custom Category],D733,Transactions[Month],Sel_Month),SUMIFS(Transactions[Amount],Transactions[Name],D733,Transactions[Month],Sel_Month)))</f>
        <v/>
      </c>
      <c r="I733" s="8" t="str">
        <f t="shared" si="11"/>
        <v/>
      </c>
    </row>
    <row r="734" spans="8:9" x14ac:dyDescent="0.3">
      <c r="H734" s="7" t="str" cm="1">
        <f t="array" ref="H734">_xlfn.IFS(D734="","",D734="Grand Total",SUM(H$2:H733),TRUE,IF(COUNTIF(Transactions[Custom Category],D734)&gt;0,SUMIFS(Transactions[Amount],Transactions[Custom Category],D734,Transactions[Month],Sel_Month),SUMIFS(Transactions[Amount],Transactions[Name],D734,Transactions[Month],Sel_Month)))</f>
        <v/>
      </c>
      <c r="I734" s="8" t="str">
        <f t="shared" si="11"/>
        <v/>
      </c>
    </row>
    <row r="735" spans="8:9" x14ac:dyDescent="0.3">
      <c r="H735" s="7" t="str" cm="1">
        <f t="array" ref="H735">_xlfn.IFS(D735="","",D735="Grand Total",SUM(H$2:H734),TRUE,IF(COUNTIF(Transactions[Custom Category],D735)&gt;0,SUMIFS(Transactions[Amount],Transactions[Custom Category],D735,Transactions[Month],Sel_Month),SUMIFS(Transactions[Amount],Transactions[Name],D735,Transactions[Month],Sel_Month)))</f>
        <v/>
      </c>
      <c r="I735" s="8" t="str">
        <f t="shared" si="11"/>
        <v/>
      </c>
    </row>
    <row r="736" spans="8:9" x14ac:dyDescent="0.3">
      <c r="H736" s="7" t="str" cm="1">
        <f t="array" ref="H736">_xlfn.IFS(D736="","",D736="Grand Total",SUM(H$2:H735),TRUE,IF(COUNTIF(Transactions[Custom Category],D736)&gt;0,SUMIFS(Transactions[Amount],Transactions[Custom Category],D736,Transactions[Month],Sel_Month),SUMIFS(Transactions[Amount],Transactions[Name],D736,Transactions[Month],Sel_Month)))</f>
        <v/>
      </c>
      <c r="I736" s="8" t="str">
        <f t="shared" si="11"/>
        <v/>
      </c>
    </row>
    <row r="737" spans="8:9" x14ac:dyDescent="0.3">
      <c r="H737" s="7" t="str" cm="1">
        <f t="array" ref="H737">_xlfn.IFS(D737="","",D737="Grand Total",SUM(H$2:H736),TRUE,IF(COUNTIF(Transactions[Custom Category],D737)&gt;0,SUMIFS(Transactions[Amount],Transactions[Custom Category],D737,Transactions[Month],Sel_Month),SUMIFS(Transactions[Amount],Transactions[Name],D737,Transactions[Month],Sel_Month)))</f>
        <v/>
      </c>
      <c r="I737" s="8" t="str">
        <f t="shared" si="11"/>
        <v/>
      </c>
    </row>
    <row r="738" spans="8:9" x14ac:dyDescent="0.3">
      <c r="H738" s="7" t="str" cm="1">
        <f t="array" ref="H738">_xlfn.IFS(D738="","",D738="Grand Total",SUM(H$2:H737),TRUE,IF(COUNTIF(Transactions[Custom Category],D738)&gt;0,SUMIFS(Transactions[Amount],Transactions[Custom Category],D738,Transactions[Month],Sel_Month),SUMIFS(Transactions[Amount],Transactions[Name],D738,Transactions[Month],Sel_Month)))</f>
        <v/>
      </c>
      <c r="I738" s="8" t="str">
        <f t="shared" si="11"/>
        <v/>
      </c>
    </row>
    <row r="739" spans="8:9" x14ac:dyDescent="0.3">
      <c r="H739" s="7" t="str" cm="1">
        <f t="array" ref="H739">_xlfn.IFS(D739="","",D739="Grand Total",SUM(H$2:H738),TRUE,IF(COUNTIF(Transactions[Custom Category],D739)&gt;0,SUMIFS(Transactions[Amount],Transactions[Custom Category],D739,Transactions[Month],Sel_Month),SUMIFS(Transactions[Amount],Transactions[Name],D739,Transactions[Month],Sel_Month)))</f>
        <v/>
      </c>
      <c r="I739" s="8" t="str">
        <f t="shared" si="11"/>
        <v/>
      </c>
    </row>
    <row r="740" spans="8:9" x14ac:dyDescent="0.3">
      <c r="H740" s="7" t="str" cm="1">
        <f t="array" ref="H740">_xlfn.IFS(D740="","",D740="Grand Total",SUM(H$2:H739),TRUE,IF(COUNTIF(Transactions[Custom Category],D740)&gt;0,SUMIFS(Transactions[Amount],Transactions[Custom Category],D740,Transactions[Month],Sel_Month),SUMIFS(Transactions[Amount],Transactions[Name],D740,Transactions[Month],Sel_Month)))</f>
        <v/>
      </c>
      <c r="I740" s="8" t="str">
        <f t="shared" si="11"/>
        <v/>
      </c>
    </row>
    <row r="741" spans="8:9" x14ac:dyDescent="0.3">
      <c r="H741" s="7" t="str" cm="1">
        <f t="array" ref="H741">_xlfn.IFS(D741="","",D741="Grand Total",SUM(H$2:H740),TRUE,IF(COUNTIF(Transactions[Custom Category],D741)&gt;0,SUMIFS(Transactions[Amount],Transactions[Custom Category],D741,Transactions[Month],Sel_Month),SUMIFS(Transactions[Amount],Transactions[Name],D741,Transactions[Month],Sel_Month)))</f>
        <v/>
      </c>
      <c r="I741" s="8" t="str">
        <f t="shared" si="11"/>
        <v/>
      </c>
    </row>
    <row r="742" spans="8:9" x14ac:dyDescent="0.3">
      <c r="H742" s="7" t="str" cm="1">
        <f t="array" ref="H742">_xlfn.IFS(D742="","",D742="Grand Total",SUM(H$2:H741),TRUE,IF(COUNTIF(Transactions[Custom Category],D742)&gt;0,SUMIFS(Transactions[Amount],Transactions[Custom Category],D742,Transactions[Month],Sel_Month),SUMIFS(Transactions[Amount],Transactions[Name],D742,Transactions[Month],Sel_Month)))</f>
        <v/>
      </c>
      <c r="I742" s="8" t="str">
        <f t="shared" si="11"/>
        <v/>
      </c>
    </row>
    <row r="743" spans="8:9" x14ac:dyDescent="0.3">
      <c r="H743" s="7" t="str" cm="1">
        <f t="array" ref="H743">_xlfn.IFS(D743="","",D743="Grand Total",SUM(H$2:H742),TRUE,IF(COUNTIF(Transactions[Custom Category],D743)&gt;0,SUMIFS(Transactions[Amount],Transactions[Custom Category],D743,Transactions[Month],Sel_Month),SUMIFS(Transactions[Amount],Transactions[Name],D743,Transactions[Month],Sel_Month)))</f>
        <v/>
      </c>
      <c r="I743" s="8" t="str">
        <f t="shared" si="11"/>
        <v/>
      </c>
    </row>
    <row r="744" spans="8:9" x14ac:dyDescent="0.3">
      <c r="H744" s="7" t="str" cm="1">
        <f t="array" ref="H744">_xlfn.IFS(D744="","",D744="Grand Total",SUM(H$2:H743),TRUE,IF(COUNTIF(Transactions[Custom Category],D744)&gt;0,SUMIFS(Transactions[Amount],Transactions[Custom Category],D744,Transactions[Month],Sel_Month),SUMIFS(Transactions[Amount],Transactions[Name],D744,Transactions[Month],Sel_Month)))</f>
        <v/>
      </c>
      <c r="I744" s="8" t="str">
        <f t="shared" si="11"/>
        <v/>
      </c>
    </row>
    <row r="745" spans="8:9" x14ac:dyDescent="0.3">
      <c r="H745" s="7" t="str" cm="1">
        <f t="array" ref="H745">_xlfn.IFS(D745="","",D745="Grand Total",SUM(H$2:H744),TRUE,IF(COUNTIF(Transactions[Custom Category],D745)&gt;0,SUMIFS(Transactions[Amount],Transactions[Custom Category],D745,Transactions[Month],Sel_Month),SUMIFS(Transactions[Amount],Transactions[Name],D745,Transactions[Month],Sel_Month)))</f>
        <v/>
      </c>
      <c r="I745" s="8" t="str">
        <f t="shared" si="11"/>
        <v/>
      </c>
    </row>
    <row r="746" spans="8:9" x14ac:dyDescent="0.3">
      <c r="H746" s="7" t="str" cm="1">
        <f t="array" ref="H746">_xlfn.IFS(D746="","",D746="Grand Total",SUM(H$2:H745),TRUE,IF(COUNTIF(Transactions[Custom Category],D746)&gt;0,SUMIFS(Transactions[Amount],Transactions[Custom Category],D746,Transactions[Month],Sel_Month),SUMIFS(Transactions[Amount],Transactions[Name],D746,Transactions[Month],Sel_Month)))</f>
        <v/>
      </c>
      <c r="I746" s="8" t="str">
        <f t="shared" si="11"/>
        <v/>
      </c>
    </row>
    <row r="747" spans="8:9" x14ac:dyDescent="0.3">
      <c r="H747" s="7" t="str" cm="1">
        <f t="array" ref="H747">_xlfn.IFS(D747="","",D747="Grand Total",SUM(H$2:H746),TRUE,IF(COUNTIF(Transactions[Custom Category],D747)&gt;0,SUMIFS(Transactions[Amount],Transactions[Custom Category],D747,Transactions[Month],Sel_Month),SUMIFS(Transactions[Amount],Transactions[Name],D747,Transactions[Month],Sel_Month)))</f>
        <v/>
      </c>
      <c r="I747" s="8" t="str">
        <f t="shared" si="11"/>
        <v/>
      </c>
    </row>
    <row r="748" spans="8:9" x14ac:dyDescent="0.3">
      <c r="H748" s="7" t="str" cm="1">
        <f t="array" ref="H748">_xlfn.IFS(D748="","",D748="Grand Total",SUM(H$2:H747),TRUE,IF(COUNTIF(Transactions[Custom Category],D748)&gt;0,SUMIFS(Transactions[Amount],Transactions[Custom Category],D748,Transactions[Month],Sel_Month),SUMIFS(Transactions[Amount],Transactions[Name],D748,Transactions[Month],Sel_Month)))</f>
        <v/>
      </c>
      <c r="I748" s="8" t="str">
        <f t="shared" si="11"/>
        <v/>
      </c>
    </row>
    <row r="749" spans="8:9" x14ac:dyDescent="0.3">
      <c r="H749" s="7" t="str" cm="1">
        <f t="array" ref="H749">_xlfn.IFS(D749="","",D749="Grand Total",SUM(H$2:H748),TRUE,IF(COUNTIF(Transactions[Custom Category],D749)&gt;0,SUMIFS(Transactions[Amount],Transactions[Custom Category],D749,Transactions[Month],Sel_Month),SUMIFS(Transactions[Amount],Transactions[Name],D749,Transactions[Month],Sel_Month)))</f>
        <v/>
      </c>
      <c r="I749" s="8" t="str">
        <f t="shared" si="11"/>
        <v/>
      </c>
    </row>
    <row r="750" spans="8:9" x14ac:dyDescent="0.3">
      <c r="H750" s="7" t="str" cm="1">
        <f t="array" ref="H750">_xlfn.IFS(D750="","",D750="Grand Total",SUM(H$2:H749),TRUE,IF(COUNTIF(Transactions[Custom Category],D750)&gt;0,SUMIFS(Transactions[Amount],Transactions[Custom Category],D750,Transactions[Month],Sel_Month),SUMIFS(Transactions[Amount],Transactions[Name],D750,Transactions[Month],Sel_Month)))</f>
        <v/>
      </c>
      <c r="I750" s="8" t="str">
        <f t="shared" si="11"/>
        <v/>
      </c>
    </row>
    <row r="751" spans="8:9" x14ac:dyDescent="0.3">
      <c r="H751" s="7" t="str" cm="1">
        <f t="array" ref="H751">_xlfn.IFS(D751="","",D751="Grand Total",SUM(H$2:H750),TRUE,IF(COUNTIF(Transactions[Custom Category],D751)&gt;0,SUMIFS(Transactions[Amount],Transactions[Custom Category],D751,Transactions[Month],Sel_Month),SUMIFS(Transactions[Amount],Transactions[Name],D751,Transactions[Month],Sel_Month)))</f>
        <v/>
      </c>
      <c r="I751" s="8" t="str">
        <f t="shared" si="11"/>
        <v/>
      </c>
    </row>
    <row r="752" spans="8:9" x14ac:dyDescent="0.3">
      <c r="H752" s="7" t="str" cm="1">
        <f t="array" ref="H752">_xlfn.IFS(D752="","",D752="Grand Total",SUM(H$2:H751),TRUE,IF(COUNTIF(Transactions[Custom Category],D752)&gt;0,SUMIFS(Transactions[Amount],Transactions[Custom Category],D752,Transactions[Month],Sel_Month),SUMIFS(Transactions[Amount],Transactions[Name],D752,Transactions[Month],Sel_Month)))</f>
        <v/>
      </c>
      <c r="I752" s="8" t="str">
        <f t="shared" si="11"/>
        <v/>
      </c>
    </row>
    <row r="753" spans="8:9" x14ac:dyDescent="0.3">
      <c r="H753" s="7" t="str" cm="1">
        <f t="array" ref="H753">_xlfn.IFS(D753="","",D753="Grand Total",SUM(H$2:H752),TRUE,IF(COUNTIF(Transactions[Custom Category],D753)&gt;0,SUMIFS(Transactions[Amount],Transactions[Custom Category],D753,Transactions[Month],Sel_Month),SUMIFS(Transactions[Amount],Transactions[Name],D753,Transactions[Month],Sel_Month)))</f>
        <v/>
      </c>
      <c r="I753" s="8" t="str">
        <f t="shared" si="11"/>
        <v/>
      </c>
    </row>
    <row r="754" spans="8:9" x14ac:dyDescent="0.3">
      <c r="H754" s="7" t="str" cm="1">
        <f t="array" ref="H754">_xlfn.IFS(D754="","",D754="Grand Total",SUM(H$2:H753),TRUE,IF(COUNTIF(Transactions[Custom Category],D754)&gt;0,SUMIFS(Transactions[Amount],Transactions[Custom Category],D754,Transactions[Month],Sel_Month),SUMIFS(Transactions[Amount],Transactions[Name],D754,Transactions[Month],Sel_Month)))</f>
        <v/>
      </c>
      <c r="I754" s="8" t="str">
        <f t="shared" si="11"/>
        <v/>
      </c>
    </row>
    <row r="755" spans="8:9" x14ac:dyDescent="0.3">
      <c r="H755" s="7" t="str" cm="1">
        <f t="array" ref="H755">_xlfn.IFS(D755="","",D755="Grand Total",SUM(H$2:H754),TRUE,IF(COUNTIF(Transactions[Custom Category],D755)&gt;0,SUMIFS(Transactions[Amount],Transactions[Custom Category],D755,Transactions[Month],Sel_Month),SUMIFS(Transactions[Amount],Transactions[Name],D755,Transactions[Month],Sel_Month)))</f>
        <v/>
      </c>
      <c r="I755" s="8" t="str">
        <f t="shared" si="11"/>
        <v/>
      </c>
    </row>
    <row r="756" spans="8:9" x14ac:dyDescent="0.3">
      <c r="H756" s="7" t="str" cm="1">
        <f t="array" ref="H756">_xlfn.IFS(D756="","",D756="Grand Total",SUM(H$2:H755),TRUE,IF(COUNTIF(Transactions[Custom Category],D756)&gt;0,SUMIFS(Transactions[Amount],Transactions[Custom Category],D756,Transactions[Month],Sel_Month),SUMIFS(Transactions[Amount],Transactions[Name],D756,Transactions[Month],Sel_Month)))</f>
        <v/>
      </c>
      <c r="I756" s="8" t="str">
        <f t="shared" si="11"/>
        <v/>
      </c>
    </row>
    <row r="757" spans="8:9" x14ac:dyDescent="0.3">
      <c r="H757" s="7" t="str" cm="1">
        <f t="array" ref="H757">_xlfn.IFS(D757="","",D757="Grand Total",SUM(H$2:H756),TRUE,IF(COUNTIF(Transactions[Custom Category],D757)&gt;0,SUMIFS(Transactions[Amount],Transactions[Custom Category],D757,Transactions[Month],Sel_Month),SUMIFS(Transactions[Amount],Transactions[Name],D757,Transactions[Month],Sel_Month)))</f>
        <v/>
      </c>
      <c r="I757" s="8" t="str">
        <f t="shared" si="11"/>
        <v/>
      </c>
    </row>
    <row r="758" spans="8:9" x14ac:dyDescent="0.3">
      <c r="H758" s="7" t="str" cm="1">
        <f t="array" ref="H758">_xlfn.IFS(D758="","",D758="Grand Total",SUM(H$2:H757),TRUE,IF(COUNTIF(Transactions[Custom Category],D758)&gt;0,SUMIFS(Transactions[Amount],Transactions[Custom Category],D758,Transactions[Month],Sel_Month),SUMIFS(Transactions[Amount],Transactions[Name],D758,Transactions[Month],Sel_Month)))</f>
        <v/>
      </c>
      <c r="I758" s="8" t="str">
        <f t="shared" si="11"/>
        <v/>
      </c>
    </row>
    <row r="759" spans="8:9" x14ac:dyDescent="0.3">
      <c r="H759" s="7" t="str" cm="1">
        <f t="array" ref="H759">_xlfn.IFS(D759="","",D759="Grand Total",SUM(H$2:H758),TRUE,IF(COUNTIF(Transactions[Custom Category],D759)&gt;0,SUMIFS(Transactions[Amount],Transactions[Custom Category],D759,Transactions[Month],Sel_Month),SUMIFS(Transactions[Amount],Transactions[Name],D759,Transactions[Month],Sel_Month)))</f>
        <v/>
      </c>
      <c r="I759" s="8" t="str">
        <f t="shared" si="11"/>
        <v/>
      </c>
    </row>
    <row r="760" spans="8:9" x14ac:dyDescent="0.3">
      <c r="H760" s="7" t="str" cm="1">
        <f t="array" ref="H760">_xlfn.IFS(D760="","",D760="Grand Total",SUM(H$2:H759),TRUE,IF(COUNTIF(Transactions[Custom Category],D760)&gt;0,SUMIFS(Transactions[Amount],Transactions[Custom Category],D760,Transactions[Month],Sel_Month),SUMIFS(Transactions[Amount],Transactions[Name],D760,Transactions[Month],Sel_Month)))</f>
        <v/>
      </c>
      <c r="I760" s="8" t="str">
        <f t="shared" si="11"/>
        <v/>
      </c>
    </row>
    <row r="761" spans="8:9" x14ac:dyDescent="0.3">
      <c r="H761" s="7" t="str" cm="1">
        <f t="array" ref="H761">_xlfn.IFS(D761="","",D761="Grand Total",SUM(H$2:H760),TRUE,IF(COUNTIF(Transactions[Custom Category],D761)&gt;0,SUMIFS(Transactions[Amount],Transactions[Custom Category],D761,Transactions[Month],Sel_Month),SUMIFS(Transactions[Amount],Transactions[Name],D761,Transactions[Month],Sel_Month)))</f>
        <v/>
      </c>
      <c r="I761" s="8" t="str">
        <f t="shared" si="11"/>
        <v/>
      </c>
    </row>
    <row r="762" spans="8:9" x14ac:dyDescent="0.3">
      <c r="H762" s="7" t="str" cm="1">
        <f t="array" ref="H762">_xlfn.IFS(D762="","",D762="Grand Total",SUM(H$2:H761),TRUE,IF(COUNTIF(Transactions[Custom Category],D762)&gt;0,SUMIFS(Transactions[Amount],Transactions[Custom Category],D762,Transactions[Month],Sel_Month),SUMIFS(Transactions[Amount],Transactions[Name],D762,Transactions[Month],Sel_Month)))</f>
        <v/>
      </c>
      <c r="I762" s="8" t="str">
        <f t="shared" si="11"/>
        <v/>
      </c>
    </row>
    <row r="763" spans="8:9" x14ac:dyDescent="0.3">
      <c r="H763" s="7" t="str" cm="1">
        <f t="array" ref="H763">_xlfn.IFS(D763="","",D763="Grand Total",SUM(H$2:H762),TRUE,IF(COUNTIF(Transactions[Custom Category],D763)&gt;0,SUMIFS(Transactions[Amount],Transactions[Custom Category],D763,Transactions[Month],Sel_Month),SUMIFS(Transactions[Amount],Transactions[Name],D763,Transactions[Month],Sel_Month)))</f>
        <v/>
      </c>
      <c r="I763" s="8" t="str">
        <f t="shared" si="11"/>
        <v/>
      </c>
    </row>
    <row r="764" spans="8:9" x14ac:dyDescent="0.3">
      <c r="H764" s="7" t="str" cm="1">
        <f t="array" ref="H764">_xlfn.IFS(D764="","",D764="Grand Total",SUM(H$2:H763),TRUE,IF(COUNTIF(Transactions[Custom Category],D764)&gt;0,SUMIFS(Transactions[Amount],Transactions[Custom Category],D764,Transactions[Month],Sel_Month),SUMIFS(Transactions[Amount],Transactions[Name],D764,Transactions[Month],Sel_Month)))</f>
        <v/>
      </c>
      <c r="I764" s="8" t="str">
        <f t="shared" si="11"/>
        <v/>
      </c>
    </row>
    <row r="765" spans="8:9" x14ac:dyDescent="0.3">
      <c r="H765" s="7" t="str" cm="1">
        <f t="array" ref="H765">_xlfn.IFS(D765="","",D765="Grand Total",SUM(H$2:H764),TRUE,IF(COUNTIF(Transactions[Custom Category],D765)&gt;0,SUMIFS(Transactions[Amount],Transactions[Custom Category],D765,Transactions[Month],Sel_Month),SUMIFS(Transactions[Amount],Transactions[Name],D765,Transactions[Month],Sel_Month)))</f>
        <v/>
      </c>
      <c r="I765" s="8" t="str">
        <f t="shared" si="11"/>
        <v/>
      </c>
    </row>
    <row r="766" spans="8:9" x14ac:dyDescent="0.3">
      <c r="H766" s="7" t="str" cm="1">
        <f t="array" ref="H766">_xlfn.IFS(D766="","",D766="Grand Total",SUM(H$2:H765),TRUE,IF(COUNTIF(Transactions[Custom Category],D766)&gt;0,SUMIFS(Transactions[Amount],Transactions[Custom Category],D766,Transactions[Month],Sel_Month),SUMIFS(Transactions[Amount],Transactions[Name],D766,Transactions[Month],Sel_Month)))</f>
        <v/>
      </c>
      <c r="I766" s="8" t="str">
        <f t="shared" si="11"/>
        <v/>
      </c>
    </row>
    <row r="767" spans="8:9" x14ac:dyDescent="0.3">
      <c r="H767" s="7" t="str" cm="1">
        <f t="array" ref="H767">_xlfn.IFS(D767="","",D767="Grand Total",SUM(H$2:H766),TRUE,IF(COUNTIF(Transactions[Custom Category],D767)&gt;0,SUMIFS(Transactions[Amount],Transactions[Custom Category],D767,Transactions[Month],Sel_Month),SUMIFS(Transactions[Amount],Transactions[Name],D767,Transactions[Month],Sel_Month)))</f>
        <v/>
      </c>
      <c r="I767" s="8" t="str">
        <f t="shared" si="11"/>
        <v/>
      </c>
    </row>
    <row r="768" spans="8:9" x14ac:dyDescent="0.3">
      <c r="H768" s="7" t="str" cm="1">
        <f t="array" ref="H768">_xlfn.IFS(D768="","",D768="Grand Total",SUM(H$2:H767),TRUE,IF(COUNTIF(Transactions[Custom Category],D768)&gt;0,SUMIFS(Transactions[Amount],Transactions[Custom Category],D768,Transactions[Month],Sel_Month),SUMIFS(Transactions[Amount],Transactions[Name],D768,Transactions[Month],Sel_Month)))</f>
        <v/>
      </c>
      <c r="I768" s="8" t="str">
        <f t="shared" si="11"/>
        <v/>
      </c>
    </row>
    <row r="769" spans="8:9" x14ac:dyDescent="0.3">
      <c r="H769" s="7" t="str" cm="1">
        <f t="array" ref="H769">_xlfn.IFS(D769="","",D769="Grand Total",SUM(H$2:H768),TRUE,IF(COUNTIF(Transactions[Custom Category],D769)&gt;0,SUMIFS(Transactions[Amount],Transactions[Custom Category],D769,Transactions[Month],Sel_Month),SUMIFS(Transactions[Amount],Transactions[Name],D769,Transactions[Month],Sel_Month)))</f>
        <v/>
      </c>
      <c r="I769" s="8" t="str">
        <f t="shared" si="11"/>
        <v/>
      </c>
    </row>
    <row r="770" spans="8:9" x14ac:dyDescent="0.3">
      <c r="H770" s="7" t="str" cm="1">
        <f t="array" ref="H770">_xlfn.IFS(D770="","",D770="Grand Total",SUM(H$2:H769),TRUE,IF(COUNTIF(Transactions[Custom Category],D770)&gt;0,SUMIFS(Transactions[Amount],Transactions[Custom Category],D770,Transactions[Month],Sel_Month),SUMIFS(Transactions[Amount],Transactions[Name],D770,Transactions[Month],Sel_Month)))</f>
        <v/>
      </c>
      <c r="I770" s="8" t="str">
        <f t="shared" si="11"/>
        <v/>
      </c>
    </row>
    <row r="771" spans="8:9" x14ac:dyDescent="0.3">
      <c r="H771" s="7" t="str" cm="1">
        <f t="array" ref="H771">_xlfn.IFS(D771="","",D771="Grand Total",SUM(H$2:H770),TRUE,IF(COUNTIF(Transactions[Custom Category],D771)&gt;0,SUMIFS(Transactions[Amount],Transactions[Custom Category],D771,Transactions[Month],Sel_Month),SUMIFS(Transactions[Amount],Transactions[Name],D771,Transactions[Month],Sel_Month)))</f>
        <v/>
      </c>
      <c r="I771" s="8" t="str">
        <f t="shared" si="11"/>
        <v/>
      </c>
    </row>
    <row r="772" spans="8:9" x14ac:dyDescent="0.3">
      <c r="H772" s="7" t="str" cm="1">
        <f t="array" ref="H772">_xlfn.IFS(D772="","",D772="Grand Total",SUM(H$2:H771),TRUE,IF(COUNTIF(Transactions[Custom Category],D772)&gt;0,SUMIFS(Transactions[Amount],Transactions[Custom Category],D772,Transactions[Month],Sel_Month),SUMIFS(Transactions[Amount],Transactions[Name],D772,Transactions[Month],Sel_Month)))</f>
        <v/>
      </c>
      <c r="I772" s="8" t="str">
        <f t="shared" ref="I772:I835" si="12">IF(F772="","",IF(F772=0,0,1-((F772-H772)/F772)))</f>
        <v/>
      </c>
    </row>
    <row r="773" spans="8:9" x14ac:dyDescent="0.3">
      <c r="H773" s="7" t="str" cm="1">
        <f t="array" ref="H773">_xlfn.IFS(D773="","",D773="Grand Total",SUM(H$2:H772),TRUE,IF(COUNTIF(Transactions[Custom Category],D773)&gt;0,SUMIFS(Transactions[Amount],Transactions[Custom Category],D773,Transactions[Month],Sel_Month),SUMIFS(Transactions[Amount],Transactions[Name],D773,Transactions[Month],Sel_Month)))</f>
        <v/>
      </c>
      <c r="I773" s="8" t="str">
        <f t="shared" si="12"/>
        <v/>
      </c>
    </row>
    <row r="774" spans="8:9" x14ac:dyDescent="0.3">
      <c r="H774" s="7" t="str" cm="1">
        <f t="array" ref="H774">_xlfn.IFS(D774="","",D774="Grand Total",SUM(H$2:H773),TRUE,IF(COUNTIF(Transactions[Custom Category],D774)&gt;0,SUMIFS(Transactions[Amount],Transactions[Custom Category],D774,Transactions[Month],Sel_Month),SUMIFS(Transactions[Amount],Transactions[Name],D774,Transactions[Month],Sel_Month)))</f>
        <v/>
      </c>
      <c r="I774" s="8" t="str">
        <f t="shared" si="12"/>
        <v/>
      </c>
    </row>
    <row r="775" spans="8:9" x14ac:dyDescent="0.3">
      <c r="H775" s="7" t="str" cm="1">
        <f t="array" ref="H775">_xlfn.IFS(D775="","",D775="Grand Total",SUM(H$2:H774),TRUE,IF(COUNTIF(Transactions[Custom Category],D775)&gt;0,SUMIFS(Transactions[Amount],Transactions[Custom Category],D775,Transactions[Month],Sel_Month),SUMIFS(Transactions[Amount],Transactions[Name],D775,Transactions[Month],Sel_Month)))</f>
        <v/>
      </c>
      <c r="I775" s="8" t="str">
        <f t="shared" si="12"/>
        <v/>
      </c>
    </row>
    <row r="776" spans="8:9" x14ac:dyDescent="0.3">
      <c r="H776" s="7" t="str" cm="1">
        <f t="array" ref="H776">_xlfn.IFS(D776="","",D776="Grand Total",SUM(H$2:H775),TRUE,IF(COUNTIF(Transactions[Custom Category],D776)&gt;0,SUMIFS(Transactions[Amount],Transactions[Custom Category],D776,Transactions[Month],Sel_Month),SUMIFS(Transactions[Amount],Transactions[Name],D776,Transactions[Month],Sel_Month)))</f>
        <v/>
      </c>
      <c r="I776" s="8" t="str">
        <f t="shared" si="12"/>
        <v/>
      </c>
    </row>
    <row r="777" spans="8:9" x14ac:dyDescent="0.3">
      <c r="H777" s="7" t="str" cm="1">
        <f t="array" ref="H777">_xlfn.IFS(D777="","",D777="Grand Total",SUM(H$2:H776),TRUE,IF(COUNTIF(Transactions[Custom Category],D777)&gt;0,SUMIFS(Transactions[Amount],Transactions[Custom Category],D777,Transactions[Month],Sel_Month),SUMIFS(Transactions[Amount],Transactions[Name],D777,Transactions[Month],Sel_Month)))</f>
        <v/>
      </c>
      <c r="I777" s="8" t="str">
        <f t="shared" si="12"/>
        <v/>
      </c>
    </row>
    <row r="778" spans="8:9" x14ac:dyDescent="0.3">
      <c r="H778" s="7" t="str" cm="1">
        <f t="array" ref="H778">_xlfn.IFS(D778="","",D778="Grand Total",SUM(H$2:H777),TRUE,IF(COUNTIF(Transactions[Custom Category],D778)&gt;0,SUMIFS(Transactions[Amount],Transactions[Custom Category],D778,Transactions[Month],Sel_Month),SUMIFS(Transactions[Amount],Transactions[Name],D778,Transactions[Month],Sel_Month)))</f>
        <v/>
      </c>
      <c r="I778" s="8" t="str">
        <f t="shared" si="12"/>
        <v/>
      </c>
    </row>
    <row r="779" spans="8:9" x14ac:dyDescent="0.3">
      <c r="H779" s="7" t="str" cm="1">
        <f t="array" ref="H779">_xlfn.IFS(D779="","",D779="Grand Total",SUM(H$2:H778),TRUE,IF(COUNTIF(Transactions[Custom Category],D779)&gt;0,SUMIFS(Transactions[Amount],Transactions[Custom Category],D779,Transactions[Month],Sel_Month),SUMIFS(Transactions[Amount],Transactions[Name],D779,Transactions[Month],Sel_Month)))</f>
        <v/>
      </c>
      <c r="I779" s="8" t="str">
        <f t="shared" si="12"/>
        <v/>
      </c>
    </row>
    <row r="780" spans="8:9" x14ac:dyDescent="0.3">
      <c r="H780" s="7" t="str" cm="1">
        <f t="array" ref="H780">_xlfn.IFS(D780="","",D780="Grand Total",SUM(H$2:H779),TRUE,IF(COUNTIF(Transactions[Custom Category],D780)&gt;0,SUMIFS(Transactions[Amount],Transactions[Custom Category],D780,Transactions[Month],Sel_Month),SUMIFS(Transactions[Amount],Transactions[Name],D780,Transactions[Month],Sel_Month)))</f>
        <v/>
      </c>
      <c r="I780" s="8" t="str">
        <f t="shared" si="12"/>
        <v/>
      </c>
    </row>
    <row r="781" spans="8:9" x14ac:dyDescent="0.3">
      <c r="H781" s="7" t="str" cm="1">
        <f t="array" ref="H781">_xlfn.IFS(D781="","",D781="Grand Total",SUM(H$2:H780),TRUE,IF(COUNTIF(Transactions[Custom Category],D781)&gt;0,SUMIFS(Transactions[Amount],Transactions[Custom Category],D781,Transactions[Month],Sel_Month),SUMIFS(Transactions[Amount],Transactions[Name],D781,Transactions[Month],Sel_Month)))</f>
        <v/>
      </c>
      <c r="I781" s="8" t="str">
        <f t="shared" si="12"/>
        <v/>
      </c>
    </row>
    <row r="782" spans="8:9" x14ac:dyDescent="0.3">
      <c r="H782" s="7" t="str" cm="1">
        <f t="array" ref="H782">_xlfn.IFS(D782="","",D782="Grand Total",SUM(H$2:H781),TRUE,IF(COUNTIF(Transactions[Custom Category],D782)&gt;0,SUMIFS(Transactions[Amount],Transactions[Custom Category],D782,Transactions[Month],Sel_Month),SUMIFS(Transactions[Amount],Transactions[Name],D782,Transactions[Month],Sel_Month)))</f>
        <v/>
      </c>
      <c r="I782" s="8" t="str">
        <f t="shared" si="12"/>
        <v/>
      </c>
    </row>
    <row r="783" spans="8:9" x14ac:dyDescent="0.3">
      <c r="H783" s="7" t="str" cm="1">
        <f t="array" ref="H783">_xlfn.IFS(D783="","",D783="Grand Total",SUM(H$2:H782),TRUE,IF(COUNTIF(Transactions[Custom Category],D783)&gt;0,SUMIFS(Transactions[Amount],Transactions[Custom Category],D783,Transactions[Month],Sel_Month),SUMIFS(Transactions[Amount],Transactions[Name],D783,Transactions[Month],Sel_Month)))</f>
        <v/>
      </c>
      <c r="I783" s="8" t="str">
        <f t="shared" si="12"/>
        <v/>
      </c>
    </row>
    <row r="784" spans="8:9" x14ac:dyDescent="0.3">
      <c r="H784" s="7" t="str" cm="1">
        <f t="array" ref="H784">_xlfn.IFS(D784="","",D784="Grand Total",SUM(H$2:H783),TRUE,IF(COUNTIF(Transactions[Custom Category],D784)&gt;0,SUMIFS(Transactions[Amount],Transactions[Custom Category],D784,Transactions[Month],Sel_Month),SUMIFS(Transactions[Amount],Transactions[Name],D784,Transactions[Month],Sel_Month)))</f>
        <v/>
      </c>
      <c r="I784" s="8" t="str">
        <f t="shared" si="12"/>
        <v/>
      </c>
    </row>
    <row r="785" spans="8:9" x14ac:dyDescent="0.3">
      <c r="H785" s="7" t="str" cm="1">
        <f t="array" ref="H785">_xlfn.IFS(D785="","",D785="Grand Total",SUM(H$2:H784),TRUE,IF(COUNTIF(Transactions[Custom Category],D785)&gt;0,SUMIFS(Transactions[Amount],Transactions[Custom Category],D785,Transactions[Month],Sel_Month),SUMIFS(Transactions[Amount],Transactions[Name],D785,Transactions[Month],Sel_Month)))</f>
        <v/>
      </c>
      <c r="I785" s="8" t="str">
        <f t="shared" si="12"/>
        <v/>
      </c>
    </row>
    <row r="786" spans="8:9" x14ac:dyDescent="0.3">
      <c r="H786" s="7" t="str" cm="1">
        <f t="array" ref="H786">_xlfn.IFS(D786="","",D786="Grand Total",SUM(H$2:H785),TRUE,IF(COUNTIF(Transactions[Custom Category],D786)&gt;0,SUMIFS(Transactions[Amount],Transactions[Custom Category],D786,Transactions[Month],Sel_Month),SUMIFS(Transactions[Amount],Transactions[Name],D786,Transactions[Month],Sel_Month)))</f>
        <v/>
      </c>
      <c r="I786" s="8" t="str">
        <f t="shared" si="12"/>
        <v/>
      </c>
    </row>
    <row r="787" spans="8:9" x14ac:dyDescent="0.3">
      <c r="H787" s="7" t="str" cm="1">
        <f t="array" ref="H787">_xlfn.IFS(D787="","",D787="Grand Total",SUM(H$2:H786),TRUE,IF(COUNTIF(Transactions[Custom Category],D787)&gt;0,SUMIFS(Transactions[Amount],Transactions[Custom Category],D787,Transactions[Month],Sel_Month),SUMIFS(Transactions[Amount],Transactions[Name],D787,Transactions[Month],Sel_Month)))</f>
        <v/>
      </c>
      <c r="I787" s="8" t="str">
        <f t="shared" si="12"/>
        <v/>
      </c>
    </row>
    <row r="788" spans="8:9" x14ac:dyDescent="0.3">
      <c r="H788" s="7" t="str" cm="1">
        <f t="array" ref="H788">_xlfn.IFS(D788="","",D788="Grand Total",SUM(H$2:H787),TRUE,IF(COUNTIF(Transactions[Custom Category],D788)&gt;0,SUMIFS(Transactions[Amount],Transactions[Custom Category],D788,Transactions[Month],Sel_Month),SUMIFS(Transactions[Amount],Transactions[Name],D788,Transactions[Month],Sel_Month)))</f>
        <v/>
      </c>
      <c r="I788" s="8" t="str">
        <f t="shared" si="12"/>
        <v/>
      </c>
    </row>
    <row r="789" spans="8:9" x14ac:dyDescent="0.3">
      <c r="H789" s="7" t="str" cm="1">
        <f t="array" ref="H789">_xlfn.IFS(D789="","",D789="Grand Total",SUM(H$2:H788),TRUE,IF(COUNTIF(Transactions[Custom Category],D789)&gt;0,SUMIFS(Transactions[Amount],Transactions[Custom Category],D789,Transactions[Month],Sel_Month),SUMIFS(Transactions[Amount],Transactions[Name],D789,Transactions[Month],Sel_Month)))</f>
        <v/>
      </c>
      <c r="I789" s="8" t="str">
        <f t="shared" si="12"/>
        <v/>
      </c>
    </row>
    <row r="790" spans="8:9" x14ac:dyDescent="0.3">
      <c r="H790" s="7" t="str" cm="1">
        <f t="array" ref="H790">_xlfn.IFS(D790="","",D790="Grand Total",SUM(H$2:H789),TRUE,IF(COUNTIF(Transactions[Custom Category],D790)&gt;0,SUMIFS(Transactions[Amount],Transactions[Custom Category],D790,Transactions[Month],Sel_Month),SUMIFS(Transactions[Amount],Transactions[Name],D790,Transactions[Month],Sel_Month)))</f>
        <v/>
      </c>
      <c r="I790" s="8" t="str">
        <f t="shared" si="12"/>
        <v/>
      </c>
    </row>
    <row r="791" spans="8:9" x14ac:dyDescent="0.3">
      <c r="H791" s="7" t="str" cm="1">
        <f t="array" ref="H791">_xlfn.IFS(D791="","",D791="Grand Total",SUM(H$2:H790),TRUE,IF(COUNTIF(Transactions[Custom Category],D791)&gt;0,SUMIFS(Transactions[Amount],Transactions[Custom Category],D791,Transactions[Month],Sel_Month),SUMIFS(Transactions[Amount],Transactions[Name],D791,Transactions[Month],Sel_Month)))</f>
        <v/>
      </c>
      <c r="I791" s="8" t="str">
        <f t="shared" si="12"/>
        <v/>
      </c>
    </row>
    <row r="792" spans="8:9" x14ac:dyDescent="0.3">
      <c r="H792" s="7" t="str" cm="1">
        <f t="array" ref="H792">_xlfn.IFS(D792="","",D792="Grand Total",SUM(H$2:H791),TRUE,IF(COUNTIF(Transactions[Custom Category],D792)&gt;0,SUMIFS(Transactions[Amount],Transactions[Custom Category],D792,Transactions[Month],Sel_Month),SUMIFS(Transactions[Amount],Transactions[Name],D792,Transactions[Month],Sel_Month)))</f>
        <v/>
      </c>
      <c r="I792" s="8" t="str">
        <f t="shared" si="12"/>
        <v/>
      </c>
    </row>
    <row r="793" spans="8:9" x14ac:dyDescent="0.3">
      <c r="H793" s="7" t="str" cm="1">
        <f t="array" ref="H793">_xlfn.IFS(D793="","",D793="Grand Total",SUM(H$2:H792),TRUE,IF(COUNTIF(Transactions[Custom Category],D793)&gt;0,SUMIFS(Transactions[Amount],Transactions[Custom Category],D793,Transactions[Month],Sel_Month),SUMIFS(Transactions[Amount],Transactions[Name],D793,Transactions[Month],Sel_Month)))</f>
        <v/>
      </c>
      <c r="I793" s="8" t="str">
        <f t="shared" si="12"/>
        <v/>
      </c>
    </row>
    <row r="794" spans="8:9" x14ac:dyDescent="0.3">
      <c r="H794" s="7" t="str" cm="1">
        <f t="array" ref="H794">_xlfn.IFS(D794="","",D794="Grand Total",SUM(H$2:H793),TRUE,IF(COUNTIF(Transactions[Custom Category],D794)&gt;0,SUMIFS(Transactions[Amount],Transactions[Custom Category],D794,Transactions[Month],Sel_Month),SUMIFS(Transactions[Amount],Transactions[Name],D794,Transactions[Month],Sel_Month)))</f>
        <v/>
      </c>
      <c r="I794" s="8" t="str">
        <f t="shared" si="12"/>
        <v/>
      </c>
    </row>
    <row r="795" spans="8:9" x14ac:dyDescent="0.3">
      <c r="H795" s="7" t="str" cm="1">
        <f t="array" ref="H795">_xlfn.IFS(D795="","",D795="Grand Total",SUM(H$2:H794),TRUE,IF(COUNTIF(Transactions[Custom Category],D795)&gt;0,SUMIFS(Transactions[Amount],Transactions[Custom Category],D795,Transactions[Month],Sel_Month),SUMIFS(Transactions[Amount],Transactions[Name],D795,Transactions[Month],Sel_Month)))</f>
        <v/>
      </c>
      <c r="I795" s="8" t="str">
        <f t="shared" si="12"/>
        <v/>
      </c>
    </row>
    <row r="796" spans="8:9" x14ac:dyDescent="0.3">
      <c r="H796" s="7" t="str" cm="1">
        <f t="array" ref="H796">_xlfn.IFS(D796="","",D796="Grand Total",SUM(H$2:H795),TRUE,IF(COUNTIF(Transactions[Custom Category],D796)&gt;0,SUMIFS(Transactions[Amount],Transactions[Custom Category],D796,Transactions[Month],Sel_Month),SUMIFS(Transactions[Amount],Transactions[Name],D796,Transactions[Month],Sel_Month)))</f>
        <v/>
      </c>
      <c r="I796" s="8" t="str">
        <f t="shared" si="12"/>
        <v/>
      </c>
    </row>
    <row r="797" spans="8:9" x14ac:dyDescent="0.3">
      <c r="H797" s="7" t="str" cm="1">
        <f t="array" ref="H797">_xlfn.IFS(D797="","",D797="Grand Total",SUM(H$2:H796),TRUE,IF(COUNTIF(Transactions[Custom Category],D797)&gt;0,SUMIFS(Transactions[Amount],Transactions[Custom Category],D797,Transactions[Month],Sel_Month),SUMIFS(Transactions[Amount],Transactions[Name],D797,Transactions[Month],Sel_Month)))</f>
        <v/>
      </c>
      <c r="I797" s="8" t="str">
        <f t="shared" si="12"/>
        <v/>
      </c>
    </row>
    <row r="798" spans="8:9" x14ac:dyDescent="0.3">
      <c r="H798" s="7" t="str" cm="1">
        <f t="array" ref="H798">_xlfn.IFS(D798="","",D798="Grand Total",SUM(H$2:H797),TRUE,IF(COUNTIF(Transactions[Custom Category],D798)&gt;0,SUMIFS(Transactions[Amount],Transactions[Custom Category],D798,Transactions[Month],Sel_Month),SUMIFS(Transactions[Amount],Transactions[Name],D798,Transactions[Month],Sel_Month)))</f>
        <v/>
      </c>
      <c r="I798" s="8" t="str">
        <f t="shared" si="12"/>
        <v/>
      </c>
    </row>
    <row r="799" spans="8:9" x14ac:dyDescent="0.3">
      <c r="H799" s="7" t="str" cm="1">
        <f t="array" ref="H799">_xlfn.IFS(D799="","",D799="Grand Total",SUM(H$2:H798),TRUE,IF(COUNTIF(Transactions[Custom Category],D799)&gt;0,SUMIFS(Transactions[Amount],Transactions[Custom Category],D799,Transactions[Month],Sel_Month),SUMIFS(Transactions[Amount],Transactions[Name],D799,Transactions[Month],Sel_Month)))</f>
        <v/>
      </c>
      <c r="I799" s="8" t="str">
        <f t="shared" si="12"/>
        <v/>
      </c>
    </row>
    <row r="800" spans="8:9" x14ac:dyDescent="0.3">
      <c r="H800" s="7" t="str" cm="1">
        <f t="array" ref="H800">_xlfn.IFS(D800="","",D800="Grand Total",SUM(H$2:H799),TRUE,IF(COUNTIF(Transactions[Custom Category],D800)&gt;0,SUMIFS(Transactions[Amount],Transactions[Custom Category],D800,Transactions[Month],Sel_Month),SUMIFS(Transactions[Amount],Transactions[Name],D800,Transactions[Month],Sel_Month)))</f>
        <v/>
      </c>
      <c r="I800" s="8" t="str">
        <f t="shared" si="12"/>
        <v/>
      </c>
    </row>
    <row r="801" spans="8:9" x14ac:dyDescent="0.3">
      <c r="H801" s="7" t="str" cm="1">
        <f t="array" ref="H801">_xlfn.IFS(D801="","",D801="Grand Total",SUM(H$2:H800),TRUE,IF(COUNTIF(Transactions[Custom Category],D801)&gt;0,SUMIFS(Transactions[Amount],Transactions[Custom Category],D801,Transactions[Month],Sel_Month),SUMIFS(Transactions[Amount],Transactions[Name],D801,Transactions[Month],Sel_Month)))</f>
        <v/>
      </c>
      <c r="I801" s="8" t="str">
        <f t="shared" si="12"/>
        <v/>
      </c>
    </row>
    <row r="802" spans="8:9" x14ac:dyDescent="0.3">
      <c r="H802" s="7" t="str" cm="1">
        <f t="array" ref="H802">_xlfn.IFS(D802="","",D802="Grand Total",SUM(H$2:H801),TRUE,IF(COUNTIF(Transactions[Custom Category],D802)&gt;0,SUMIFS(Transactions[Amount],Transactions[Custom Category],D802,Transactions[Month],Sel_Month),SUMIFS(Transactions[Amount],Transactions[Name],D802,Transactions[Month],Sel_Month)))</f>
        <v/>
      </c>
      <c r="I802" s="8" t="str">
        <f t="shared" si="12"/>
        <v/>
      </c>
    </row>
    <row r="803" spans="8:9" x14ac:dyDescent="0.3">
      <c r="H803" s="7" t="str" cm="1">
        <f t="array" ref="H803">_xlfn.IFS(D803="","",D803="Grand Total",SUM(H$2:H802),TRUE,IF(COUNTIF(Transactions[Custom Category],D803)&gt;0,SUMIFS(Transactions[Amount],Transactions[Custom Category],D803,Transactions[Month],Sel_Month),SUMIFS(Transactions[Amount],Transactions[Name],D803,Transactions[Month],Sel_Month)))</f>
        <v/>
      </c>
      <c r="I803" s="8" t="str">
        <f t="shared" si="12"/>
        <v/>
      </c>
    </row>
    <row r="804" spans="8:9" x14ac:dyDescent="0.3">
      <c r="H804" s="7" t="str" cm="1">
        <f t="array" ref="H804">_xlfn.IFS(D804="","",D804="Grand Total",SUM(H$2:H803),TRUE,IF(COUNTIF(Transactions[Custom Category],D804)&gt;0,SUMIFS(Transactions[Amount],Transactions[Custom Category],D804,Transactions[Month],Sel_Month),SUMIFS(Transactions[Amount],Transactions[Name],D804,Transactions[Month],Sel_Month)))</f>
        <v/>
      </c>
      <c r="I804" s="8" t="str">
        <f t="shared" si="12"/>
        <v/>
      </c>
    </row>
    <row r="805" spans="8:9" x14ac:dyDescent="0.3">
      <c r="H805" s="7" t="str" cm="1">
        <f t="array" ref="H805">_xlfn.IFS(D805="","",D805="Grand Total",SUM(H$2:H804),TRUE,IF(COUNTIF(Transactions[Custom Category],D805)&gt;0,SUMIFS(Transactions[Amount],Transactions[Custom Category],D805,Transactions[Month],Sel_Month),SUMIFS(Transactions[Amount],Transactions[Name],D805,Transactions[Month],Sel_Month)))</f>
        <v/>
      </c>
      <c r="I805" s="8" t="str">
        <f t="shared" si="12"/>
        <v/>
      </c>
    </row>
    <row r="806" spans="8:9" x14ac:dyDescent="0.3">
      <c r="H806" s="7" t="str" cm="1">
        <f t="array" ref="H806">_xlfn.IFS(D806="","",D806="Grand Total",SUM(H$2:H805),TRUE,IF(COUNTIF(Transactions[Custom Category],D806)&gt;0,SUMIFS(Transactions[Amount],Transactions[Custom Category],D806,Transactions[Month],Sel_Month),SUMIFS(Transactions[Amount],Transactions[Name],D806,Transactions[Month],Sel_Month)))</f>
        <v/>
      </c>
      <c r="I806" s="8" t="str">
        <f t="shared" si="12"/>
        <v/>
      </c>
    </row>
    <row r="807" spans="8:9" x14ac:dyDescent="0.3">
      <c r="H807" s="7" t="str" cm="1">
        <f t="array" ref="H807">_xlfn.IFS(D807="","",D807="Grand Total",SUM(H$2:H806),TRUE,IF(COUNTIF(Transactions[Custom Category],D807)&gt;0,SUMIFS(Transactions[Amount],Transactions[Custom Category],D807,Transactions[Month],Sel_Month),SUMIFS(Transactions[Amount],Transactions[Name],D807,Transactions[Month],Sel_Month)))</f>
        <v/>
      </c>
      <c r="I807" s="8" t="str">
        <f t="shared" si="12"/>
        <v/>
      </c>
    </row>
    <row r="808" spans="8:9" x14ac:dyDescent="0.3">
      <c r="H808" s="7" t="str" cm="1">
        <f t="array" ref="H808">_xlfn.IFS(D808="","",D808="Grand Total",SUM(H$2:H807),TRUE,IF(COUNTIF(Transactions[Custom Category],D808)&gt;0,SUMIFS(Transactions[Amount],Transactions[Custom Category],D808,Transactions[Month],Sel_Month),SUMIFS(Transactions[Amount],Transactions[Name],D808,Transactions[Month],Sel_Month)))</f>
        <v/>
      </c>
      <c r="I808" s="8" t="str">
        <f t="shared" si="12"/>
        <v/>
      </c>
    </row>
    <row r="809" spans="8:9" x14ac:dyDescent="0.3">
      <c r="H809" s="7" t="str" cm="1">
        <f t="array" ref="H809">_xlfn.IFS(D809="","",D809="Grand Total",SUM(H$2:H808),TRUE,IF(COUNTIF(Transactions[Custom Category],D809)&gt;0,SUMIFS(Transactions[Amount],Transactions[Custom Category],D809,Transactions[Month],Sel_Month),SUMIFS(Transactions[Amount],Transactions[Name],D809,Transactions[Month],Sel_Month)))</f>
        <v/>
      </c>
      <c r="I809" s="8" t="str">
        <f t="shared" si="12"/>
        <v/>
      </c>
    </row>
    <row r="810" spans="8:9" x14ac:dyDescent="0.3">
      <c r="H810" s="7" t="str" cm="1">
        <f t="array" ref="H810">_xlfn.IFS(D810="","",D810="Grand Total",SUM(H$2:H809),TRUE,IF(COUNTIF(Transactions[Custom Category],D810)&gt;0,SUMIFS(Transactions[Amount],Transactions[Custom Category],D810,Transactions[Month],Sel_Month),SUMIFS(Transactions[Amount],Transactions[Name],D810,Transactions[Month],Sel_Month)))</f>
        <v/>
      </c>
      <c r="I810" s="8" t="str">
        <f t="shared" si="12"/>
        <v/>
      </c>
    </row>
    <row r="811" spans="8:9" x14ac:dyDescent="0.3">
      <c r="H811" s="7" t="str" cm="1">
        <f t="array" ref="H811">_xlfn.IFS(D811="","",D811="Grand Total",SUM(H$2:H810),TRUE,IF(COUNTIF(Transactions[Custom Category],D811)&gt;0,SUMIFS(Transactions[Amount],Transactions[Custom Category],D811,Transactions[Month],Sel_Month),SUMIFS(Transactions[Amount],Transactions[Name],D811,Transactions[Month],Sel_Month)))</f>
        <v/>
      </c>
      <c r="I811" s="8" t="str">
        <f t="shared" si="12"/>
        <v/>
      </c>
    </row>
    <row r="812" spans="8:9" x14ac:dyDescent="0.3">
      <c r="H812" s="7" t="str" cm="1">
        <f t="array" ref="H812">_xlfn.IFS(D812="","",D812="Grand Total",SUM(H$2:H811),TRUE,IF(COUNTIF(Transactions[Custom Category],D812)&gt;0,SUMIFS(Transactions[Amount],Transactions[Custom Category],D812,Transactions[Month],Sel_Month),SUMIFS(Transactions[Amount],Transactions[Name],D812,Transactions[Month],Sel_Month)))</f>
        <v/>
      </c>
      <c r="I812" s="8" t="str">
        <f t="shared" si="12"/>
        <v/>
      </c>
    </row>
    <row r="813" spans="8:9" x14ac:dyDescent="0.3">
      <c r="H813" s="7" t="str" cm="1">
        <f t="array" ref="H813">_xlfn.IFS(D813="","",D813="Grand Total",SUM(H$2:H812),TRUE,IF(COUNTIF(Transactions[Custom Category],D813)&gt;0,SUMIFS(Transactions[Amount],Transactions[Custom Category],D813,Transactions[Month],Sel_Month),SUMIFS(Transactions[Amount],Transactions[Name],D813,Transactions[Month],Sel_Month)))</f>
        <v/>
      </c>
      <c r="I813" s="8" t="str">
        <f t="shared" si="12"/>
        <v/>
      </c>
    </row>
    <row r="814" spans="8:9" x14ac:dyDescent="0.3">
      <c r="H814" s="7" t="str" cm="1">
        <f t="array" ref="H814">_xlfn.IFS(D814="","",D814="Grand Total",SUM(H$2:H813),TRUE,IF(COUNTIF(Transactions[Custom Category],D814)&gt;0,SUMIFS(Transactions[Amount],Transactions[Custom Category],D814,Transactions[Month],Sel_Month),SUMIFS(Transactions[Amount],Transactions[Name],D814,Transactions[Month],Sel_Month)))</f>
        <v/>
      </c>
      <c r="I814" s="8" t="str">
        <f t="shared" si="12"/>
        <v/>
      </c>
    </row>
    <row r="815" spans="8:9" x14ac:dyDescent="0.3">
      <c r="H815" s="7" t="str" cm="1">
        <f t="array" ref="H815">_xlfn.IFS(D815="","",D815="Grand Total",SUM(H$2:H814),TRUE,IF(COUNTIF(Transactions[Custom Category],D815)&gt;0,SUMIFS(Transactions[Amount],Transactions[Custom Category],D815,Transactions[Month],Sel_Month),SUMIFS(Transactions[Amount],Transactions[Name],D815,Transactions[Month],Sel_Month)))</f>
        <v/>
      </c>
      <c r="I815" s="8" t="str">
        <f t="shared" si="12"/>
        <v/>
      </c>
    </row>
    <row r="816" spans="8:9" x14ac:dyDescent="0.3">
      <c r="H816" s="7" t="str" cm="1">
        <f t="array" ref="H816">_xlfn.IFS(D816="","",D816="Grand Total",SUM(H$2:H815),TRUE,IF(COUNTIF(Transactions[Custom Category],D816)&gt;0,SUMIFS(Transactions[Amount],Transactions[Custom Category],D816,Transactions[Month],Sel_Month),SUMIFS(Transactions[Amount],Transactions[Name],D816,Transactions[Month],Sel_Month)))</f>
        <v/>
      </c>
      <c r="I816" s="8" t="str">
        <f t="shared" si="12"/>
        <v/>
      </c>
    </row>
    <row r="817" spans="8:9" x14ac:dyDescent="0.3">
      <c r="H817" s="7" t="str" cm="1">
        <f t="array" ref="H817">_xlfn.IFS(D817="","",D817="Grand Total",SUM(H$2:H816),TRUE,IF(COUNTIF(Transactions[Custom Category],D817)&gt;0,SUMIFS(Transactions[Amount],Transactions[Custom Category],D817,Transactions[Month],Sel_Month),SUMIFS(Transactions[Amount],Transactions[Name],D817,Transactions[Month],Sel_Month)))</f>
        <v/>
      </c>
      <c r="I817" s="8" t="str">
        <f t="shared" si="12"/>
        <v/>
      </c>
    </row>
    <row r="818" spans="8:9" x14ac:dyDescent="0.3">
      <c r="H818" s="7" t="str" cm="1">
        <f t="array" ref="H818">_xlfn.IFS(D818="","",D818="Grand Total",SUM(H$2:H817),TRUE,IF(COUNTIF(Transactions[Custom Category],D818)&gt;0,SUMIFS(Transactions[Amount],Transactions[Custom Category],D818,Transactions[Month],Sel_Month),SUMIFS(Transactions[Amount],Transactions[Name],D818,Transactions[Month],Sel_Month)))</f>
        <v/>
      </c>
      <c r="I818" s="8" t="str">
        <f t="shared" si="12"/>
        <v/>
      </c>
    </row>
    <row r="819" spans="8:9" x14ac:dyDescent="0.3">
      <c r="H819" s="7" t="str" cm="1">
        <f t="array" ref="H819">_xlfn.IFS(D819="","",D819="Grand Total",SUM(H$2:H818),TRUE,IF(COUNTIF(Transactions[Custom Category],D819)&gt;0,SUMIFS(Transactions[Amount],Transactions[Custom Category],D819,Transactions[Month],Sel_Month),SUMIFS(Transactions[Amount],Transactions[Name],D819,Transactions[Month],Sel_Month)))</f>
        <v/>
      </c>
      <c r="I819" s="8" t="str">
        <f t="shared" si="12"/>
        <v/>
      </c>
    </row>
    <row r="820" spans="8:9" x14ac:dyDescent="0.3">
      <c r="H820" s="7" t="str" cm="1">
        <f t="array" ref="H820">_xlfn.IFS(D820="","",D820="Grand Total",SUM(H$2:H819),TRUE,IF(COUNTIF(Transactions[Custom Category],D820)&gt;0,SUMIFS(Transactions[Amount],Transactions[Custom Category],D820,Transactions[Month],Sel_Month),SUMIFS(Transactions[Amount],Transactions[Name],D820,Transactions[Month],Sel_Month)))</f>
        <v/>
      </c>
      <c r="I820" s="8" t="str">
        <f t="shared" si="12"/>
        <v/>
      </c>
    </row>
    <row r="821" spans="8:9" x14ac:dyDescent="0.3">
      <c r="H821" s="7" t="str" cm="1">
        <f t="array" ref="H821">_xlfn.IFS(D821="","",D821="Grand Total",SUM(H$2:H820),TRUE,IF(COUNTIF(Transactions[Custom Category],D821)&gt;0,SUMIFS(Transactions[Amount],Transactions[Custom Category],D821,Transactions[Month],Sel_Month),SUMIFS(Transactions[Amount],Transactions[Name],D821,Transactions[Month],Sel_Month)))</f>
        <v/>
      </c>
      <c r="I821" s="8" t="str">
        <f t="shared" si="12"/>
        <v/>
      </c>
    </row>
    <row r="822" spans="8:9" x14ac:dyDescent="0.3">
      <c r="H822" s="7" t="str" cm="1">
        <f t="array" ref="H822">_xlfn.IFS(D822="","",D822="Grand Total",SUM(H$2:H821),TRUE,IF(COUNTIF(Transactions[Custom Category],D822)&gt;0,SUMIFS(Transactions[Amount],Transactions[Custom Category],D822,Transactions[Month],Sel_Month),SUMIFS(Transactions[Amount],Transactions[Name],D822,Transactions[Month],Sel_Month)))</f>
        <v/>
      </c>
      <c r="I822" s="8" t="str">
        <f t="shared" si="12"/>
        <v/>
      </c>
    </row>
    <row r="823" spans="8:9" x14ac:dyDescent="0.3">
      <c r="H823" s="7" t="str" cm="1">
        <f t="array" ref="H823">_xlfn.IFS(D823="","",D823="Grand Total",SUM(H$2:H822),TRUE,IF(COUNTIF(Transactions[Custom Category],D823)&gt;0,SUMIFS(Transactions[Amount],Transactions[Custom Category],D823,Transactions[Month],Sel_Month),SUMIFS(Transactions[Amount],Transactions[Name],D823,Transactions[Month],Sel_Month)))</f>
        <v/>
      </c>
      <c r="I823" s="8" t="str">
        <f t="shared" si="12"/>
        <v/>
      </c>
    </row>
    <row r="824" spans="8:9" x14ac:dyDescent="0.3">
      <c r="H824" s="7" t="str" cm="1">
        <f t="array" ref="H824">_xlfn.IFS(D824="","",D824="Grand Total",SUM(H$2:H823),TRUE,IF(COUNTIF(Transactions[Custom Category],D824)&gt;0,SUMIFS(Transactions[Amount],Transactions[Custom Category],D824,Transactions[Month],Sel_Month),SUMIFS(Transactions[Amount],Transactions[Name],D824,Transactions[Month],Sel_Month)))</f>
        <v/>
      </c>
      <c r="I824" s="8" t="str">
        <f t="shared" si="12"/>
        <v/>
      </c>
    </row>
    <row r="825" spans="8:9" x14ac:dyDescent="0.3">
      <c r="H825" s="7" t="str" cm="1">
        <f t="array" ref="H825">_xlfn.IFS(D825="","",D825="Grand Total",SUM(H$2:H824),TRUE,IF(COUNTIF(Transactions[Custom Category],D825)&gt;0,SUMIFS(Transactions[Amount],Transactions[Custom Category],D825,Transactions[Month],Sel_Month),SUMIFS(Transactions[Amount],Transactions[Name],D825,Transactions[Month],Sel_Month)))</f>
        <v/>
      </c>
      <c r="I825" s="8" t="str">
        <f t="shared" si="12"/>
        <v/>
      </c>
    </row>
    <row r="826" spans="8:9" x14ac:dyDescent="0.3">
      <c r="H826" s="7" t="str" cm="1">
        <f t="array" ref="H826">_xlfn.IFS(D826="","",D826="Grand Total",SUM(H$2:H825),TRUE,IF(COUNTIF(Transactions[Custom Category],D826)&gt;0,SUMIFS(Transactions[Amount],Transactions[Custom Category],D826,Transactions[Month],Sel_Month),SUMIFS(Transactions[Amount],Transactions[Name],D826,Transactions[Month],Sel_Month)))</f>
        <v/>
      </c>
      <c r="I826" s="8" t="str">
        <f t="shared" si="12"/>
        <v/>
      </c>
    </row>
    <row r="827" spans="8:9" x14ac:dyDescent="0.3">
      <c r="H827" s="7" t="str" cm="1">
        <f t="array" ref="H827">_xlfn.IFS(D827="","",D827="Grand Total",SUM(H$2:H826),TRUE,IF(COUNTIF(Transactions[Custom Category],D827)&gt;0,SUMIFS(Transactions[Amount],Transactions[Custom Category],D827,Transactions[Month],Sel_Month),SUMIFS(Transactions[Amount],Transactions[Name],D827,Transactions[Month],Sel_Month)))</f>
        <v/>
      </c>
      <c r="I827" s="8" t="str">
        <f t="shared" si="12"/>
        <v/>
      </c>
    </row>
    <row r="828" spans="8:9" x14ac:dyDescent="0.3">
      <c r="H828" s="7" t="str" cm="1">
        <f t="array" ref="H828">_xlfn.IFS(D828="","",D828="Grand Total",SUM(H$2:H827),TRUE,IF(COUNTIF(Transactions[Custom Category],D828)&gt;0,SUMIFS(Transactions[Amount],Transactions[Custom Category],D828,Transactions[Month],Sel_Month),SUMIFS(Transactions[Amount],Transactions[Name],D828,Transactions[Month],Sel_Month)))</f>
        <v/>
      </c>
      <c r="I828" s="8" t="str">
        <f t="shared" si="12"/>
        <v/>
      </c>
    </row>
    <row r="829" spans="8:9" x14ac:dyDescent="0.3">
      <c r="H829" s="7" t="str" cm="1">
        <f t="array" ref="H829">_xlfn.IFS(D829="","",D829="Grand Total",SUM(H$2:H828),TRUE,IF(COUNTIF(Transactions[Custom Category],D829)&gt;0,SUMIFS(Transactions[Amount],Transactions[Custom Category],D829,Transactions[Month],Sel_Month),SUMIFS(Transactions[Amount],Transactions[Name],D829,Transactions[Month],Sel_Month)))</f>
        <v/>
      </c>
      <c r="I829" s="8" t="str">
        <f t="shared" si="12"/>
        <v/>
      </c>
    </row>
    <row r="830" spans="8:9" x14ac:dyDescent="0.3">
      <c r="H830" s="7" t="str" cm="1">
        <f t="array" ref="H830">_xlfn.IFS(D830="","",D830="Grand Total",SUM(H$2:H829),TRUE,IF(COUNTIF(Transactions[Custom Category],D830)&gt;0,SUMIFS(Transactions[Amount],Transactions[Custom Category],D830,Transactions[Month],Sel_Month),SUMIFS(Transactions[Amount],Transactions[Name],D830,Transactions[Month],Sel_Month)))</f>
        <v/>
      </c>
      <c r="I830" s="8" t="str">
        <f t="shared" si="12"/>
        <v/>
      </c>
    </row>
    <row r="831" spans="8:9" x14ac:dyDescent="0.3">
      <c r="H831" s="7" t="str" cm="1">
        <f t="array" ref="H831">_xlfn.IFS(D831="","",D831="Grand Total",SUM(H$2:H830),TRUE,IF(COUNTIF(Transactions[Custom Category],D831)&gt;0,SUMIFS(Transactions[Amount],Transactions[Custom Category],D831,Transactions[Month],Sel_Month),SUMIFS(Transactions[Amount],Transactions[Name],D831,Transactions[Month],Sel_Month)))</f>
        <v/>
      </c>
      <c r="I831" s="8" t="str">
        <f t="shared" si="12"/>
        <v/>
      </c>
    </row>
    <row r="832" spans="8:9" x14ac:dyDescent="0.3">
      <c r="H832" s="7" t="str" cm="1">
        <f t="array" ref="H832">_xlfn.IFS(D832="","",D832="Grand Total",SUM(H$2:H831),TRUE,IF(COUNTIF(Transactions[Custom Category],D832)&gt;0,SUMIFS(Transactions[Amount],Transactions[Custom Category],D832,Transactions[Month],Sel_Month),SUMIFS(Transactions[Amount],Transactions[Name],D832,Transactions[Month],Sel_Month)))</f>
        <v/>
      </c>
      <c r="I832" s="8" t="str">
        <f t="shared" si="12"/>
        <v/>
      </c>
    </row>
    <row r="833" spans="8:9" x14ac:dyDescent="0.3">
      <c r="H833" s="7" t="str" cm="1">
        <f t="array" ref="H833">_xlfn.IFS(D833="","",D833="Grand Total",SUM(H$2:H832),TRUE,IF(COUNTIF(Transactions[Custom Category],D833)&gt;0,SUMIFS(Transactions[Amount],Transactions[Custom Category],D833,Transactions[Month],Sel_Month),SUMIFS(Transactions[Amount],Transactions[Name],D833,Transactions[Month],Sel_Month)))</f>
        <v/>
      </c>
      <c r="I833" s="8" t="str">
        <f t="shared" si="12"/>
        <v/>
      </c>
    </row>
    <row r="834" spans="8:9" x14ac:dyDescent="0.3">
      <c r="H834" s="7" t="str" cm="1">
        <f t="array" ref="H834">_xlfn.IFS(D834="","",D834="Grand Total",SUM(H$2:H833),TRUE,IF(COUNTIF(Transactions[Custom Category],D834)&gt;0,SUMIFS(Transactions[Amount],Transactions[Custom Category],D834,Transactions[Month],Sel_Month),SUMIFS(Transactions[Amount],Transactions[Name],D834,Transactions[Month],Sel_Month)))</f>
        <v/>
      </c>
      <c r="I834" s="8" t="str">
        <f t="shared" si="12"/>
        <v/>
      </c>
    </row>
    <row r="835" spans="8:9" x14ac:dyDescent="0.3">
      <c r="H835" s="7" t="str" cm="1">
        <f t="array" ref="H835">_xlfn.IFS(D835="","",D835="Grand Total",SUM(H$2:H834),TRUE,IF(COUNTIF(Transactions[Custom Category],D835)&gt;0,SUMIFS(Transactions[Amount],Transactions[Custom Category],D835,Transactions[Month],Sel_Month),SUMIFS(Transactions[Amount],Transactions[Name],D835,Transactions[Month],Sel_Month)))</f>
        <v/>
      </c>
      <c r="I835" s="8" t="str">
        <f t="shared" si="12"/>
        <v/>
      </c>
    </row>
    <row r="836" spans="8:9" x14ac:dyDescent="0.3">
      <c r="H836" s="7" t="str" cm="1">
        <f t="array" ref="H836">_xlfn.IFS(D836="","",D836="Grand Total",SUM(H$2:H835),TRUE,IF(COUNTIF(Transactions[Custom Category],D836)&gt;0,SUMIFS(Transactions[Amount],Transactions[Custom Category],D836,Transactions[Month],Sel_Month),SUMIFS(Transactions[Amount],Transactions[Name],D836,Transactions[Month],Sel_Month)))</f>
        <v/>
      </c>
      <c r="I836" s="8" t="str">
        <f t="shared" ref="I836:I899" si="13">IF(F836="","",IF(F836=0,0,1-((F836-H836)/F836)))</f>
        <v/>
      </c>
    </row>
    <row r="837" spans="8:9" x14ac:dyDescent="0.3">
      <c r="H837" s="7" t="str" cm="1">
        <f t="array" ref="H837">_xlfn.IFS(D837="","",D837="Grand Total",SUM(H$2:H836),TRUE,IF(COUNTIF(Transactions[Custom Category],D837)&gt;0,SUMIFS(Transactions[Amount],Transactions[Custom Category],D837,Transactions[Month],Sel_Month),SUMIFS(Transactions[Amount],Transactions[Name],D837,Transactions[Month],Sel_Month)))</f>
        <v/>
      </c>
      <c r="I837" s="8" t="str">
        <f t="shared" si="13"/>
        <v/>
      </c>
    </row>
    <row r="838" spans="8:9" x14ac:dyDescent="0.3">
      <c r="H838" s="7" t="str" cm="1">
        <f t="array" ref="H838">_xlfn.IFS(D838="","",D838="Grand Total",SUM(H$2:H837),TRUE,IF(COUNTIF(Transactions[Custom Category],D838)&gt;0,SUMIFS(Transactions[Amount],Transactions[Custom Category],D838,Transactions[Month],Sel_Month),SUMIFS(Transactions[Amount],Transactions[Name],D838,Transactions[Month],Sel_Month)))</f>
        <v/>
      </c>
      <c r="I838" s="8" t="str">
        <f t="shared" si="13"/>
        <v/>
      </c>
    </row>
    <row r="839" spans="8:9" x14ac:dyDescent="0.3">
      <c r="H839" s="7" t="str" cm="1">
        <f t="array" ref="H839">_xlfn.IFS(D839="","",D839="Grand Total",SUM(H$2:H838),TRUE,IF(COUNTIF(Transactions[Custom Category],D839)&gt;0,SUMIFS(Transactions[Amount],Transactions[Custom Category],D839,Transactions[Month],Sel_Month),SUMIFS(Transactions[Amount],Transactions[Name],D839,Transactions[Month],Sel_Month)))</f>
        <v/>
      </c>
      <c r="I839" s="8" t="str">
        <f t="shared" si="13"/>
        <v/>
      </c>
    </row>
    <row r="840" spans="8:9" x14ac:dyDescent="0.3">
      <c r="H840" s="7" t="str" cm="1">
        <f t="array" ref="H840">_xlfn.IFS(D840="","",D840="Grand Total",SUM(H$2:H839),TRUE,IF(COUNTIF(Transactions[Custom Category],D840)&gt;0,SUMIFS(Transactions[Amount],Transactions[Custom Category],D840,Transactions[Month],Sel_Month),SUMIFS(Transactions[Amount],Transactions[Name],D840,Transactions[Month],Sel_Month)))</f>
        <v/>
      </c>
      <c r="I840" s="8" t="str">
        <f t="shared" si="13"/>
        <v/>
      </c>
    </row>
    <row r="841" spans="8:9" x14ac:dyDescent="0.3">
      <c r="H841" s="7" t="str" cm="1">
        <f t="array" ref="H841">_xlfn.IFS(D841="","",D841="Grand Total",SUM(H$2:H840),TRUE,IF(COUNTIF(Transactions[Custom Category],D841)&gt;0,SUMIFS(Transactions[Amount],Transactions[Custom Category],D841,Transactions[Month],Sel_Month),SUMIFS(Transactions[Amount],Transactions[Name],D841,Transactions[Month],Sel_Month)))</f>
        <v/>
      </c>
      <c r="I841" s="8" t="str">
        <f t="shared" si="13"/>
        <v/>
      </c>
    </row>
    <row r="842" spans="8:9" x14ac:dyDescent="0.3">
      <c r="H842" s="7" t="str" cm="1">
        <f t="array" ref="H842">_xlfn.IFS(D842="","",D842="Grand Total",SUM(H$2:H841),TRUE,IF(COUNTIF(Transactions[Custom Category],D842)&gt;0,SUMIFS(Transactions[Amount],Transactions[Custom Category],D842,Transactions[Month],Sel_Month),SUMIFS(Transactions[Amount],Transactions[Name],D842,Transactions[Month],Sel_Month)))</f>
        <v/>
      </c>
      <c r="I842" s="8" t="str">
        <f t="shared" si="13"/>
        <v/>
      </c>
    </row>
    <row r="843" spans="8:9" x14ac:dyDescent="0.3">
      <c r="H843" s="7" t="str" cm="1">
        <f t="array" ref="H843">_xlfn.IFS(D843="","",D843="Grand Total",SUM(H$2:H842),TRUE,IF(COUNTIF(Transactions[Custom Category],D843)&gt;0,SUMIFS(Transactions[Amount],Transactions[Custom Category],D843,Transactions[Month],Sel_Month),SUMIFS(Transactions[Amount],Transactions[Name],D843,Transactions[Month],Sel_Month)))</f>
        <v/>
      </c>
      <c r="I843" s="8" t="str">
        <f t="shared" si="13"/>
        <v/>
      </c>
    </row>
    <row r="844" spans="8:9" x14ac:dyDescent="0.3">
      <c r="H844" s="7" t="str" cm="1">
        <f t="array" ref="H844">_xlfn.IFS(D844="","",D844="Grand Total",SUM(H$2:H843),TRUE,IF(COUNTIF(Transactions[Custom Category],D844)&gt;0,SUMIFS(Transactions[Amount],Transactions[Custom Category],D844,Transactions[Month],Sel_Month),SUMIFS(Transactions[Amount],Transactions[Name],D844,Transactions[Month],Sel_Month)))</f>
        <v/>
      </c>
      <c r="I844" s="8" t="str">
        <f t="shared" si="13"/>
        <v/>
      </c>
    </row>
    <row r="845" spans="8:9" x14ac:dyDescent="0.3">
      <c r="H845" s="7" t="str" cm="1">
        <f t="array" ref="H845">_xlfn.IFS(D845="","",D845="Grand Total",SUM(H$2:H844),TRUE,IF(COUNTIF(Transactions[Custom Category],D845)&gt;0,SUMIFS(Transactions[Amount],Transactions[Custom Category],D845,Transactions[Month],Sel_Month),SUMIFS(Transactions[Amount],Transactions[Name],D845,Transactions[Month],Sel_Month)))</f>
        <v/>
      </c>
      <c r="I845" s="8" t="str">
        <f t="shared" si="13"/>
        <v/>
      </c>
    </row>
    <row r="846" spans="8:9" x14ac:dyDescent="0.3">
      <c r="H846" s="7" t="str" cm="1">
        <f t="array" ref="H846">_xlfn.IFS(D846="","",D846="Grand Total",SUM(H$2:H845),TRUE,IF(COUNTIF(Transactions[Custom Category],D846)&gt;0,SUMIFS(Transactions[Amount],Transactions[Custom Category],D846,Transactions[Month],Sel_Month),SUMIFS(Transactions[Amount],Transactions[Name],D846,Transactions[Month],Sel_Month)))</f>
        <v/>
      </c>
      <c r="I846" s="8" t="str">
        <f t="shared" si="13"/>
        <v/>
      </c>
    </row>
    <row r="847" spans="8:9" x14ac:dyDescent="0.3">
      <c r="H847" s="7" t="str" cm="1">
        <f t="array" ref="H847">_xlfn.IFS(D847="","",D847="Grand Total",SUM(H$2:H846),TRUE,IF(COUNTIF(Transactions[Custom Category],D847)&gt;0,SUMIFS(Transactions[Amount],Transactions[Custom Category],D847,Transactions[Month],Sel_Month),SUMIFS(Transactions[Amount],Transactions[Name],D847,Transactions[Month],Sel_Month)))</f>
        <v/>
      </c>
      <c r="I847" s="8" t="str">
        <f t="shared" si="13"/>
        <v/>
      </c>
    </row>
    <row r="848" spans="8:9" x14ac:dyDescent="0.3">
      <c r="H848" s="7" t="str" cm="1">
        <f t="array" ref="H848">_xlfn.IFS(D848="","",D848="Grand Total",SUM(H$2:H847),TRUE,IF(COUNTIF(Transactions[Custom Category],D848)&gt;0,SUMIFS(Transactions[Amount],Transactions[Custom Category],D848,Transactions[Month],Sel_Month),SUMIFS(Transactions[Amount],Transactions[Name],D848,Transactions[Month],Sel_Month)))</f>
        <v/>
      </c>
      <c r="I848" s="8" t="str">
        <f t="shared" si="13"/>
        <v/>
      </c>
    </row>
    <row r="849" spans="8:9" x14ac:dyDescent="0.3">
      <c r="H849" s="7" t="str" cm="1">
        <f t="array" ref="H849">_xlfn.IFS(D849="","",D849="Grand Total",SUM(H$2:H848),TRUE,IF(COUNTIF(Transactions[Custom Category],D849)&gt;0,SUMIFS(Transactions[Amount],Transactions[Custom Category],D849,Transactions[Month],Sel_Month),SUMIFS(Transactions[Amount],Transactions[Name],D849,Transactions[Month],Sel_Month)))</f>
        <v/>
      </c>
      <c r="I849" s="8" t="str">
        <f t="shared" si="13"/>
        <v/>
      </c>
    </row>
    <row r="850" spans="8:9" x14ac:dyDescent="0.3">
      <c r="H850" s="7" t="str" cm="1">
        <f t="array" ref="H850">_xlfn.IFS(D850="","",D850="Grand Total",SUM(H$2:H849),TRUE,IF(COUNTIF(Transactions[Custom Category],D850)&gt;0,SUMIFS(Transactions[Amount],Transactions[Custom Category],D850,Transactions[Month],Sel_Month),SUMIFS(Transactions[Amount],Transactions[Name],D850,Transactions[Month],Sel_Month)))</f>
        <v/>
      </c>
      <c r="I850" s="8" t="str">
        <f t="shared" si="13"/>
        <v/>
      </c>
    </row>
    <row r="851" spans="8:9" x14ac:dyDescent="0.3">
      <c r="H851" s="7" t="str" cm="1">
        <f t="array" ref="H851">_xlfn.IFS(D851="","",D851="Grand Total",SUM(H$2:H850),TRUE,IF(COUNTIF(Transactions[Custom Category],D851)&gt;0,SUMIFS(Transactions[Amount],Transactions[Custom Category],D851,Transactions[Month],Sel_Month),SUMIFS(Transactions[Amount],Transactions[Name],D851,Transactions[Month],Sel_Month)))</f>
        <v/>
      </c>
      <c r="I851" s="8" t="str">
        <f t="shared" si="13"/>
        <v/>
      </c>
    </row>
    <row r="852" spans="8:9" x14ac:dyDescent="0.3">
      <c r="H852" s="7" t="str" cm="1">
        <f t="array" ref="H852">_xlfn.IFS(D852="","",D852="Grand Total",SUM(H$2:H851),TRUE,IF(COUNTIF(Transactions[Custom Category],D852)&gt;0,SUMIFS(Transactions[Amount],Transactions[Custom Category],D852,Transactions[Month],Sel_Month),SUMIFS(Transactions[Amount],Transactions[Name],D852,Transactions[Month],Sel_Month)))</f>
        <v/>
      </c>
      <c r="I852" s="8" t="str">
        <f t="shared" si="13"/>
        <v/>
      </c>
    </row>
    <row r="853" spans="8:9" x14ac:dyDescent="0.3">
      <c r="H853" s="7" t="str" cm="1">
        <f t="array" ref="H853">_xlfn.IFS(D853="","",D853="Grand Total",SUM(H$2:H852),TRUE,IF(COUNTIF(Transactions[Custom Category],D853)&gt;0,SUMIFS(Transactions[Amount],Transactions[Custom Category],D853,Transactions[Month],Sel_Month),SUMIFS(Transactions[Amount],Transactions[Name],D853,Transactions[Month],Sel_Month)))</f>
        <v/>
      </c>
      <c r="I853" s="8" t="str">
        <f t="shared" si="13"/>
        <v/>
      </c>
    </row>
    <row r="854" spans="8:9" x14ac:dyDescent="0.3">
      <c r="H854" s="7" t="str" cm="1">
        <f t="array" ref="H854">_xlfn.IFS(D854="","",D854="Grand Total",SUM(H$2:H853),TRUE,IF(COUNTIF(Transactions[Custom Category],D854)&gt;0,SUMIFS(Transactions[Amount],Transactions[Custom Category],D854,Transactions[Month],Sel_Month),SUMIFS(Transactions[Amount],Transactions[Name],D854,Transactions[Month],Sel_Month)))</f>
        <v/>
      </c>
      <c r="I854" s="8" t="str">
        <f t="shared" si="13"/>
        <v/>
      </c>
    </row>
    <row r="855" spans="8:9" x14ac:dyDescent="0.3">
      <c r="H855" s="7" t="str" cm="1">
        <f t="array" ref="H855">_xlfn.IFS(D855="","",D855="Grand Total",SUM(H$2:H854),TRUE,IF(COUNTIF(Transactions[Custom Category],D855)&gt;0,SUMIFS(Transactions[Amount],Transactions[Custom Category],D855,Transactions[Month],Sel_Month),SUMIFS(Transactions[Amount],Transactions[Name],D855,Transactions[Month],Sel_Month)))</f>
        <v/>
      </c>
      <c r="I855" s="8" t="str">
        <f t="shared" si="13"/>
        <v/>
      </c>
    </row>
    <row r="856" spans="8:9" x14ac:dyDescent="0.3">
      <c r="H856" s="7" t="str" cm="1">
        <f t="array" ref="H856">_xlfn.IFS(D856="","",D856="Grand Total",SUM(H$2:H855),TRUE,IF(COUNTIF(Transactions[Custom Category],D856)&gt;0,SUMIFS(Transactions[Amount],Transactions[Custom Category],D856,Transactions[Month],Sel_Month),SUMIFS(Transactions[Amount],Transactions[Name],D856,Transactions[Month],Sel_Month)))</f>
        <v/>
      </c>
      <c r="I856" s="8" t="str">
        <f t="shared" si="13"/>
        <v/>
      </c>
    </row>
    <row r="857" spans="8:9" x14ac:dyDescent="0.3">
      <c r="H857" s="7" t="str" cm="1">
        <f t="array" ref="H857">_xlfn.IFS(D857="","",D857="Grand Total",SUM(H$2:H856),TRUE,IF(COUNTIF(Transactions[Custom Category],D857)&gt;0,SUMIFS(Transactions[Amount],Transactions[Custom Category],D857,Transactions[Month],Sel_Month),SUMIFS(Transactions[Amount],Transactions[Name],D857,Transactions[Month],Sel_Month)))</f>
        <v/>
      </c>
      <c r="I857" s="8" t="str">
        <f t="shared" si="13"/>
        <v/>
      </c>
    </row>
    <row r="858" spans="8:9" x14ac:dyDescent="0.3">
      <c r="H858" s="7" t="str" cm="1">
        <f t="array" ref="H858">_xlfn.IFS(D858="","",D858="Grand Total",SUM(H$2:H857),TRUE,IF(COUNTIF(Transactions[Custom Category],D858)&gt;0,SUMIFS(Transactions[Amount],Transactions[Custom Category],D858,Transactions[Month],Sel_Month),SUMIFS(Transactions[Amount],Transactions[Name],D858,Transactions[Month],Sel_Month)))</f>
        <v/>
      </c>
      <c r="I858" s="8" t="str">
        <f t="shared" si="13"/>
        <v/>
      </c>
    </row>
    <row r="859" spans="8:9" x14ac:dyDescent="0.3">
      <c r="H859" s="7" t="str" cm="1">
        <f t="array" ref="H859">_xlfn.IFS(D859="","",D859="Grand Total",SUM(H$2:H858),TRUE,IF(COUNTIF(Transactions[Custom Category],D859)&gt;0,SUMIFS(Transactions[Amount],Transactions[Custom Category],D859,Transactions[Month],Sel_Month),SUMIFS(Transactions[Amount],Transactions[Name],D859,Transactions[Month],Sel_Month)))</f>
        <v/>
      </c>
      <c r="I859" s="8" t="str">
        <f t="shared" si="13"/>
        <v/>
      </c>
    </row>
    <row r="860" spans="8:9" x14ac:dyDescent="0.3">
      <c r="H860" s="7" t="str" cm="1">
        <f t="array" ref="H860">_xlfn.IFS(D860="","",D860="Grand Total",SUM(H$2:H859),TRUE,IF(COUNTIF(Transactions[Custom Category],D860)&gt;0,SUMIFS(Transactions[Amount],Transactions[Custom Category],D860,Transactions[Month],Sel_Month),SUMIFS(Transactions[Amount],Transactions[Name],D860,Transactions[Month],Sel_Month)))</f>
        <v/>
      </c>
      <c r="I860" s="8" t="str">
        <f t="shared" si="13"/>
        <v/>
      </c>
    </row>
    <row r="861" spans="8:9" x14ac:dyDescent="0.3">
      <c r="H861" s="7" t="str" cm="1">
        <f t="array" ref="H861">_xlfn.IFS(D861="","",D861="Grand Total",SUM(H$2:H860),TRUE,IF(COUNTIF(Transactions[Custom Category],D861)&gt;0,SUMIFS(Transactions[Amount],Transactions[Custom Category],D861,Transactions[Month],Sel_Month),SUMIFS(Transactions[Amount],Transactions[Name],D861,Transactions[Month],Sel_Month)))</f>
        <v/>
      </c>
      <c r="I861" s="8" t="str">
        <f t="shared" si="13"/>
        <v/>
      </c>
    </row>
    <row r="862" spans="8:9" x14ac:dyDescent="0.3">
      <c r="H862" s="7" t="str" cm="1">
        <f t="array" ref="H862">_xlfn.IFS(D862="","",D862="Grand Total",SUM(H$2:H861),TRUE,IF(COUNTIF(Transactions[Custom Category],D862)&gt;0,SUMIFS(Transactions[Amount],Transactions[Custom Category],D862,Transactions[Month],Sel_Month),SUMIFS(Transactions[Amount],Transactions[Name],D862,Transactions[Month],Sel_Month)))</f>
        <v/>
      </c>
      <c r="I862" s="8" t="str">
        <f t="shared" si="13"/>
        <v/>
      </c>
    </row>
    <row r="863" spans="8:9" x14ac:dyDescent="0.3">
      <c r="H863" s="7" t="str" cm="1">
        <f t="array" ref="H863">_xlfn.IFS(D863="","",D863="Grand Total",SUM(H$2:H862),TRUE,IF(COUNTIF(Transactions[Custom Category],D863)&gt;0,SUMIFS(Transactions[Amount],Transactions[Custom Category],D863,Transactions[Month],Sel_Month),SUMIFS(Transactions[Amount],Transactions[Name],D863,Transactions[Month],Sel_Month)))</f>
        <v/>
      </c>
      <c r="I863" s="8" t="str">
        <f t="shared" si="13"/>
        <v/>
      </c>
    </row>
    <row r="864" spans="8:9" x14ac:dyDescent="0.3">
      <c r="H864" s="7" t="str" cm="1">
        <f t="array" ref="H864">_xlfn.IFS(D864="","",D864="Grand Total",SUM(H$2:H863),TRUE,IF(COUNTIF(Transactions[Custom Category],D864)&gt;0,SUMIFS(Transactions[Amount],Transactions[Custom Category],D864,Transactions[Month],Sel_Month),SUMIFS(Transactions[Amount],Transactions[Name],D864,Transactions[Month],Sel_Month)))</f>
        <v/>
      </c>
      <c r="I864" s="8" t="str">
        <f t="shared" si="13"/>
        <v/>
      </c>
    </row>
    <row r="865" spans="8:9" x14ac:dyDescent="0.3">
      <c r="H865" s="7" t="str" cm="1">
        <f t="array" ref="H865">_xlfn.IFS(D865="","",D865="Grand Total",SUM(H$2:H864),TRUE,IF(COUNTIF(Transactions[Custom Category],D865)&gt;0,SUMIFS(Transactions[Amount],Transactions[Custom Category],D865,Transactions[Month],Sel_Month),SUMIFS(Transactions[Amount],Transactions[Name],D865,Transactions[Month],Sel_Month)))</f>
        <v/>
      </c>
      <c r="I865" s="8" t="str">
        <f t="shared" si="13"/>
        <v/>
      </c>
    </row>
    <row r="866" spans="8:9" x14ac:dyDescent="0.3">
      <c r="H866" s="7" t="str" cm="1">
        <f t="array" ref="H866">_xlfn.IFS(D866="","",D866="Grand Total",SUM(H$2:H865),TRUE,IF(COUNTIF(Transactions[Custom Category],D866)&gt;0,SUMIFS(Transactions[Amount],Transactions[Custom Category],D866,Transactions[Month],Sel_Month),SUMIFS(Transactions[Amount],Transactions[Name],D866,Transactions[Month],Sel_Month)))</f>
        <v/>
      </c>
      <c r="I866" s="8" t="str">
        <f t="shared" si="13"/>
        <v/>
      </c>
    </row>
    <row r="867" spans="8:9" x14ac:dyDescent="0.3">
      <c r="H867" s="7" t="str" cm="1">
        <f t="array" ref="H867">_xlfn.IFS(D867="","",D867="Grand Total",SUM(H$2:H866),TRUE,IF(COUNTIF(Transactions[Custom Category],D867)&gt;0,SUMIFS(Transactions[Amount],Transactions[Custom Category],D867,Transactions[Month],Sel_Month),SUMIFS(Transactions[Amount],Transactions[Name],D867,Transactions[Month],Sel_Month)))</f>
        <v/>
      </c>
      <c r="I867" s="8" t="str">
        <f t="shared" si="13"/>
        <v/>
      </c>
    </row>
    <row r="868" spans="8:9" x14ac:dyDescent="0.3">
      <c r="H868" s="7" t="str" cm="1">
        <f t="array" ref="H868">_xlfn.IFS(D868="","",D868="Grand Total",SUM(H$2:H867),TRUE,IF(COUNTIF(Transactions[Custom Category],D868)&gt;0,SUMIFS(Transactions[Amount],Transactions[Custom Category],D868,Transactions[Month],Sel_Month),SUMIFS(Transactions[Amount],Transactions[Name],D868,Transactions[Month],Sel_Month)))</f>
        <v/>
      </c>
      <c r="I868" s="8" t="str">
        <f t="shared" si="13"/>
        <v/>
      </c>
    </row>
    <row r="869" spans="8:9" x14ac:dyDescent="0.3">
      <c r="H869" s="7" t="str" cm="1">
        <f t="array" ref="H869">_xlfn.IFS(D869="","",D869="Grand Total",SUM(H$2:H868),TRUE,IF(COUNTIF(Transactions[Custom Category],D869)&gt;0,SUMIFS(Transactions[Amount],Transactions[Custom Category],D869,Transactions[Month],Sel_Month),SUMIFS(Transactions[Amount],Transactions[Name],D869,Transactions[Month],Sel_Month)))</f>
        <v/>
      </c>
      <c r="I869" s="8" t="str">
        <f t="shared" si="13"/>
        <v/>
      </c>
    </row>
    <row r="870" spans="8:9" x14ac:dyDescent="0.3">
      <c r="H870" s="7" t="str" cm="1">
        <f t="array" ref="H870">_xlfn.IFS(D870="","",D870="Grand Total",SUM(H$2:H869),TRUE,IF(COUNTIF(Transactions[Custom Category],D870)&gt;0,SUMIFS(Transactions[Amount],Transactions[Custom Category],D870,Transactions[Month],Sel_Month),SUMIFS(Transactions[Amount],Transactions[Name],D870,Transactions[Month],Sel_Month)))</f>
        <v/>
      </c>
      <c r="I870" s="8" t="str">
        <f t="shared" si="13"/>
        <v/>
      </c>
    </row>
    <row r="871" spans="8:9" x14ac:dyDescent="0.3">
      <c r="H871" s="7" t="str" cm="1">
        <f t="array" ref="H871">_xlfn.IFS(D871="","",D871="Grand Total",SUM(H$2:H870),TRUE,IF(COUNTIF(Transactions[Custom Category],D871)&gt;0,SUMIFS(Transactions[Amount],Transactions[Custom Category],D871,Transactions[Month],Sel_Month),SUMIFS(Transactions[Amount],Transactions[Name],D871,Transactions[Month],Sel_Month)))</f>
        <v/>
      </c>
      <c r="I871" s="8" t="str">
        <f t="shared" si="13"/>
        <v/>
      </c>
    </row>
    <row r="872" spans="8:9" x14ac:dyDescent="0.3">
      <c r="H872" s="7" t="str" cm="1">
        <f t="array" ref="H872">_xlfn.IFS(D872="","",D872="Grand Total",SUM(H$2:H871),TRUE,IF(COUNTIF(Transactions[Custom Category],D872)&gt;0,SUMIFS(Transactions[Amount],Transactions[Custom Category],D872,Transactions[Month],Sel_Month),SUMIFS(Transactions[Amount],Transactions[Name],D872,Transactions[Month],Sel_Month)))</f>
        <v/>
      </c>
      <c r="I872" s="8" t="str">
        <f t="shared" si="13"/>
        <v/>
      </c>
    </row>
    <row r="873" spans="8:9" x14ac:dyDescent="0.3">
      <c r="H873" s="7" t="str" cm="1">
        <f t="array" ref="H873">_xlfn.IFS(D873="","",D873="Grand Total",SUM(H$2:H872),TRUE,IF(COUNTIF(Transactions[Custom Category],D873)&gt;0,SUMIFS(Transactions[Amount],Transactions[Custom Category],D873,Transactions[Month],Sel_Month),SUMIFS(Transactions[Amount],Transactions[Name],D873,Transactions[Month],Sel_Month)))</f>
        <v/>
      </c>
      <c r="I873" s="8" t="str">
        <f t="shared" si="13"/>
        <v/>
      </c>
    </row>
    <row r="874" spans="8:9" x14ac:dyDescent="0.3">
      <c r="H874" s="7" t="str" cm="1">
        <f t="array" ref="H874">_xlfn.IFS(D874="","",D874="Grand Total",SUM(H$2:H873),TRUE,IF(COUNTIF(Transactions[Custom Category],D874)&gt;0,SUMIFS(Transactions[Amount],Transactions[Custom Category],D874,Transactions[Month],Sel_Month),SUMIFS(Transactions[Amount],Transactions[Name],D874,Transactions[Month],Sel_Month)))</f>
        <v/>
      </c>
      <c r="I874" s="8" t="str">
        <f t="shared" si="13"/>
        <v/>
      </c>
    </row>
    <row r="875" spans="8:9" x14ac:dyDescent="0.3">
      <c r="H875" s="7" t="str" cm="1">
        <f t="array" ref="H875">_xlfn.IFS(D875="","",D875="Grand Total",SUM(H$2:H874),TRUE,IF(COUNTIF(Transactions[Custom Category],D875)&gt;0,SUMIFS(Transactions[Amount],Transactions[Custom Category],D875,Transactions[Month],Sel_Month),SUMIFS(Transactions[Amount],Transactions[Name],D875,Transactions[Month],Sel_Month)))</f>
        <v/>
      </c>
      <c r="I875" s="8" t="str">
        <f t="shared" si="13"/>
        <v/>
      </c>
    </row>
    <row r="876" spans="8:9" x14ac:dyDescent="0.3">
      <c r="H876" s="7" t="str" cm="1">
        <f t="array" ref="H876">_xlfn.IFS(D876="","",D876="Grand Total",SUM(H$2:H875),TRUE,IF(COUNTIF(Transactions[Custom Category],D876)&gt;0,SUMIFS(Transactions[Amount],Transactions[Custom Category],D876,Transactions[Month],Sel_Month),SUMIFS(Transactions[Amount],Transactions[Name],D876,Transactions[Month],Sel_Month)))</f>
        <v/>
      </c>
      <c r="I876" s="8" t="str">
        <f t="shared" si="13"/>
        <v/>
      </c>
    </row>
    <row r="877" spans="8:9" x14ac:dyDescent="0.3">
      <c r="H877" s="7" t="str" cm="1">
        <f t="array" ref="H877">_xlfn.IFS(D877="","",D877="Grand Total",SUM(H$2:H876),TRUE,IF(COUNTIF(Transactions[Custom Category],D877)&gt;0,SUMIFS(Transactions[Amount],Transactions[Custom Category],D877,Transactions[Month],Sel_Month),SUMIFS(Transactions[Amount],Transactions[Name],D877,Transactions[Month],Sel_Month)))</f>
        <v/>
      </c>
      <c r="I877" s="8" t="str">
        <f t="shared" si="13"/>
        <v/>
      </c>
    </row>
    <row r="878" spans="8:9" x14ac:dyDescent="0.3">
      <c r="H878" s="7" t="str" cm="1">
        <f t="array" ref="H878">_xlfn.IFS(D878="","",D878="Grand Total",SUM(H$2:H877),TRUE,IF(COUNTIF(Transactions[Custom Category],D878)&gt;0,SUMIFS(Transactions[Amount],Transactions[Custom Category],D878,Transactions[Month],Sel_Month),SUMIFS(Transactions[Amount],Transactions[Name],D878,Transactions[Month],Sel_Month)))</f>
        <v/>
      </c>
      <c r="I878" s="8" t="str">
        <f t="shared" si="13"/>
        <v/>
      </c>
    </row>
    <row r="879" spans="8:9" x14ac:dyDescent="0.3">
      <c r="H879" s="7" t="str" cm="1">
        <f t="array" ref="H879">_xlfn.IFS(D879="","",D879="Grand Total",SUM(H$2:H878),TRUE,IF(COUNTIF(Transactions[Custom Category],D879)&gt;0,SUMIFS(Transactions[Amount],Transactions[Custom Category],D879,Transactions[Month],Sel_Month),SUMIFS(Transactions[Amount],Transactions[Name],D879,Transactions[Month],Sel_Month)))</f>
        <v/>
      </c>
      <c r="I879" s="8" t="str">
        <f t="shared" si="13"/>
        <v/>
      </c>
    </row>
    <row r="880" spans="8:9" x14ac:dyDescent="0.3">
      <c r="H880" s="7" t="str" cm="1">
        <f t="array" ref="H880">_xlfn.IFS(D880="","",D880="Grand Total",SUM(H$2:H879),TRUE,IF(COUNTIF(Transactions[Custom Category],D880)&gt;0,SUMIFS(Transactions[Amount],Transactions[Custom Category],D880,Transactions[Month],Sel_Month),SUMIFS(Transactions[Amount],Transactions[Name],D880,Transactions[Month],Sel_Month)))</f>
        <v/>
      </c>
      <c r="I880" s="8" t="str">
        <f t="shared" si="13"/>
        <v/>
      </c>
    </row>
    <row r="881" spans="8:9" x14ac:dyDescent="0.3">
      <c r="H881" s="7" t="str" cm="1">
        <f t="array" ref="H881">_xlfn.IFS(D881="","",D881="Grand Total",SUM(H$2:H880),TRUE,IF(COUNTIF(Transactions[Custom Category],D881)&gt;0,SUMIFS(Transactions[Amount],Transactions[Custom Category],D881,Transactions[Month],Sel_Month),SUMIFS(Transactions[Amount],Transactions[Name],D881,Transactions[Month],Sel_Month)))</f>
        <v/>
      </c>
      <c r="I881" s="8" t="str">
        <f t="shared" si="13"/>
        <v/>
      </c>
    </row>
    <row r="882" spans="8:9" x14ac:dyDescent="0.3">
      <c r="H882" s="7" t="str" cm="1">
        <f t="array" ref="H882">_xlfn.IFS(D882="","",D882="Grand Total",SUM(H$2:H881),TRUE,IF(COUNTIF(Transactions[Custom Category],D882)&gt;0,SUMIFS(Transactions[Amount],Transactions[Custom Category],D882,Transactions[Month],Sel_Month),SUMIFS(Transactions[Amount],Transactions[Name],D882,Transactions[Month],Sel_Month)))</f>
        <v/>
      </c>
      <c r="I882" s="8" t="str">
        <f t="shared" si="13"/>
        <v/>
      </c>
    </row>
    <row r="883" spans="8:9" x14ac:dyDescent="0.3">
      <c r="H883" s="7" t="str" cm="1">
        <f t="array" ref="H883">_xlfn.IFS(D883="","",D883="Grand Total",SUM(H$2:H882),TRUE,IF(COUNTIF(Transactions[Custom Category],D883)&gt;0,SUMIFS(Transactions[Amount],Transactions[Custom Category],D883,Transactions[Month],Sel_Month),SUMIFS(Transactions[Amount],Transactions[Name],D883,Transactions[Month],Sel_Month)))</f>
        <v/>
      </c>
      <c r="I883" s="8" t="str">
        <f t="shared" si="13"/>
        <v/>
      </c>
    </row>
    <row r="884" spans="8:9" x14ac:dyDescent="0.3">
      <c r="H884" s="7" t="str" cm="1">
        <f t="array" ref="H884">_xlfn.IFS(D884="","",D884="Grand Total",SUM(H$2:H883),TRUE,IF(COUNTIF(Transactions[Custom Category],D884)&gt;0,SUMIFS(Transactions[Amount],Transactions[Custom Category],D884,Transactions[Month],Sel_Month),SUMIFS(Transactions[Amount],Transactions[Name],D884,Transactions[Month],Sel_Month)))</f>
        <v/>
      </c>
      <c r="I884" s="8" t="str">
        <f t="shared" si="13"/>
        <v/>
      </c>
    </row>
    <row r="885" spans="8:9" x14ac:dyDescent="0.3">
      <c r="H885" s="7" t="str" cm="1">
        <f t="array" ref="H885">_xlfn.IFS(D885="","",D885="Grand Total",SUM(H$2:H884),TRUE,IF(COUNTIF(Transactions[Custom Category],D885)&gt;0,SUMIFS(Transactions[Amount],Transactions[Custom Category],D885,Transactions[Month],Sel_Month),SUMIFS(Transactions[Amount],Transactions[Name],D885,Transactions[Month],Sel_Month)))</f>
        <v/>
      </c>
      <c r="I885" s="8" t="str">
        <f t="shared" si="13"/>
        <v/>
      </c>
    </row>
    <row r="886" spans="8:9" x14ac:dyDescent="0.3">
      <c r="H886" s="7" t="str" cm="1">
        <f t="array" ref="H886">_xlfn.IFS(D886="","",D886="Grand Total",SUM(H$2:H885),TRUE,IF(COUNTIF(Transactions[Custom Category],D886)&gt;0,SUMIFS(Transactions[Amount],Transactions[Custom Category],D886,Transactions[Month],Sel_Month),SUMIFS(Transactions[Amount],Transactions[Name],D886,Transactions[Month],Sel_Month)))</f>
        <v/>
      </c>
      <c r="I886" s="8" t="str">
        <f t="shared" si="13"/>
        <v/>
      </c>
    </row>
    <row r="887" spans="8:9" x14ac:dyDescent="0.3">
      <c r="H887" s="7" t="str" cm="1">
        <f t="array" ref="H887">_xlfn.IFS(D887="","",D887="Grand Total",SUM(H$2:H886),TRUE,IF(COUNTIF(Transactions[Custom Category],D887)&gt;0,SUMIFS(Transactions[Amount],Transactions[Custom Category],D887,Transactions[Month],Sel_Month),SUMIFS(Transactions[Amount],Transactions[Name],D887,Transactions[Month],Sel_Month)))</f>
        <v/>
      </c>
      <c r="I887" s="8" t="str">
        <f t="shared" si="13"/>
        <v/>
      </c>
    </row>
    <row r="888" spans="8:9" x14ac:dyDescent="0.3">
      <c r="H888" s="7" t="str" cm="1">
        <f t="array" ref="H888">_xlfn.IFS(D888="","",D888="Grand Total",SUM(H$2:H887),TRUE,IF(COUNTIF(Transactions[Custom Category],D888)&gt;0,SUMIFS(Transactions[Amount],Transactions[Custom Category],D888,Transactions[Month],Sel_Month),SUMIFS(Transactions[Amount],Transactions[Name],D888,Transactions[Month],Sel_Month)))</f>
        <v/>
      </c>
      <c r="I888" s="8" t="str">
        <f t="shared" si="13"/>
        <v/>
      </c>
    </row>
    <row r="889" spans="8:9" x14ac:dyDescent="0.3">
      <c r="H889" s="7" t="str" cm="1">
        <f t="array" ref="H889">_xlfn.IFS(D889="","",D889="Grand Total",SUM(H$2:H888),TRUE,IF(COUNTIF(Transactions[Custom Category],D889)&gt;0,SUMIFS(Transactions[Amount],Transactions[Custom Category],D889,Transactions[Month],Sel_Month),SUMIFS(Transactions[Amount],Transactions[Name],D889,Transactions[Month],Sel_Month)))</f>
        <v/>
      </c>
      <c r="I889" s="8" t="str">
        <f t="shared" si="13"/>
        <v/>
      </c>
    </row>
    <row r="890" spans="8:9" x14ac:dyDescent="0.3">
      <c r="H890" s="7" t="str" cm="1">
        <f t="array" ref="H890">_xlfn.IFS(D890="","",D890="Grand Total",SUM(H$2:H889),TRUE,IF(COUNTIF(Transactions[Custom Category],D890)&gt;0,SUMIFS(Transactions[Amount],Transactions[Custom Category],D890,Transactions[Month],Sel_Month),SUMIFS(Transactions[Amount],Transactions[Name],D890,Transactions[Month],Sel_Month)))</f>
        <v/>
      </c>
      <c r="I890" s="8" t="str">
        <f t="shared" si="13"/>
        <v/>
      </c>
    </row>
    <row r="891" spans="8:9" x14ac:dyDescent="0.3">
      <c r="H891" s="7" t="str" cm="1">
        <f t="array" ref="H891">_xlfn.IFS(D891="","",D891="Grand Total",SUM(H$2:H890),TRUE,IF(COUNTIF(Transactions[Custom Category],D891)&gt;0,SUMIFS(Transactions[Amount],Transactions[Custom Category],D891,Transactions[Month],Sel_Month),SUMIFS(Transactions[Amount],Transactions[Name],D891,Transactions[Month],Sel_Month)))</f>
        <v/>
      </c>
      <c r="I891" s="8" t="str">
        <f t="shared" si="13"/>
        <v/>
      </c>
    </row>
    <row r="892" spans="8:9" x14ac:dyDescent="0.3">
      <c r="H892" s="7" t="str" cm="1">
        <f t="array" ref="H892">_xlfn.IFS(D892="","",D892="Grand Total",SUM(H$2:H891),TRUE,IF(COUNTIF(Transactions[Custom Category],D892)&gt;0,SUMIFS(Transactions[Amount],Transactions[Custom Category],D892,Transactions[Month],Sel_Month),SUMIFS(Transactions[Amount],Transactions[Name],D892,Transactions[Month],Sel_Month)))</f>
        <v/>
      </c>
      <c r="I892" s="8" t="str">
        <f t="shared" si="13"/>
        <v/>
      </c>
    </row>
    <row r="893" spans="8:9" x14ac:dyDescent="0.3">
      <c r="H893" s="7" t="str" cm="1">
        <f t="array" ref="H893">_xlfn.IFS(D893="","",D893="Grand Total",SUM(H$2:H892),TRUE,IF(COUNTIF(Transactions[Custom Category],D893)&gt;0,SUMIFS(Transactions[Amount],Transactions[Custom Category],D893,Transactions[Month],Sel_Month),SUMIFS(Transactions[Amount],Transactions[Name],D893,Transactions[Month],Sel_Month)))</f>
        <v/>
      </c>
      <c r="I893" s="8" t="str">
        <f t="shared" si="13"/>
        <v/>
      </c>
    </row>
    <row r="894" spans="8:9" x14ac:dyDescent="0.3">
      <c r="H894" s="7" t="str" cm="1">
        <f t="array" ref="H894">_xlfn.IFS(D894="","",D894="Grand Total",SUM(H$2:H893),TRUE,IF(COUNTIF(Transactions[Custom Category],D894)&gt;0,SUMIFS(Transactions[Amount],Transactions[Custom Category],D894,Transactions[Month],Sel_Month),SUMIFS(Transactions[Amount],Transactions[Name],D894,Transactions[Month],Sel_Month)))</f>
        <v/>
      </c>
      <c r="I894" s="8" t="str">
        <f t="shared" si="13"/>
        <v/>
      </c>
    </row>
    <row r="895" spans="8:9" x14ac:dyDescent="0.3">
      <c r="H895" s="7" t="str" cm="1">
        <f t="array" ref="H895">_xlfn.IFS(D895="","",D895="Grand Total",SUM(H$2:H894),TRUE,IF(COUNTIF(Transactions[Custom Category],D895)&gt;0,SUMIFS(Transactions[Amount],Transactions[Custom Category],D895,Transactions[Month],Sel_Month),SUMIFS(Transactions[Amount],Transactions[Name],D895,Transactions[Month],Sel_Month)))</f>
        <v/>
      </c>
      <c r="I895" s="8" t="str">
        <f t="shared" si="13"/>
        <v/>
      </c>
    </row>
    <row r="896" spans="8:9" x14ac:dyDescent="0.3">
      <c r="H896" s="7" t="str" cm="1">
        <f t="array" ref="H896">_xlfn.IFS(D896="","",D896="Grand Total",SUM(H$2:H895),TRUE,IF(COUNTIF(Transactions[Custom Category],D896)&gt;0,SUMIFS(Transactions[Amount],Transactions[Custom Category],D896,Transactions[Month],Sel_Month),SUMIFS(Transactions[Amount],Transactions[Name],D896,Transactions[Month],Sel_Month)))</f>
        <v/>
      </c>
      <c r="I896" s="8" t="str">
        <f t="shared" si="13"/>
        <v/>
      </c>
    </row>
    <row r="897" spans="8:9" x14ac:dyDescent="0.3">
      <c r="H897" s="7" t="str" cm="1">
        <f t="array" ref="H897">_xlfn.IFS(D897="","",D897="Grand Total",SUM(H$2:H896),TRUE,IF(COUNTIF(Transactions[Custom Category],D897)&gt;0,SUMIFS(Transactions[Amount],Transactions[Custom Category],D897,Transactions[Month],Sel_Month),SUMIFS(Transactions[Amount],Transactions[Name],D897,Transactions[Month],Sel_Month)))</f>
        <v/>
      </c>
      <c r="I897" s="8" t="str">
        <f t="shared" si="13"/>
        <v/>
      </c>
    </row>
    <row r="898" spans="8:9" x14ac:dyDescent="0.3">
      <c r="H898" s="7" t="str" cm="1">
        <f t="array" ref="H898">_xlfn.IFS(D898="","",D898="Grand Total",SUM(H$2:H897),TRUE,IF(COUNTIF(Transactions[Custom Category],D898)&gt;0,SUMIFS(Transactions[Amount],Transactions[Custom Category],D898,Transactions[Month],Sel_Month),SUMIFS(Transactions[Amount],Transactions[Name],D898,Transactions[Month],Sel_Month)))</f>
        <v/>
      </c>
      <c r="I898" s="8" t="str">
        <f t="shared" si="13"/>
        <v/>
      </c>
    </row>
    <row r="899" spans="8:9" x14ac:dyDescent="0.3">
      <c r="H899" s="7" t="str" cm="1">
        <f t="array" ref="H899">_xlfn.IFS(D899="","",D899="Grand Total",SUM(H$2:H898),TRUE,IF(COUNTIF(Transactions[Custom Category],D899)&gt;0,SUMIFS(Transactions[Amount],Transactions[Custom Category],D899,Transactions[Month],Sel_Month),SUMIFS(Transactions[Amount],Transactions[Name],D899,Transactions[Month],Sel_Month)))</f>
        <v/>
      </c>
      <c r="I899" s="8" t="str">
        <f t="shared" si="13"/>
        <v/>
      </c>
    </row>
    <row r="900" spans="8:9" x14ac:dyDescent="0.3">
      <c r="H900" s="7" t="str" cm="1">
        <f t="array" ref="H900">_xlfn.IFS(D900="","",D900="Grand Total",SUM(H$2:H899),TRUE,IF(COUNTIF(Transactions[Custom Category],D900)&gt;0,SUMIFS(Transactions[Amount],Transactions[Custom Category],D900,Transactions[Month],Sel_Month),SUMIFS(Transactions[Amount],Transactions[Name],D900,Transactions[Month],Sel_Month)))</f>
        <v/>
      </c>
      <c r="I900" s="8" t="str">
        <f t="shared" ref="I900:I963" si="14">IF(F900="","",IF(F900=0,0,1-((F900-H900)/F900)))</f>
        <v/>
      </c>
    </row>
    <row r="901" spans="8:9" x14ac:dyDescent="0.3">
      <c r="H901" s="7" t="str" cm="1">
        <f t="array" ref="H901">_xlfn.IFS(D901="","",D901="Grand Total",SUM(H$2:H900),TRUE,IF(COUNTIF(Transactions[Custom Category],D901)&gt;0,SUMIFS(Transactions[Amount],Transactions[Custom Category],D901,Transactions[Month],Sel_Month),SUMIFS(Transactions[Amount],Transactions[Name],D901,Transactions[Month],Sel_Month)))</f>
        <v/>
      </c>
      <c r="I901" s="8" t="str">
        <f t="shared" si="14"/>
        <v/>
      </c>
    </row>
    <row r="902" spans="8:9" x14ac:dyDescent="0.3">
      <c r="H902" s="7" t="str" cm="1">
        <f t="array" ref="H902">_xlfn.IFS(D902="","",D902="Grand Total",SUM(H$2:H901),TRUE,IF(COUNTIF(Transactions[Custom Category],D902)&gt;0,SUMIFS(Transactions[Amount],Transactions[Custom Category],D902,Transactions[Month],Sel_Month),SUMIFS(Transactions[Amount],Transactions[Name],D902,Transactions[Month],Sel_Month)))</f>
        <v/>
      </c>
      <c r="I902" s="8" t="str">
        <f t="shared" si="14"/>
        <v/>
      </c>
    </row>
    <row r="903" spans="8:9" x14ac:dyDescent="0.3">
      <c r="H903" s="7" t="str" cm="1">
        <f t="array" ref="H903">_xlfn.IFS(D903="","",D903="Grand Total",SUM(H$2:H902),TRUE,IF(COUNTIF(Transactions[Custom Category],D903)&gt;0,SUMIFS(Transactions[Amount],Transactions[Custom Category],D903,Transactions[Month],Sel_Month),SUMIFS(Transactions[Amount],Transactions[Name],D903,Transactions[Month],Sel_Month)))</f>
        <v/>
      </c>
      <c r="I903" s="8" t="str">
        <f t="shared" si="14"/>
        <v/>
      </c>
    </row>
    <row r="904" spans="8:9" x14ac:dyDescent="0.3">
      <c r="H904" s="7" t="str" cm="1">
        <f t="array" ref="H904">_xlfn.IFS(D904="","",D904="Grand Total",SUM(H$2:H903),TRUE,IF(COUNTIF(Transactions[Custom Category],D904)&gt;0,SUMIFS(Transactions[Amount],Transactions[Custom Category],D904,Transactions[Month],Sel_Month),SUMIFS(Transactions[Amount],Transactions[Name],D904,Transactions[Month],Sel_Month)))</f>
        <v/>
      </c>
      <c r="I904" s="8" t="str">
        <f t="shared" si="14"/>
        <v/>
      </c>
    </row>
    <row r="905" spans="8:9" x14ac:dyDescent="0.3">
      <c r="H905" s="7" t="str" cm="1">
        <f t="array" ref="H905">_xlfn.IFS(D905="","",D905="Grand Total",SUM(H$2:H904),TRUE,IF(COUNTIF(Transactions[Custom Category],D905)&gt;0,SUMIFS(Transactions[Amount],Transactions[Custom Category],D905,Transactions[Month],Sel_Month),SUMIFS(Transactions[Amount],Transactions[Name],D905,Transactions[Month],Sel_Month)))</f>
        <v/>
      </c>
      <c r="I905" s="8" t="str">
        <f t="shared" si="14"/>
        <v/>
      </c>
    </row>
    <row r="906" spans="8:9" x14ac:dyDescent="0.3">
      <c r="H906" s="7" t="str" cm="1">
        <f t="array" ref="H906">_xlfn.IFS(D906="","",D906="Grand Total",SUM(H$2:H905),TRUE,IF(COUNTIF(Transactions[Custom Category],D906)&gt;0,SUMIFS(Transactions[Amount],Transactions[Custom Category],D906,Transactions[Month],Sel_Month),SUMIFS(Transactions[Amount],Transactions[Name],D906,Transactions[Month],Sel_Month)))</f>
        <v/>
      </c>
      <c r="I906" s="8" t="str">
        <f t="shared" si="14"/>
        <v/>
      </c>
    </row>
    <row r="907" spans="8:9" x14ac:dyDescent="0.3">
      <c r="H907" s="7" t="str" cm="1">
        <f t="array" ref="H907">_xlfn.IFS(D907="","",D907="Grand Total",SUM(H$2:H906),TRUE,IF(COUNTIF(Transactions[Custom Category],D907)&gt;0,SUMIFS(Transactions[Amount],Transactions[Custom Category],D907,Transactions[Month],Sel_Month),SUMIFS(Transactions[Amount],Transactions[Name],D907,Transactions[Month],Sel_Month)))</f>
        <v/>
      </c>
      <c r="I907" s="8" t="str">
        <f t="shared" si="14"/>
        <v/>
      </c>
    </row>
    <row r="908" spans="8:9" x14ac:dyDescent="0.3">
      <c r="H908" s="7" t="str" cm="1">
        <f t="array" ref="H908">_xlfn.IFS(D908="","",D908="Grand Total",SUM(H$2:H907),TRUE,IF(COUNTIF(Transactions[Custom Category],D908)&gt;0,SUMIFS(Transactions[Amount],Transactions[Custom Category],D908,Transactions[Month],Sel_Month),SUMIFS(Transactions[Amount],Transactions[Name],D908,Transactions[Month],Sel_Month)))</f>
        <v/>
      </c>
      <c r="I908" s="8" t="str">
        <f t="shared" si="14"/>
        <v/>
      </c>
    </row>
    <row r="909" spans="8:9" x14ac:dyDescent="0.3">
      <c r="H909" s="7" t="str" cm="1">
        <f t="array" ref="H909">_xlfn.IFS(D909="","",D909="Grand Total",SUM(H$2:H908),TRUE,IF(COUNTIF(Transactions[Custom Category],D909)&gt;0,SUMIFS(Transactions[Amount],Transactions[Custom Category],D909,Transactions[Month],Sel_Month),SUMIFS(Transactions[Amount],Transactions[Name],D909,Transactions[Month],Sel_Month)))</f>
        <v/>
      </c>
      <c r="I909" s="8" t="str">
        <f t="shared" si="14"/>
        <v/>
      </c>
    </row>
    <row r="910" spans="8:9" x14ac:dyDescent="0.3">
      <c r="H910" s="7" t="str" cm="1">
        <f t="array" ref="H910">_xlfn.IFS(D910="","",D910="Grand Total",SUM(H$2:H909),TRUE,IF(COUNTIF(Transactions[Custom Category],D910)&gt;0,SUMIFS(Transactions[Amount],Transactions[Custom Category],D910,Transactions[Month],Sel_Month),SUMIFS(Transactions[Amount],Transactions[Name],D910,Transactions[Month],Sel_Month)))</f>
        <v/>
      </c>
      <c r="I910" s="8" t="str">
        <f t="shared" si="14"/>
        <v/>
      </c>
    </row>
    <row r="911" spans="8:9" x14ac:dyDescent="0.3">
      <c r="H911" s="7" t="str" cm="1">
        <f t="array" ref="H911">_xlfn.IFS(D911="","",D911="Grand Total",SUM(H$2:H910),TRUE,IF(COUNTIF(Transactions[Custom Category],D911)&gt;0,SUMIFS(Transactions[Amount],Transactions[Custom Category],D911,Transactions[Month],Sel_Month),SUMIFS(Transactions[Amount],Transactions[Name],D911,Transactions[Month],Sel_Month)))</f>
        <v/>
      </c>
      <c r="I911" s="8" t="str">
        <f t="shared" si="14"/>
        <v/>
      </c>
    </row>
    <row r="912" spans="8:9" x14ac:dyDescent="0.3">
      <c r="H912" s="7" t="str" cm="1">
        <f t="array" ref="H912">_xlfn.IFS(D912="","",D912="Grand Total",SUM(H$2:H911),TRUE,IF(COUNTIF(Transactions[Custom Category],D912)&gt;0,SUMIFS(Transactions[Amount],Transactions[Custom Category],D912,Transactions[Month],Sel_Month),SUMIFS(Transactions[Amount],Transactions[Name],D912,Transactions[Month],Sel_Month)))</f>
        <v/>
      </c>
      <c r="I912" s="8" t="str">
        <f t="shared" si="14"/>
        <v/>
      </c>
    </row>
    <row r="913" spans="8:9" x14ac:dyDescent="0.3">
      <c r="H913" s="7" t="str" cm="1">
        <f t="array" ref="H913">_xlfn.IFS(D913="","",D913="Grand Total",SUM(H$2:H912),TRUE,IF(COUNTIF(Transactions[Custom Category],D913)&gt;0,SUMIFS(Transactions[Amount],Transactions[Custom Category],D913,Transactions[Month],Sel_Month),SUMIFS(Transactions[Amount],Transactions[Name],D913,Transactions[Month],Sel_Month)))</f>
        <v/>
      </c>
      <c r="I913" s="8" t="str">
        <f t="shared" si="14"/>
        <v/>
      </c>
    </row>
    <row r="914" spans="8:9" x14ac:dyDescent="0.3">
      <c r="H914" s="7" t="str" cm="1">
        <f t="array" ref="H914">_xlfn.IFS(D914="","",D914="Grand Total",SUM(H$2:H913),TRUE,IF(COUNTIF(Transactions[Custom Category],D914)&gt;0,SUMIFS(Transactions[Amount],Transactions[Custom Category],D914,Transactions[Month],Sel_Month),SUMIFS(Transactions[Amount],Transactions[Name],D914,Transactions[Month],Sel_Month)))</f>
        <v/>
      </c>
      <c r="I914" s="8" t="str">
        <f t="shared" si="14"/>
        <v/>
      </c>
    </row>
    <row r="915" spans="8:9" x14ac:dyDescent="0.3">
      <c r="H915" s="7" t="str" cm="1">
        <f t="array" ref="H915">_xlfn.IFS(D915="","",D915="Grand Total",SUM(H$2:H914),TRUE,IF(COUNTIF(Transactions[Custom Category],D915)&gt;0,SUMIFS(Transactions[Amount],Transactions[Custom Category],D915,Transactions[Month],Sel_Month),SUMIFS(Transactions[Amount],Transactions[Name],D915,Transactions[Month],Sel_Month)))</f>
        <v/>
      </c>
      <c r="I915" s="8" t="str">
        <f t="shared" si="14"/>
        <v/>
      </c>
    </row>
    <row r="916" spans="8:9" x14ac:dyDescent="0.3">
      <c r="H916" s="7" t="str" cm="1">
        <f t="array" ref="H916">_xlfn.IFS(D916="","",D916="Grand Total",SUM(H$2:H915),TRUE,IF(COUNTIF(Transactions[Custom Category],D916)&gt;0,SUMIFS(Transactions[Amount],Transactions[Custom Category],D916,Transactions[Month],Sel_Month),SUMIFS(Transactions[Amount],Transactions[Name],D916,Transactions[Month],Sel_Month)))</f>
        <v/>
      </c>
      <c r="I916" s="8" t="str">
        <f t="shared" si="14"/>
        <v/>
      </c>
    </row>
    <row r="917" spans="8:9" x14ac:dyDescent="0.3">
      <c r="H917" s="7" t="str" cm="1">
        <f t="array" ref="H917">_xlfn.IFS(D917="","",D917="Grand Total",SUM(H$2:H916),TRUE,IF(COUNTIF(Transactions[Custom Category],D917)&gt;0,SUMIFS(Transactions[Amount],Transactions[Custom Category],D917,Transactions[Month],Sel_Month),SUMIFS(Transactions[Amount],Transactions[Name],D917,Transactions[Month],Sel_Month)))</f>
        <v/>
      </c>
      <c r="I917" s="8" t="str">
        <f t="shared" si="14"/>
        <v/>
      </c>
    </row>
    <row r="918" spans="8:9" x14ac:dyDescent="0.3">
      <c r="H918" s="7" t="str" cm="1">
        <f t="array" ref="H918">_xlfn.IFS(D918="","",D918="Grand Total",SUM(H$2:H917),TRUE,IF(COUNTIF(Transactions[Custom Category],D918)&gt;0,SUMIFS(Transactions[Amount],Transactions[Custom Category],D918,Transactions[Month],Sel_Month),SUMIFS(Transactions[Amount],Transactions[Name],D918,Transactions[Month],Sel_Month)))</f>
        <v/>
      </c>
      <c r="I918" s="8" t="str">
        <f t="shared" si="14"/>
        <v/>
      </c>
    </row>
    <row r="919" spans="8:9" x14ac:dyDescent="0.3">
      <c r="H919" s="7" t="str" cm="1">
        <f t="array" ref="H919">_xlfn.IFS(D919="","",D919="Grand Total",SUM(H$2:H918),TRUE,IF(COUNTIF(Transactions[Custom Category],D919)&gt;0,SUMIFS(Transactions[Amount],Transactions[Custom Category],D919,Transactions[Month],Sel_Month),SUMIFS(Transactions[Amount],Transactions[Name],D919,Transactions[Month],Sel_Month)))</f>
        <v/>
      </c>
      <c r="I919" s="8" t="str">
        <f t="shared" si="14"/>
        <v/>
      </c>
    </row>
    <row r="920" spans="8:9" x14ac:dyDescent="0.3">
      <c r="H920" s="7" t="str" cm="1">
        <f t="array" ref="H920">_xlfn.IFS(D920="","",D920="Grand Total",SUM(H$2:H919),TRUE,IF(COUNTIF(Transactions[Custom Category],D920)&gt;0,SUMIFS(Transactions[Amount],Transactions[Custom Category],D920,Transactions[Month],Sel_Month),SUMIFS(Transactions[Amount],Transactions[Name],D920,Transactions[Month],Sel_Month)))</f>
        <v/>
      </c>
      <c r="I920" s="8" t="str">
        <f t="shared" si="14"/>
        <v/>
      </c>
    </row>
    <row r="921" spans="8:9" x14ac:dyDescent="0.3">
      <c r="H921" s="7" t="str" cm="1">
        <f t="array" ref="H921">_xlfn.IFS(D921="","",D921="Grand Total",SUM(H$2:H920),TRUE,IF(COUNTIF(Transactions[Custom Category],D921)&gt;0,SUMIFS(Transactions[Amount],Transactions[Custom Category],D921,Transactions[Month],Sel_Month),SUMIFS(Transactions[Amount],Transactions[Name],D921,Transactions[Month],Sel_Month)))</f>
        <v/>
      </c>
      <c r="I921" s="8" t="str">
        <f t="shared" si="14"/>
        <v/>
      </c>
    </row>
    <row r="922" spans="8:9" x14ac:dyDescent="0.3">
      <c r="H922" s="7" t="str" cm="1">
        <f t="array" ref="H922">_xlfn.IFS(D922="","",D922="Grand Total",SUM(H$2:H921),TRUE,IF(COUNTIF(Transactions[Custom Category],D922)&gt;0,SUMIFS(Transactions[Amount],Transactions[Custom Category],D922,Transactions[Month],Sel_Month),SUMIFS(Transactions[Amount],Transactions[Name],D922,Transactions[Month],Sel_Month)))</f>
        <v/>
      </c>
      <c r="I922" s="8" t="str">
        <f t="shared" si="14"/>
        <v/>
      </c>
    </row>
    <row r="923" spans="8:9" x14ac:dyDescent="0.3">
      <c r="H923" s="7" t="str" cm="1">
        <f t="array" ref="H923">_xlfn.IFS(D923="","",D923="Grand Total",SUM(H$2:H922),TRUE,IF(COUNTIF(Transactions[Custom Category],D923)&gt;0,SUMIFS(Transactions[Amount],Transactions[Custom Category],D923,Transactions[Month],Sel_Month),SUMIFS(Transactions[Amount],Transactions[Name],D923,Transactions[Month],Sel_Month)))</f>
        <v/>
      </c>
      <c r="I923" s="8" t="str">
        <f t="shared" si="14"/>
        <v/>
      </c>
    </row>
    <row r="924" spans="8:9" x14ac:dyDescent="0.3">
      <c r="H924" s="7" t="str" cm="1">
        <f t="array" ref="H924">_xlfn.IFS(D924="","",D924="Grand Total",SUM(H$2:H923),TRUE,IF(COUNTIF(Transactions[Custom Category],D924)&gt;0,SUMIFS(Transactions[Amount],Transactions[Custom Category],D924,Transactions[Month],Sel_Month),SUMIFS(Transactions[Amount],Transactions[Name],D924,Transactions[Month],Sel_Month)))</f>
        <v/>
      </c>
      <c r="I924" s="8" t="str">
        <f t="shared" si="14"/>
        <v/>
      </c>
    </row>
    <row r="925" spans="8:9" x14ac:dyDescent="0.3">
      <c r="H925" s="7" t="str" cm="1">
        <f t="array" ref="H925">_xlfn.IFS(D925="","",D925="Grand Total",SUM(H$2:H924),TRUE,IF(COUNTIF(Transactions[Custom Category],D925)&gt;0,SUMIFS(Transactions[Amount],Transactions[Custom Category],D925,Transactions[Month],Sel_Month),SUMIFS(Transactions[Amount],Transactions[Name],D925,Transactions[Month],Sel_Month)))</f>
        <v/>
      </c>
      <c r="I925" s="8" t="str">
        <f t="shared" si="14"/>
        <v/>
      </c>
    </row>
    <row r="926" spans="8:9" x14ac:dyDescent="0.3">
      <c r="H926" s="7" t="str" cm="1">
        <f t="array" ref="H926">_xlfn.IFS(D926="","",D926="Grand Total",SUM(H$2:H925),TRUE,IF(COUNTIF(Transactions[Custom Category],D926)&gt;0,SUMIFS(Transactions[Amount],Transactions[Custom Category],D926,Transactions[Month],Sel_Month),SUMIFS(Transactions[Amount],Transactions[Name],D926,Transactions[Month],Sel_Month)))</f>
        <v/>
      </c>
      <c r="I926" s="8" t="str">
        <f t="shared" si="14"/>
        <v/>
      </c>
    </row>
    <row r="927" spans="8:9" x14ac:dyDescent="0.3">
      <c r="H927" s="7" t="str" cm="1">
        <f t="array" ref="H927">_xlfn.IFS(D927="","",D927="Grand Total",SUM(H$2:H926),TRUE,IF(COUNTIF(Transactions[Custom Category],D927)&gt;0,SUMIFS(Transactions[Amount],Transactions[Custom Category],D927,Transactions[Month],Sel_Month),SUMIFS(Transactions[Amount],Transactions[Name],D927,Transactions[Month],Sel_Month)))</f>
        <v/>
      </c>
      <c r="I927" s="8" t="str">
        <f t="shared" si="14"/>
        <v/>
      </c>
    </row>
    <row r="928" spans="8:9" x14ac:dyDescent="0.3">
      <c r="H928" s="7" t="str" cm="1">
        <f t="array" ref="H928">_xlfn.IFS(D928="","",D928="Grand Total",SUM(H$2:H927),TRUE,IF(COUNTIF(Transactions[Custom Category],D928)&gt;0,SUMIFS(Transactions[Amount],Transactions[Custom Category],D928,Transactions[Month],Sel_Month),SUMIFS(Transactions[Amount],Transactions[Name],D928,Transactions[Month],Sel_Month)))</f>
        <v/>
      </c>
      <c r="I928" s="8" t="str">
        <f t="shared" si="14"/>
        <v/>
      </c>
    </row>
    <row r="929" spans="8:9" x14ac:dyDescent="0.3">
      <c r="H929" s="7" t="str" cm="1">
        <f t="array" ref="H929">_xlfn.IFS(D929="","",D929="Grand Total",SUM(H$2:H928),TRUE,IF(COUNTIF(Transactions[Custom Category],D929)&gt;0,SUMIFS(Transactions[Amount],Transactions[Custom Category],D929,Transactions[Month],Sel_Month),SUMIFS(Transactions[Amount],Transactions[Name],D929,Transactions[Month],Sel_Month)))</f>
        <v/>
      </c>
      <c r="I929" s="8" t="str">
        <f t="shared" si="14"/>
        <v/>
      </c>
    </row>
    <row r="930" spans="8:9" x14ac:dyDescent="0.3">
      <c r="H930" s="7" t="str" cm="1">
        <f t="array" ref="H930">_xlfn.IFS(D930="","",D930="Grand Total",SUM(H$2:H929),TRUE,IF(COUNTIF(Transactions[Custom Category],D930)&gt;0,SUMIFS(Transactions[Amount],Transactions[Custom Category],D930,Transactions[Month],Sel_Month),SUMIFS(Transactions[Amount],Transactions[Name],D930,Transactions[Month],Sel_Month)))</f>
        <v/>
      </c>
      <c r="I930" s="8" t="str">
        <f t="shared" si="14"/>
        <v/>
      </c>
    </row>
    <row r="931" spans="8:9" x14ac:dyDescent="0.3">
      <c r="H931" s="7" t="str" cm="1">
        <f t="array" ref="H931">_xlfn.IFS(D931="","",D931="Grand Total",SUM(H$2:H930),TRUE,IF(COUNTIF(Transactions[Custom Category],D931)&gt;0,SUMIFS(Transactions[Amount],Transactions[Custom Category],D931,Transactions[Month],Sel_Month),SUMIFS(Transactions[Amount],Transactions[Name],D931,Transactions[Month],Sel_Month)))</f>
        <v/>
      </c>
      <c r="I931" s="8" t="str">
        <f t="shared" si="14"/>
        <v/>
      </c>
    </row>
    <row r="932" spans="8:9" x14ac:dyDescent="0.3">
      <c r="H932" s="7" t="str" cm="1">
        <f t="array" ref="H932">_xlfn.IFS(D932="","",D932="Grand Total",SUM(H$2:H931),TRUE,IF(COUNTIF(Transactions[Custom Category],D932)&gt;0,SUMIFS(Transactions[Amount],Transactions[Custom Category],D932,Transactions[Month],Sel_Month),SUMIFS(Transactions[Amount],Transactions[Name],D932,Transactions[Month],Sel_Month)))</f>
        <v/>
      </c>
      <c r="I932" s="8" t="str">
        <f t="shared" si="14"/>
        <v/>
      </c>
    </row>
    <row r="933" spans="8:9" x14ac:dyDescent="0.3">
      <c r="H933" s="7" t="str" cm="1">
        <f t="array" ref="H933">_xlfn.IFS(D933="","",D933="Grand Total",SUM(H$2:H932),TRUE,IF(COUNTIF(Transactions[Custom Category],D933)&gt;0,SUMIFS(Transactions[Amount],Transactions[Custom Category],D933,Transactions[Month],Sel_Month),SUMIFS(Transactions[Amount],Transactions[Name],D933,Transactions[Month],Sel_Month)))</f>
        <v/>
      </c>
      <c r="I933" s="8" t="str">
        <f t="shared" si="14"/>
        <v/>
      </c>
    </row>
    <row r="934" spans="8:9" x14ac:dyDescent="0.3">
      <c r="H934" s="7" t="str" cm="1">
        <f t="array" ref="H934">_xlfn.IFS(D934="","",D934="Grand Total",SUM(H$2:H933),TRUE,IF(COUNTIF(Transactions[Custom Category],D934)&gt;0,SUMIFS(Transactions[Amount],Transactions[Custom Category],D934,Transactions[Month],Sel_Month),SUMIFS(Transactions[Amount],Transactions[Name],D934,Transactions[Month],Sel_Month)))</f>
        <v/>
      </c>
      <c r="I934" s="8" t="str">
        <f t="shared" si="14"/>
        <v/>
      </c>
    </row>
    <row r="935" spans="8:9" x14ac:dyDescent="0.3">
      <c r="H935" s="7" t="str" cm="1">
        <f t="array" ref="H935">_xlfn.IFS(D935="","",D935="Grand Total",SUM(H$2:H934),TRUE,IF(COUNTIF(Transactions[Custom Category],D935)&gt;0,SUMIFS(Transactions[Amount],Transactions[Custom Category],D935,Transactions[Month],Sel_Month),SUMIFS(Transactions[Amount],Transactions[Name],D935,Transactions[Month],Sel_Month)))</f>
        <v/>
      </c>
      <c r="I935" s="8" t="str">
        <f t="shared" si="14"/>
        <v/>
      </c>
    </row>
    <row r="936" spans="8:9" x14ac:dyDescent="0.3">
      <c r="H936" s="7" t="str" cm="1">
        <f t="array" ref="H936">_xlfn.IFS(D936="","",D936="Grand Total",SUM(H$2:H935),TRUE,IF(COUNTIF(Transactions[Custom Category],D936)&gt;0,SUMIFS(Transactions[Amount],Transactions[Custom Category],D936,Transactions[Month],Sel_Month),SUMIFS(Transactions[Amount],Transactions[Name],D936,Transactions[Month],Sel_Month)))</f>
        <v/>
      </c>
      <c r="I936" s="8" t="str">
        <f t="shared" si="14"/>
        <v/>
      </c>
    </row>
    <row r="937" spans="8:9" x14ac:dyDescent="0.3">
      <c r="H937" s="7" t="str" cm="1">
        <f t="array" ref="H937">_xlfn.IFS(D937="","",D937="Grand Total",SUM(H$2:H936),TRUE,IF(COUNTIF(Transactions[Custom Category],D937)&gt;0,SUMIFS(Transactions[Amount],Transactions[Custom Category],D937,Transactions[Month],Sel_Month),SUMIFS(Transactions[Amount],Transactions[Name],D937,Transactions[Month],Sel_Month)))</f>
        <v/>
      </c>
      <c r="I937" s="8" t="str">
        <f t="shared" si="14"/>
        <v/>
      </c>
    </row>
    <row r="938" spans="8:9" x14ac:dyDescent="0.3">
      <c r="H938" s="7" t="str" cm="1">
        <f t="array" ref="H938">_xlfn.IFS(D938="","",D938="Grand Total",SUM(H$2:H937),TRUE,IF(COUNTIF(Transactions[Custom Category],D938)&gt;0,SUMIFS(Transactions[Amount],Transactions[Custom Category],D938,Transactions[Month],Sel_Month),SUMIFS(Transactions[Amount],Transactions[Name],D938,Transactions[Month],Sel_Month)))</f>
        <v/>
      </c>
      <c r="I938" s="8" t="str">
        <f t="shared" si="14"/>
        <v/>
      </c>
    </row>
    <row r="939" spans="8:9" x14ac:dyDescent="0.3">
      <c r="H939" s="7" t="str" cm="1">
        <f t="array" ref="H939">_xlfn.IFS(D939="","",D939="Grand Total",SUM(H$2:H938),TRUE,IF(COUNTIF(Transactions[Custom Category],D939)&gt;0,SUMIFS(Transactions[Amount],Transactions[Custom Category],D939,Transactions[Month],Sel_Month),SUMIFS(Transactions[Amount],Transactions[Name],D939,Transactions[Month],Sel_Month)))</f>
        <v/>
      </c>
      <c r="I939" s="8" t="str">
        <f t="shared" si="14"/>
        <v/>
      </c>
    </row>
    <row r="940" spans="8:9" x14ac:dyDescent="0.3">
      <c r="H940" s="7" t="str" cm="1">
        <f t="array" ref="H940">_xlfn.IFS(D940="","",D940="Grand Total",SUM(H$2:H939),TRUE,IF(COUNTIF(Transactions[Custom Category],D940)&gt;0,SUMIFS(Transactions[Amount],Transactions[Custom Category],D940,Transactions[Month],Sel_Month),SUMIFS(Transactions[Amount],Transactions[Name],D940,Transactions[Month],Sel_Month)))</f>
        <v/>
      </c>
      <c r="I940" s="8" t="str">
        <f t="shared" si="14"/>
        <v/>
      </c>
    </row>
    <row r="941" spans="8:9" x14ac:dyDescent="0.3">
      <c r="H941" s="7" t="str" cm="1">
        <f t="array" ref="H941">_xlfn.IFS(D941="","",D941="Grand Total",SUM(H$2:H940),TRUE,IF(COUNTIF(Transactions[Custom Category],D941)&gt;0,SUMIFS(Transactions[Amount],Transactions[Custom Category],D941,Transactions[Month],Sel_Month),SUMIFS(Transactions[Amount],Transactions[Name],D941,Transactions[Month],Sel_Month)))</f>
        <v/>
      </c>
      <c r="I941" s="8" t="str">
        <f t="shared" si="14"/>
        <v/>
      </c>
    </row>
    <row r="942" spans="8:9" x14ac:dyDescent="0.3">
      <c r="H942" s="7" t="str" cm="1">
        <f t="array" ref="H942">_xlfn.IFS(D942="","",D942="Grand Total",SUM(H$2:H941),TRUE,IF(COUNTIF(Transactions[Custom Category],D942)&gt;0,SUMIFS(Transactions[Amount],Transactions[Custom Category],D942,Transactions[Month],Sel_Month),SUMIFS(Transactions[Amount],Transactions[Name],D942,Transactions[Month],Sel_Month)))</f>
        <v/>
      </c>
      <c r="I942" s="8" t="str">
        <f t="shared" si="14"/>
        <v/>
      </c>
    </row>
    <row r="943" spans="8:9" x14ac:dyDescent="0.3">
      <c r="H943" s="7" t="str" cm="1">
        <f t="array" ref="H943">_xlfn.IFS(D943="","",D943="Grand Total",SUM(H$2:H942),TRUE,IF(COUNTIF(Transactions[Custom Category],D943)&gt;0,SUMIFS(Transactions[Amount],Transactions[Custom Category],D943,Transactions[Month],Sel_Month),SUMIFS(Transactions[Amount],Transactions[Name],D943,Transactions[Month],Sel_Month)))</f>
        <v/>
      </c>
      <c r="I943" s="8" t="str">
        <f t="shared" si="14"/>
        <v/>
      </c>
    </row>
    <row r="944" spans="8:9" x14ac:dyDescent="0.3">
      <c r="H944" s="7" t="str" cm="1">
        <f t="array" ref="H944">_xlfn.IFS(D944="","",D944="Grand Total",SUM(H$2:H943),TRUE,IF(COUNTIF(Transactions[Custom Category],D944)&gt;0,SUMIFS(Transactions[Amount],Transactions[Custom Category],D944,Transactions[Month],Sel_Month),SUMIFS(Transactions[Amount],Transactions[Name],D944,Transactions[Month],Sel_Month)))</f>
        <v/>
      </c>
      <c r="I944" s="8" t="str">
        <f t="shared" si="14"/>
        <v/>
      </c>
    </row>
    <row r="945" spans="8:9" x14ac:dyDescent="0.3">
      <c r="H945" s="7" t="str" cm="1">
        <f t="array" ref="H945">_xlfn.IFS(D945="","",D945="Grand Total",SUM(H$2:H944),TRUE,IF(COUNTIF(Transactions[Custom Category],D945)&gt;0,SUMIFS(Transactions[Amount],Transactions[Custom Category],D945,Transactions[Month],Sel_Month),SUMIFS(Transactions[Amount],Transactions[Name],D945,Transactions[Month],Sel_Month)))</f>
        <v/>
      </c>
      <c r="I945" s="8" t="str">
        <f t="shared" si="14"/>
        <v/>
      </c>
    </row>
    <row r="946" spans="8:9" x14ac:dyDescent="0.3">
      <c r="H946" s="7" t="str" cm="1">
        <f t="array" ref="H946">_xlfn.IFS(D946="","",D946="Grand Total",SUM(H$2:H945),TRUE,IF(COUNTIF(Transactions[Custom Category],D946)&gt;0,SUMIFS(Transactions[Amount],Transactions[Custom Category],D946,Transactions[Month],Sel_Month),SUMIFS(Transactions[Amount],Transactions[Name],D946,Transactions[Month],Sel_Month)))</f>
        <v/>
      </c>
      <c r="I946" s="8" t="str">
        <f t="shared" si="14"/>
        <v/>
      </c>
    </row>
    <row r="947" spans="8:9" x14ac:dyDescent="0.3">
      <c r="H947" s="7" t="str" cm="1">
        <f t="array" ref="H947">_xlfn.IFS(D947="","",D947="Grand Total",SUM(H$2:H946),TRUE,IF(COUNTIF(Transactions[Custom Category],D947)&gt;0,SUMIFS(Transactions[Amount],Transactions[Custom Category],D947,Transactions[Month],Sel_Month),SUMIFS(Transactions[Amount],Transactions[Name],D947,Transactions[Month],Sel_Month)))</f>
        <v/>
      </c>
      <c r="I947" s="8" t="str">
        <f t="shared" si="14"/>
        <v/>
      </c>
    </row>
    <row r="948" spans="8:9" x14ac:dyDescent="0.3">
      <c r="H948" s="7" t="str" cm="1">
        <f t="array" ref="H948">_xlfn.IFS(D948="","",D948="Grand Total",SUM(H$2:H947),TRUE,IF(COUNTIF(Transactions[Custom Category],D948)&gt;0,SUMIFS(Transactions[Amount],Transactions[Custom Category],D948,Transactions[Month],Sel_Month),SUMIFS(Transactions[Amount],Transactions[Name],D948,Transactions[Month],Sel_Month)))</f>
        <v/>
      </c>
      <c r="I948" s="8" t="str">
        <f t="shared" si="14"/>
        <v/>
      </c>
    </row>
    <row r="949" spans="8:9" x14ac:dyDescent="0.3">
      <c r="H949" s="7" t="str" cm="1">
        <f t="array" ref="H949">_xlfn.IFS(D949="","",D949="Grand Total",SUM(H$2:H948),TRUE,IF(COUNTIF(Transactions[Custom Category],D949)&gt;0,SUMIFS(Transactions[Amount],Transactions[Custom Category],D949,Transactions[Month],Sel_Month),SUMIFS(Transactions[Amount],Transactions[Name],D949,Transactions[Month],Sel_Month)))</f>
        <v/>
      </c>
      <c r="I949" s="8" t="str">
        <f t="shared" si="14"/>
        <v/>
      </c>
    </row>
    <row r="950" spans="8:9" x14ac:dyDescent="0.3">
      <c r="H950" s="7" t="str" cm="1">
        <f t="array" ref="H950">_xlfn.IFS(D950="","",D950="Grand Total",SUM(H$2:H949),TRUE,IF(COUNTIF(Transactions[Custom Category],D950)&gt;0,SUMIFS(Transactions[Amount],Transactions[Custom Category],D950,Transactions[Month],Sel_Month),SUMIFS(Transactions[Amount],Transactions[Name],D950,Transactions[Month],Sel_Month)))</f>
        <v/>
      </c>
      <c r="I950" s="8" t="str">
        <f t="shared" si="14"/>
        <v/>
      </c>
    </row>
    <row r="951" spans="8:9" x14ac:dyDescent="0.3">
      <c r="H951" s="7" t="str" cm="1">
        <f t="array" ref="H951">_xlfn.IFS(D951="","",D951="Grand Total",SUM(H$2:H950),TRUE,IF(COUNTIF(Transactions[Custom Category],D951)&gt;0,SUMIFS(Transactions[Amount],Transactions[Custom Category],D951,Transactions[Month],Sel_Month),SUMIFS(Transactions[Amount],Transactions[Name],D951,Transactions[Month],Sel_Month)))</f>
        <v/>
      </c>
      <c r="I951" s="8" t="str">
        <f t="shared" si="14"/>
        <v/>
      </c>
    </row>
    <row r="952" spans="8:9" x14ac:dyDescent="0.3">
      <c r="H952" s="7" t="str" cm="1">
        <f t="array" ref="H952">_xlfn.IFS(D952="","",D952="Grand Total",SUM(H$2:H951),TRUE,IF(COUNTIF(Transactions[Custom Category],D952)&gt;0,SUMIFS(Transactions[Amount],Transactions[Custom Category],D952,Transactions[Month],Sel_Month),SUMIFS(Transactions[Amount],Transactions[Name],D952,Transactions[Month],Sel_Month)))</f>
        <v/>
      </c>
      <c r="I952" s="8" t="str">
        <f t="shared" si="14"/>
        <v/>
      </c>
    </row>
    <row r="953" spans="8:9" x14ac:dyDescent="0.3">
      <c r="H953" s="7" t="str" cm="1">
        <f t="array" ref="H953">_xlfn.IFS(D953="","",D953="Grand Total",SUM(H$2:H952),TRUE,IF(COUNTIF(Transactions[Custom Category],D953)&gt;0,SUMIFS(Transactions[Amount],Transactions[Custom Category],D953,Transactions[Month],Sel_Month),SUMIFS(Transactions[Amount],Transactions[Name],D953,Transactions[Month],Sel_Month)))</f>
        <v/>
      </c>
      <c r="I953" s="8" t="str">
        <f t="shared" si="14"/>
        <v/>
      </c>
    </row>
    <row r="954" spans="8:9" x14ac:dyDescent="0.3">
      <c r="H954" s="7" t="str" cm="1">
        <f t="array" ref="H954">_xlfn.IFS(D954="","",D954="Grand Total",SUM(H$2:H953),TRUE,IF(COUNTIF(Transactions[Custom Category],D954)&gt;0,SUMIFS(Transactions[Amount],Transactions[Custom Category],D954,Transactions[Month],Sel_Month),SUMIFS(Transactions[Amount],Transactions[Name],D954,Transactions[Month],Sel_Month)))</f>
        <v/>
      </c>
      <c r="I954" s="8" t="str">
        <f t="shared" si="14"/>
        <v/>
      </c>
    </row>
    <row r="955" spans="8:9" x14ac:dyDescent="0.3">
      <c r="H955" s="7" t="str" cm="1">
        <f t="array" ref="H955">_xlfn.IFS(D955="","",D955="Grand Total",SUM(H$2:H954),TRUE,IF(COUNTIF(Transactions[Custom Category],D955)&gt;0,SUMIFS(Transactions[Amount],Transactions[Custom Category],D955,Transactions[Month],Sel_Month),SUMIFS(Transactions[Amount],Transactions[Name],D955,Transactions[Month],Sel_Month)))</f>
        <v/>
      </c>
      <c r="I955" s="8" t="str">
        <f t="shared" si="14"/>
        <v/>
      </c>
    </row>
    <row r="956" spans="8:9" x14ac:dyDescent="0.3">
      <c r="H956" s="7" t="str" cm="1">
        <f t="array" ref="H956">_xlfn.IFS(D956="","",D956="Grand Total",SUM(H$2:H955),TRUE,IF(COUNTIF(Transactions[Custom Category],D956)&gt;0,SUMIFS(Transactions[Amount],Transactions[Custom Category],D956,Transactions[Month],Sel_Month),SUMIFS(Transactions[Amount],Transactions[Name],D956,Transactions[Month],Sel_Month)))</f>
        <v/>
      </c>
      <c r="I956" s="8" t="str">
        <f t="shared" si="14"/>
        <v/>
      </c>
    </row>
    <row r="957" spans="8:9" x14ac:dyDescent="0.3">
      <c r="H957" s="7" t="str" cm="1">
        <f t="array" ref="H957">_xlfn.IFS(D957="","",D957="Grand Total",SUM(H$2:H956),TRUE,IF(COUNTIF(Transactions[Custom Category],D957)&gt;0,SUMIFS(Transactions[Amount],Transactions[Custom Category],D957,Transactions[Month],Sel_Month),SUMIFS(Transactions[Amount],Transactions[Name],D957,Transactions[Month],Sel_Month)))</f>
        <v/>
      </c>
      <c r="I957" s="8" t="str">
        <f t="shared" si="14"/>
        <v/>
      </c>
    </row>
    <row r="958" spans="8:9" x14ac:dyDescent="0.3">
      <c r="H958" s="7" t="str" cm="1">
        <f t="array" ref="H958">_xlfn.IFS(D958="","",D958="Grand Total",SUM(H$2:H957),TRUE,IF(COUNTIF(Transactions[Custom Category],D958)&gt;0,SUMIFS(Transactions[Amount],Transactions[Custom Category],D958,Transactions[Month],Sel_Month),SUMIFS(Transactions[Amount],Transactions[Name],D958,Transactions[Month],Sel_Month)))</f>
        <v/>
      </c>
      <c r="I958" s="8" t="str">
        <f t="shared" si="14"/>
        <v/>
      </c>
    </row>
    <row r="959" spans="8:9" x14ac:dyDescent="0.3">
      <c r="H959" s="7" t="str" cm="1">
        <f t="array" ref="H959">_xlfn.IFS(D959="","",D959="Grand Total",SUM(H$2:H958),TRUE,IF(COUNTIF(Transactions[Custom Category],D959)&gt;0,SUMIFS(Transactions[Amount],Transactions[Custom Category],D959,Transactions[Month],Sel_Month),SUMIFS(Transactions[Amount],Transactions[Name],D959,Transactions[Month],Sel_Month)))</f>
        <v/>
      </c>
      <c r="I959" s="8" t="str">
        <f t="shared" si="14"/>
        <v/>
      </c>
    </row>
    <row r="960" spans="8:9" x14ac:dyDescent="0.3">
      <c r="H960" s="7" t="str" cm="1">
        <f t="array" ref="H960">_xlfn.IFS(D960="","",D960="Grand Total",SUM(H$2:H959),TRUE,IF(COUNTIF(Transactions[Custom Category],D960)&gt;0,SUMIFS(Transactions[Amount],Transactions[Custom Category],D960,Transactions[Month],Sel_Month),SUMIFS(Transactions[Amount],Transactions[Name],D960,Transactions[Month],Sel_Month)))</f>
        <v/>
      </c>
      <c r="I960" s="8" t="str">
        <f t="shared" si="14"/>
        <v/>
      </c>
    </row>
    <row r="961" spans="8:9" x14ac:dyDescent="0.3">
      <c r="H961" s="7" t="str" cm="1">
        <f t="array" ref="H961">_xlfn.IFS(D961="","",D961="Grand Total",SUM(H$2:H960),TRUE,IF(COUNTIF(Transactions[Custom Category],D961)&gt;0,SUMIFS(Transactions[Amount],Transactions[Custom Category],D961,Transactions[Month],Sel_Month),SUMIFS(Transactions[Amount],Transactions[Name],D961,Transactions[Month],Sel_Month)))</f>
        <v/>
      </c>
      <c r="I961" s="8" t="str">
        <f t="shared" si="14"/>
        <v/>
      </c>
    </row>
    <row r="962" spans="8:9" x14ac:dyDescent="0.3">
      <c r="H962" s="7" t="str" cm="1">
        <f t="array" ref="H962">_xlfn.IFS(D962="","",D962="Grand Total",SUM(H$2:H961),TRUE,IF(COUNTIF(Transactions[Custom Category],D962)&gt;0,SUMIFS(Transactions[Amount],Transactions[Custom Category],D962,Transactions[Month],Sel_Month),SUMIFS(Transactions[Amount],Transactions[Name],D962,Transactions[Month],Sel_Month)))</f>
        <v/>
      </c>
      <c r="I962" s="8" t="str">
        <f t="shared" si="14"/>
        <v/>
      </c>
    </row>
    <row r="963" spans="8:9" x14ac:dyDescent="0.3">
      <c r="H963" s="7" t="str" cm="1">
        <f t="array" ref="H963">_xlfn.IFS(D963="","",D963="Grand Total",SUM(H$2:H962),TRUE,IF(COUNTIF(Transactions[Custom Category],D963)&gt;0,SUMIFS(Transactions[Amount],Transactions[Custom Category],D963,Transactions[Month],Sel_Month),SUMIFS(Transactions[Amount],Transactions[Name],D963,Transactions[Month],Sel_Month)))</f>
        <v/>
      </c>
      <c r="I963" s="8" t="str">
        <f t="shared" si="14"/>
        <v/>
      </c>
    </row>
    <row r="964" spans="8:9" x14ac:dyDescent="0.3">
      <c r="H964" s="7" t="str" cm="1">
        <f t="array" ref="H964">_xlfn.IFS(D964="","",D964="Grand Total",SUM(H$2:H963),TRUE,IF(COUNTIF(Transactions[Custom Category],D964)&gt;0,SUMIFS(Transactions[Amount],Transactions[Custom Category],D964,Transactions[Month],Sel_Month),SUMIFS(Transactions[Amount],Transactions[Name],D964,Transactions[Month],Sel_Month)))</f>
        <v/>
      </c>
      <c r="I964" s="8" t="str">
        <f t="shared" ref="I964:I1000" si="15">IF(F964="","",IF(F964=0,0,1-((F964-H964)/F964)))</f>
        <v/>
      </c>
    </row>
    <row r="965" spans="8:9" x14ac:dyDescent="0.3">
      <c r="H965" s="7" t="str" cm="1">
        <f t="array" ref="H965">_xlfn.IFS(D965="","",D965="Grand Total",SUM(H$2:H964),TRUE,IF(COUNTIF(Transactions[Custom Category],D965)&gt;0,SUMIFS(Transactions[Amount],Transactions[Custom Category],D965,Transactions[Month],Sel_Month),SUMIFS(Transactions[Amount],Transactions[Name],D965,Transactions[Month],Sel_Month)))</f>
        <v/>
      </c>
      <c r="I965" s="8" t="str">
        <f t="shared" si="15"/>
        <v/>
      </c>
    </row>
    <row r="966" spans="8:9" x14ac:dyDescent="0.3">
      <c r="H966" s="7" t="str" cm="1">
        <f t="array" ref="H966">_xlfn.IFS(D966="","",D966="Grand Total",SUM(H$2:H965),TRUE,IF(COUNTIF(Transactions[Custom Category],D966)&gt;0,SUMIFS(Transactions[Amount],Transactions[Custom Category],D966,Transactions[Month],Sel_Month),SUMIFS(Transactions[Amount],Transactions[Name],D966,Transactions[Month],Sel_Month)))</f>
        <v/>
      </c>
      <c r="I966" s="8" t="str">
        <f t="shared" si="15"/>
        <v/>
      </c>
    </row>
    <row r="967" spans="8:9" x14ac:dyDescent="0.3">
      <c r="H967" s="7" t="str" cm="1">
        <f t="array" ref="H967">_xlfn.IFS(D967="","",D967="Grand Total",SUM(H$2:H966),TRUE,IF(COUNTIF(Transactions[Custom Category],D967)&gt;0,SUMIFS(Transactions[Amount],Transactions[Custom Category],D967,Transactions[Month],Sel_Month),SUMIFS(Transactions[Amount],Transactions[Name],D967,Transactions[Month],Sel_Month)))</f>
        <v/>
      </c>
      <c r="I967" s="8" t="str">
        <f t="shared" si="15"/>
        <v/>
      </c>
    </row>
    <row r="968" spans="8:9" x14ac:dyDescent="0.3">
      <c r="H968" s="7" t="str" cm="1">
        <f t="array" ref="H968">_xlfn.IFS(D968="","",D968="Grand Total",SUM(H$2:H967),TRUE,IF(COUNTIF(Transactions[Custom Category],D968)&gt;0,SUMIFS(Transactions[Amount],Transactions[Custom Category],D968,Transactions[Month],Sel_Month),SUMIFS(Transactions[Amount],Transactions[Name],D968,Transactions[Month],Sel_Month)))</f>
        <v/>
      </c>
      <c r="I968" s="8" t="str">
        <f t="shared" si="15"/>
        <v/>
      </c>
    </row>
    <row r="969" spans="8:9" x14ac:dyDescent="0.3">
      <c r="H969" s="7" t="str" cm="1">
        <f t="array" ref="H969">_xlfn.IFS(D969="","",D969="Grand Total",SUM(H$2:H968),TRUE,IF(COUNTIF(Transactions[Custom Category],D969)&gt;0,SUMIFS(Transactions[Amount],Transactions[Custom Category],D969,Transactions[Month],Sel_Month),SUMIFS(Transactions[Amount],Transactions[Name],D969,Transactions[Month],Sel_Month)))</f>
        <v/>
      </c>
      <c r="I969" s="8" t="str">
        <f t="shared" si="15"/>
        <v/>
      </c>
    </row>
    <row r="970" spans="8:9" x14ac:dyDescent="0.3">
      <c r="H970" s="7" t="str" cm="1">
        <f t="array" ref="H970">_xlfn.IFS(D970="","",D970="Grand Total",SUM(H$2:H969),TRUE,IF(COUNTIF(Transactions[Custom Category],D970)&gt;0,SUMIFS(Transactions[Amount],Transactions[Custom Category],D970,Transactions[Month],Sel_Month),SUMIFS(Transactions[Amount],Transactions[Name],D970,Transactions[Month],Sel_Month)))</f>
        <v/>
      </c>
      <c r="I970" s="8" t="str">
        <f t="shared" si="15"/>
        <v/>
      </c>
    </row>
    <row r="971" spans="8:9" x14ac:dyDescent="0.3">
      <c r="H971" s="7" t="str" cm="1">
        <f t="array" ref="H971">_xlfn.IFS(D971="","",D971="Grand Total",SUM(H$2:H970),TRUE,IF(COUNTIF(Transactions[Custom Category],D971)&gt;0,SUMIFS(Transactions[Amount],Transactions[Custom Category],D971,Transactions[Month],Sel_Month),SUMIFS(Transactions[Amount],Transactions[Name],D971,Transactions[Month],Sel_Month)))</f>
        <v/>
      </c>
      <c r="I971" s="8" t="str">
        <f t="shared" si="15"/>
        <v/>
      </c>
    </row>
    <row r="972" spans="8:9" x14ac:dyDescent="0.3">
      <c r="H972" s="7" t="str" cm="1">
        <f t="array" ref="H972">_xlfn.IFS(D972="","",D972="Grand Total",SUM(H$2:H971),TRUE,IF(COUNTIF(Transactions[Custom Category],D972)&gt;0,SUMIFS(Transactions[Amount],Transactions[Custom Category],D972,Transactions[Month],Sel_Month),SUMIFS(Transactions[Amount],Transactions[Name],D972,Transactions[Month],Sel_Month)))</f>
        <v/>
      </c>
      <c r="I972" s="8" t="str">
        <f t="shared" si="15"/>
        <v/>
      </c>
    </row>
    <row r="973" spans="8:9" x14ac:dyDescent="0.3">
      <c r="H973" s="7" t="str" cm="1">
        <f t="array" ref="H973">_xlfn.IFS(D973="","",D973="Grand Total",SUM(H$2:H972),TRUE,IF(COUNTIF(Transactions[Custom Category],D973)&gt;0,SUMIFS(Transactions[Amount],Transactions[Custom Category],D973,Transactions[Month],Sel_Month),SUMIFS(Transactions[Amount],Transactions[Name],D973,Transactions[Month],Sel_Month)))</f>
        <v/>
      </c>
      <c r="I973" s="8" t="str">
        <f t="shared" si="15"/>
        <v/>
      </c>
    </row>
    <row r="974" spans="8:9" x14ac:dyDescent="0.3">
      <c r="H974" s="7" t="str" cm="1">
        <f t="array" ref="H974">_xlfn.IFS(D974="","",D974="Grand Total",SUM(H$2:H973),TRUE,IF(COUNTIF(Transactions[Custom Category],D974)&gt;0,SUMIFS(Transactions[Amount],Transactions[Custom Category],D974,Transactions[Month],Sel_Month),SUMIFS(Transactions[Amount],Transactions[Name],D974,Transactions[Month],Sel_Month)))</f>
        <v/>
      </c>
      <c r="I974" s="8" t="str">
        <f t="shared" si="15"/>
        <v/>
      </c>
    </row>
    <row r="975" spans="8:9" x14ac:dyDescent="0.3">
      <c r="H975" s="7" t="str" cm="1">
        <f t="array" ref="H975">_xlfn.IFS(D975="","",D975="Grand Total",SUM(H$2:H974),TRUE,IF(COUNTIF(Transactions[Custom Category],D975)&gt;0,SUMIFS(Transactions[Amount],Transactions[Custom Category],D975,Transactions[Month],Sel_Month),SUMIFS(Transactions[Amount],Transactions[Name],D975,Transactions[Month],Sel_Month)))</f>
        <v/>
      </c>
      <c r="I975" s="8" t="str">
        <f t="shared" si="15"/>
        <v/>
      </c>
    </row>
    <row r="976" spans="8:9" x14ac:dyDescent="0.3">
      <c r="H976" s="7" t="str" cm="1">
        <f t="array" ref="H976">_xlfn.IFS(D976="","",D976="Grand Total",SUM(H$2:H975),TRUE,IF(COUNTIF(Transactions[Custom Category],D976)&gt;0,SUMIFS(Transactions[Amount],Transactions[Custom Category],D976,Transactions[Month],Sel_Month),SUMIFS(Transactions[Amount],Transactions[Name],D976,Transactions[Month],Sel_Month)))</f>
        <v/>
      </c>
      <c r="I976" s="8" t="str">
        <f t="shared" si="15"/>
        <v/>
      </c>
    </row>
    <row r="977" spans="8:9" x14ac:dyDescent="0.3">
      <c r="H977" s="7" t="str" cm="1">
        <f t="array" ref="H977">_xlfn.IFS(D977="","",D977="Grand Total",SUM(H$2:H976),TRUE,IF(COUNTIF(Transactions[Custom Category],D977)&gt;0,SUMIFS(Transactions[Amount],Transactions[Custom Category],D977,Transactions[Month],Sel_Month),SUMIFS(Transactions[Amount],Transactions[Name],D977,Transactions[Month],Sel_Month)))</f>
        <v/>
      </c>
      <c r="I977" s="8" t="str">
        <f t="shared" si="15"/>
        <v/>
      </c>
    </row>
    <row r="978" spans="8:9" x14ac:dyDescent="0.3">
      <c r="H978" s="7" t="str" cm="1">
        <f t="array" ref="H978">_xlfn.IFS(D978="","",D978="Grand Total",SUM(H$2:H977),TRUE,IF(COUNTIF(Transactions[Custom Category],D978)&gt;0,SUMIFS(Transactions[Amount],Transactions[Custom Category],D978,Transactions[Month],Sel_Month),SUMIFS(Transactions[Amount],Transactions[Name],D978,Transactions[Month],Sel_Month)))</f>
        <v/>
      </c>
      <c r="I978" s="8" t="str">
        <f t="shared" si="15"/>
        <v/>
      </c>
    </row>
    <row r="979" spans="8:9" x14ac:dyDescent="0.3">
      <c r="H979" s="7" t="str" cm="1">
        <f t="array" ref="H979">_xlfn.IFS(D979="","",D979="Grand Total",SUM(H$2:H978),TRUE,IF(COUNTIF(Transactions[Custom Category],D979)&gt;0,SUMIFS(Transactions[Amount],Transactions[Custom Category],D979,Transactions[Month],Sel_Month),SUMIFS(Transactions[Amount],Transactions[Name],D979,Transactions[Month],Sel_Month)))</f>
        <v/>
      </c>
      <c r="I979" s="8" t="str">
        <f t="shared" si="15"/>
        <v/>
      </c>
    </row>
    <row r="980" spans="8:9" x14ac:dyDescent="0.3">
      <c r="H980" s="7" t="str" cm="1">
        <f t="array" ref="H980">_xlfn.IFS(D980="","",D980="Grand Total",SUM(H$2:H979),TRUE,IF(COUNTIF(Transactions[Custom Category],D980)&gt;0,SUMIFS(Transactions[Amount],Transactions[Custom Category],D980,Transactions[Month],Sel_Month),SUMIFS(Transactions[Amount],Transactions[Name],D980,Transactions[Month],Sel_Month)))</f>
        <v/>
      </c>
      <c r="I980" s="8" t="str">
        <f t="shared" si="15"/>
        <v/>
      </c>
    </row>
    <row r="981" spans="8:9" x14ac:dyDescent="0.3">
      <c r="H981" s="7" t="str" cm="1">
        <f t="array" ref="H981">_xlfn.IFS(D981="","",D981="Grand Total",SUM(H$2:H980),TRUE,IF(COUNTIF(Transactions[Custom Category],D981)&gt;0,SUMIFS(Transactions[Amount],Transactions[Custom Category],D981,Transactions[Month],Sel_Month),SUMIFS(Transactions[Amount],Transactions[Name],D981,Transactions[Month],Sel_Month)))</f>
        <v/>
      </c>
      <c r="I981" s="8" t="str">
        <f t="shared" si="15"/>
        <v/>
      </c>
    </row>
    <row r="982" spans="8:9" x14ac:dyDescent="0.3">
      <c r="H982" s="7" t="str" cm="1">
        <f t="array" ref="H982">_xlfn.IFS(D982="","",D982="Grand Total",SUM(H$2:H981),TRUE,IF(COUNTIF(Transactions[Custom Category],D982)&gt;0,SUMIFS(Transactions[Amount],Transactions[Custom Category],D982,Transactions[Month],Sel_Month),SUMIFS(Transactions[Amount],Transactions[Name],D982,Transactions[Month],Sel_Month)))</f>
        <v/>
      </c>
      <c r="I982" s="8" t="str">
        <f t="shared" si="15"/>
        <v/>
      </c>
    </row>
    <row r="983" spans="8:9" x14ac:dyDescent="0.3">
      <c r="H983" s="7" t="str" cm="1">
        <f t="array" ref="H983">_xlfn.IFS(D983="","",D983="Grand Total",SUM(H$2:H982),TRUE,IF(COUNTIF(Transactions[Custom Category],D983)&gt;0,SUMIFS(Transactions[Amount],Transactions[Custom Category],D983,Transactions[Month],Sel_Month),SUMIFS(Transactions[Amount],Transactions[Name],D983,Transactions[Month],Sel_Month)))</f>
        <v/>
      </c>
      <c r="I983" s="8" t="str">
        <f t="shared" si="15"/>
        <v/>
      </c>
    </row>
    <row r="984" spans="8:9" x14ac:dyDescent="0.3">
      <c r="H984" s="7" t="str" cm="1">
        <f t="array" ref="H984">_xlfn.IFS(D984="","",D984="Grand Total",SUM(H$2:H983),TRUE,IF(COUNTIF(Transactions[Custom Category],D984)&gt;0,SUMIFS(Transactions[Amount],Transactions[Custom Category],D984,Transactions[Month],Sel_Month),SUMIFS(Transactions[Amount],Transactions[Name],D984,Transactions[Month],Sel_Month)))</f>
        <v/>
      </c>
      <c r="I984" s="8" t="str">
        <f t="shared" si="15"/>
        <v/>
      </c>
    </row>
    <row r="985" spans="8:9" x14ac:dyDescent="0.3">
      <c r="H985" s="7" t="str" cm="1">
        <f t="array" ref="H985">_xlfn.IFS(D985="","",D985="Grand Total",SUM(H$2:H984),TRUE,IF(COUNTIF(Transactions[Custom Category],D985)&gt;0,SUMIFS(Transactions[Amount],Transactions[Custom Category],D985,Transactions[Month],Sel_Month),SUMIFS(Transactions[Amount],Transactions[Name],D985,Transactions[Month],Sel_Month)))</f>
        <v/>
      </c>
      <c r="I985" s="8" t="str">
        <f t="shared" si="15"/>
        <v/>
      </c>
    </row>
    <row r="986" spans="8:9" x14ac:dyDescent="0.3">
      <c r="H986" s="7" t="str" cm="1">
        <f t="array" ref="H986">_xlfn.IFS(D986="","",D986="Grand Total",SUM(H$2:H985),TRUE,IF(COUNTIF(Transactions[Custom Category],D986)&gt;0,SUMIFS(Transactions[Amount],Transactions[Custom Category],D986,Transactions[Month],Sel_Month),SUMIFS(Transactions[Amount],Transactions[Name],D986,Transactions[Month],Sel_Month)))</f>
        <v/>
      </c>
      <c r="I986" s="8" t="str">
        <f t="shared" si="15"/>
        <v/>
      </c>
    </row>
    <row r="987" spans="8:9" x14ac:dyDescent="0.3">
      <c r="H987" s="7" t="str" cm="1">
        <f t="array" ref="H987">_xlfn.IFS(D987="","",D987="Grand Total",SUM(H$2:H986),TRUE,IF(COUNTIF(Transactions[Custom Category],D987)&gt;0,SUMIFS(Transactions[Amount],Transactions[Custom Category],D987,Transactions[Month],Sel_Month),SUMIFS(Transactions[Amount],Transactions[Name],D987,Transactions[Month],Sel_Month)))</f>
        <v/>
      </c>
      <c r="I987" s="8" t="str">
        <f t="shared" si="15"/>
        <v/>
      </c>
    </row>
    <row r="988" spans="8:9" x14ac:dyDescent="0.3">
      <c r="H988" s="7" t="str" cm="1">
        <f t="array" ref="H988">_xlfn.IFS(D988="","",D988="Grand Total",SUM(H$2:H987),TRUE,IF(COUNTIF(Transactions[Custom Category],D988)&gt;0,SUMIFS(Transactions[Amount],Transactions[Custom Category],D988,Transactions[Month],Sel_Month),SUMIFS(Transactions[Amount],Transactions[Name],D988,Transactions[Month],Sel_Month)))</f>
        <v/>
      </c>
      <c r="I988" s="8" t="str">
        <f t="shared" si="15"/>
        <v/>
      </c>
    </row>
    <row r="989" spans="8:9" x14ac:dyDescent="0.3">
      <c r="H989" s="7" t="str" cm="1">
        <f t="array" ref="H989">_xlfn.IFS(D989="","",D989="Grand Total",SUM(H$2:H988),TRUE,IF(COUNTIF(Transactions[Custom Category],D989)&gt;0,SUMIFS(Transactions[Amount],Transactions[Custom Category],D989,Transactions[Month],Sel_Month),SUMIFS(Transactions[Amount],Transactions[Name],D989,Transactions[Month],Sel_Month)))</f>
        <v/>
      </c>
      <c r="I989" s="8" t="str">
        <f t="shared" si="15"/>
        <v/>
      </c>
    </row>
    <row r="990" spans="8:9" x14ac:dyDescent="0.3">
      <c r="H990" s="7" t="str" cm="1">
        <f t="array" ref="H990">_xlfn.IFS(D990="","",D990="Grand Total",SUM(H$2:H989),TRUE,IF(COUNTIF(Transactions[Custom Category],D990)&gt;0,SUMIFS(Transactions[Amount],Transactions[Custom Category],D990,Transactions[Month],Sel_Month),SUMIFS(Transactions[Amount],Transactions[Name],D990,Transactions[Month],Sel_Month)))</f>
        <v/>
      </c>
      <c r="I990" s="8" t="str">
        <f t="shared" si="15"/>
        <v/>
      </c>
    </row>
    <row r="991" spans="8:9" x14ac:dyDescent="0.3">
      <c r="H991" s="7" t="str" cm="1">
        <f t="array" ref="H991">_xlfn.IFS(D991="","",D991="Grand Total",SUM(H$2:H990),TRUE,IF(COUNTIF(Transactions[Custom Category],D991)&gt;0,SUMIFS(Transactions[Amount],Transactions[Custom Category],D991,Transactions[Month],Sel_Month),SUMIFS(Transactions[Amount],Transactions[Name],D991,Transactions[Month],Sel_Month)))</f>
        <v/>
      </c>
      <c r="I991" s="8" t="str">
        <f t="shared" si="15"/>
        <v/>
      </c>
    </row>
    <row r="992" spans="8:9" x14ac:dyDescent="0.3">
      <c r="H992" s="7" t="str" cm="1">
        <f t="array" ref="H992">_xlfn.IFS(D992="","",D992="Grand Total",SUM(H$2:H991),TRUE,IF(COUNTIF(Transactions[Custom Category],D992)&gt;0,SUMIFS(Transactions[Amount],Transactions[Custom Category],D992,Transactions[Month],Sel_Month),SUMIFS(Transactions[Amount],Transactions[Name],D992,Transactions[Month],Sel_Month)))</f>
        <v/>
      </c>
      <c r="I992" s="8" t="str">
        <f t="shared" si="15"/>
        <v/>
      </c>
    </row>
    <row r="993" spans="8:9" x14ac:dyDescent="0.3">
      <c r="H993" s="7" t="str" cm="1">
        <f t="array" ref="H993">_xlfn.IFS(D993="","",D993="Grand Total",SUM(H$2:H992),TRUE,IF(COUNTIF(Transactions[Custom Category],D993)&gt;0,SUMIFS(Transactions[Amount],Transactions[Custom Category],D993,Transactions[Month],Sel_Month),SUMIFS(Transactions[Amount],Transactions[Name],D993,Transactions[Month],Sel_Month)))</f>
        <v/>
      </c>
      <c r="I993" s="8" t="str">
        <f t="shared" si="15"/>
        <v/>
      </c>
    </row>
    <row r="994" spans="8:9" x14ac:dyDescent="0.3">
      <c r="H994" s="7" t="str" cm="1">
        <f t="array" ref="H994">_xlfn.IFS(D994="","",D994="Grand Total",SUM(H$2:H993),TRUE,IF(COUNTIF(Transactions[Custom Category],D994)&gt;0,SUMIFS(Transactions[Amount],Transactions[Custom Category],D994,Transactions[Month],Sel_Month),SUMIFS(Transactions[Amount],Transactions[Name],D994,Transactions[Month],Sel_Month)))</f>
        <v/>
      </c>
      <c r="I994" s="8" t="str">
        <f t="shared" si="15"/>
        <v/>
      </c>
    </row>
    <row r="995" spans="8:9" x14ac:dyDescent="0.3">
      <c r="H995" s="7" t="str" cm="1">
        <f t="array" ref="H995">_xlfn.IFS(D995="","",D995="Grand Total",SUM(H$2:H994),TRUE,IF(COUNTIF(Transactions[Custom Category],D995)&gt;0,SUMIFS(Transactions[Amount],Transactions[Custom Category],D995,Transactions[Month],Sel_Month),SUMIFS(Transactions[Amount],Transactions[Name],D995,Transactions[Month],Sel_Month)))</f>
        <v/>
      </c>
      <c r="I995" s="8" t="str">
        <f t="shared" si="15"/>
        <v/>
      </c>
    </row>
    <row r="996" spans="8:9" x14ac:dyDescent="0.3">
      <c r="H996" s="7" t="str" cm="1">
        <f t="array" ref="H996">_xlfn.IFS(D996="","",D996="Grand Total",SUM(H$2:H995),TRUE,IF(COUNTIF(Transactions[Custom Category],D996)&gt;0,SUMIFS(Transactions[Amount],Transactions[Custom Category],D996,Transactions[Month],Sel_Month),SUMIFS(Transactions[Amount],Transactions[Name],D996,Transactions[Month],Sel_Month)))</f>
        <v/>
      </c>
      <c r="I996" s="8" t="str">
        <f t="shared" si="15"/>
        <v/>
      </c>
    </row>
    <row r="997" spans="8:9" x14ac:dyDescent="0.3">
      <c r="H997" s="7" t="str" cm="1">
        <f t="array" ref="H997">_xlfn.IFS(D997="","",D997="Grand Total",SUM(H$2:H996),TRUE,IF(COUNTIF(Transactions[Custom Category],D997)&gt;0,SUMIFS(Transactions[Amount],Transactions[Custom Category],D997,Transactions[Month],Sel_Month),SUMIFS(Transactions[Amount],Transactions[Name],D997,Transactions[Month],Sel_Month)))</f>
        <v/>
      </c>
      <c r="I997" s="8" t="str">
        <f t="shared" si="15"/>
        <v/>
      </c>
    </row>
    <row r="998" spans="8:9" x14ac:dyDescent="0.3">
      <c r="H998" s="7" t="str" cm="1">
        <f t="array" ref="H998">_xlfn.IFS(D998="","",D998="Grand Total",SUM(H$2:H997),TRUE,IF(COUNTIF(Transactions[Custom Category],D998)&gt;0,SUMIFS(Transactions[Amount],Transactions[Custom Category],D998,Transactions[Month],Sel_Month),SUMIFS(Transactions[Amount],Transactions[Name],D998,Transactions[Month],Sel_Month)))</f>
        <v/>
      </c>
      <c r="I998" s="8" t="str">
        <f t="shared" si="15"/>
        <v/>
      </c>
    </row>
    <row r="999" spans="8:9" x14ac:dyDescent="0.3">
      <c r="H999" s="7" t="str" cm="1">
        <f t="array" ref="H999">_xlfn.IFS(D999="","",D999="Grand Total",SUM(H$2:H998),TRUE,IF(COUNTIF(Transactions[Custom Category],D999)&gt;0,SUMIFS(Transactions[Amount],Transactions[Custom Category],D999,Transactions[Month],Sel_Month),SUMIFS(Transactions[Amount],Transactions[Name],D999,Transactions[Month],Sel_Month)))</f>
        <v/>
      </c>
      <c r="I999" s="8" t="str">
        <f t="shared" si="15"/>
        <v/>
      </c>
    </row>
    <row r="1000" spans="8:9" x14ac:dyDescent="0.3">
      <c r="H1000" s="7" t="str" cm="1">
        <f t="array" ref="H1000">_xlfn.IFS(D1000="","",D1000="Grand Total",SUM(H$2:H999),TRUE,IF(COUNTIF(Transactions[Custom Category],D1000)&gt;0,SUMIFS(Transactions[Amount],Transactions[Custom Category],D1000,Transactions[Month],Sel_Month),SUMIFS(Transactions[Amount],Transactions[Name],D1000,Transactions[Month],Sel_Month)))</f>
        <v/>
      </c>
      <c r="I1000" s="8" t="str">
        <f t="shared" si="15"/>
        <v/>
      </c>
    </row>
  </sheetData>
  <conditionalFormatting sqref="H3:I1000">
    <cfRule type="expression" dxfId="1" priority="5" stopIfTrue="1">
      <formula>$D3="Total"</formula>
    </cfRule>
    <cfRule type="expression" dxfId="0" priority="6">
      <formula>$D3&lt;&gt;""</formula>
    </cfRule>
  </conditionalFormatting>
  <dataValidations disablePrompts="1" count="1">
    <dataValidation type="list" allowBlank="1" showInputMessage="1" showErrorMessage="1" promptTitle="Select Month" sqref="I1" xr:uid="{3850E831-CF06-4A77-A215-8B96EAEF23F8}">
      <formula1>Unique_Months</formula1>
    </dataValidation>
  </dataValidations>
  <pageMargins left="0.7" right="0.7" top="0.75" bottom="0.75" header="0.3" footer="0.3"/>
  <tableParts count="2">
    <tablePart r:id="rId3"/>
    <tablePart r:id="rId4"/>
  </tablePart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promptTitle="How frequently resets" prompt="Select the frequency at which this budget will reset" xr:uid="{1AFBA4B2-E2F6-4585-A6DC-E6D6E86F6AAB}">
          <x14:formula1>
            <xm:f>Conf!$A$2:$A$8</xm:f>
          </x14:formula1>
          <xm:sqref>L3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AFFD0-868B-4F0D-A9AA-366FCA2A4264}">
  <sheetPr codeName="Sheet2"/>
  <dimension ref="A1:I2"/>
  <sheetViews>
    <sheetView workbookViewId="0">
      <selection activeCell="F2" sqref="F2"/>
    </sheetView>
  </sheetViews>
  <sheetFormatPr defaultRowHeight="14.4" x14ac:dyDescent="0.3"/>
  <cols>
    <col min="1" max="1" width="18.5546875" bestFit="1" customWidth="1"/>
    <col min="2" max="2" width="11" customWidth="1"/>
    <col min="3" max="3" width="56.5546875" customWidth="1"/>
    <col min="4" max="5" width="11" customWidth="1"/>
    <col min="6" max="6" width="32.44140625" bestFit="1" customWidth="1"/>
    <col min="7" max="9" width="11" customWidth="1"/>
  </cols>
  <sheetData>
    <row r="1" spans="1:9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3">
      <c r="A2" s="21"/>
      <c r="B2" s="21"/>
      <c r="C2" s="21"/>
      <c r="D2" s="21"/>
      <c r="E2" s="21"/>
      <c r="F2" s="21"/>
      <c r="G2" s="21"/>
      <c r="H2" s="21"/>
      <c r="I2" s="21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17DD1E-E608-46F6-A6DF-A714ACAD90B0}">
  <sheetPr codeName="Sheet3"/>
  <dimension ref="A1:U2"/>
  <sheetViews>
    <sheetView zoomScaleNormal="100" workbookViewId="0">
      <selection activeCell="H16" sqref="H16"/>
    </sheetView>
  </sheetViews>
  <sheetFormatPr defaultRowHeight="14.4" x14ac:dyDescent="0.3"/>
  <cols>
    <col min="1" max="3" width="11" customWidth="1"/>
    <col min="4" max="4" width="35" customWidth="1"/>
    <col min="5" max="5" width="15.6640625" style="1" customWidth="1"/>
    <col min="6" max="7" width="11" customWidth="1"/>
    <col min="8" max="8" width="40" customWidth="1"/>
    <col min="9" max="9" width="11" customWidth="1"/>
    <col min="10" max="11" width="12.109375" customWidth="1"/>
    <col min="12" max="12" width="21.5546875" customWidth="1"/>
    <col min="13" max="13" width="14.6640625" customWidth="1"/>
    <col min="14" max="14" width="11.44140625" bestFit="1" customWidth="1"/>
    <col min="15" max="15" width="17" customWidth="1"/>
    <col min="16" max="16" width="11.109375" customWidth="1"/>
    <col min="17" max="17" width="15.6640625" customWidth="1"/>
    <col min="19" max="19" width="11.5546875" bestFit="1" customWidth="1"/>
  </cols>
  <sheetData>
    <row r="1" spans="1:21" x14ac:dyDescent="0.3">
      <c r="A1" t="s">
        <v>9</v>
      </c>
      <c r="B1" t="s">
        <v>10</v>
      </c>
      <c r="C1" t="s">
        <v>11</v>
      </c>
      <c r="D1" t="s">
        <v>12</v>
      </c>
      <c r="E1" s="1" t="s">
        <v>22</v>
      </c>
      <c r="F1" t="s">
        <v>13</v>
      </c>
      <c r="G1" t="s">
        <v>14</v>
      </c>
      <c r="H1" t="s">
        <v>5</v>
      </c>
      <c r="I1" t="s">
        <v>15</v>
      </c>
      <c r="J1" t="s">
        <v>16</v>
      </c>
      <c r="K1" t="s">
        <v>17</v>
      </c>
      <c r="L1" t="s">
        <v>18</v>
      </c>
      <c r="M1" t="s">
        <v>19</v>
      </c>
      <c r="N1" t="s">
        <v>21</v>
      </c>
      <c r="O1" t="s">
        <v>20</v>
      </c>
      <c r="P1" t="s">
        <v>25</v>
      </c>
      <c r="Q1" t="s">
        <v>26</v>
      </c>
      <c r="R1" t="s">
        <v>39</v>
      </c>
      <c r="S1" t="s">
        <v>24</v>
      </c>
      <c r="T1" t="s">
        <v>27</v>
      </c>
      <c r="U1" t="s">
        <v>40</v>
      </c>
    </row>
    <row r="2" spans="1:21" x14ac:dyDescent="0.3">
      <c r="A2" s="21"/>
      <c r="B2" s="21"/>
      <c r="C2" s="21"/>
      <c r="D2" s="21"/>
      <c r="E2" s="23"/>
      <c r="F2" s="21"/>
      <c r="G2" s="21"/>
      <c r="H2" s="21"/>
      <c r="I2" s="21"/>
      <c r="J2" s="21"/>
      <c r="K2" s="21"/>
      <c r="L2" s="25"/>
      <c r="M2" s="25"/>
      <c r="N2" s="25"/>
      <c r="O2" s="25"/>
      <c r="P2" s="1"/>
      <c r="Q2" s="1"/>
      <c r="R2" s="17"/>
      <c r="S2" s="3"/>
      <c r="T2" s="25"/>
      <c r="U2" s="25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4FECD2-A274-46BE-BFC1-4129AF181C77}">
  <sheetPr codeName="Sheet4"/>
  <dimension ref="A1:D8"/>
  <sheetViews>
    <sheetView workbookViewId="0">
      <selection activeCell="D2" sqref="D2"/>
    </sheetView>
  </sheetViews>
  <sheetFormatPr defaultRowHeight="14.4" x14ac:dyDescent="0.3"/>
  <cols>
    <col min="1" max="1" width="13" customWidth="1"/>
    <col min="4" max="4" width="16" style="9" bestFit="1" customWidth="1"/>
  </cols>
  <sheetData>
    <row r="1" spans="1:4" x14ac:dyDescent="0.3">
      <c r="A1" t="s">
        <v>30</v>
      </c>
      <c r="B1" t="s">
        <v>38</v>
      </c>
      <c r="D1" s="9" cm="1">
        <f t="array" ref="D1">_xlfn.UNIQUE(Transactions[Month])</f>
        <v>0</v>
      </c>
    </row>
    <row r="2" spans="1:4" x14ac:dyDescent="0.3">
      <c r="A2" t="s">
        <v>32</v>
      </c>
      <c r="B2">
        <v>30</v>
      </c>
    </row>
    <row r="3" spans="1:4" x14ac:dyDescent="0.3">
      <c r="A3" t="s">
        <v>31</v>
      </c>
      <c r="B3">
        <v>4</v>
      </c>
    </row>
    <row r="4" spans="1:4" x14ac:dyDescent="0.3">
      <c r="A4" t="s">
        <v>33</v>
      </c>
      <c r="B4">
        <v>2</v>
      </c>
    </row>
    <row r="5" spans="1:4" x14ac:dyDescent="0.3">
      <c r="A5" t="s">
        <v>34</v>
      </c>
      <c r="B5">
        <v>1</v>
      </c>
    </row>
    <row r="6" spans="1:4" x14ac:dyDescent="0.3">
      <c r="A6" t="s">
        <v>35</v>
      </c>
      <c r="B6">
        <f>1/3</f>
        <v>0.33333333333333331</v>
      </c>
    </row>
    <row r="7" spans="1:4" x14ac:dyDescent="0.3">
      <c r="A7" t="s">
        <v>36</v>
      </c>
      <c r="B7">
        <f>1/6</f>
        <v>0.16666666666666666</v>
      </c>
    </row>
    <row r="8" spans="1:4" x14ac:dyDescent="0.3">
      <c r="A8" t="s">
        <v>37</v>
      </c>
      <c r="B8">
        <f>1/12</f>
        <v>8.3333333333333329E-2</v>
      </c>
    </row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Dashboard</vt:lpstr>
      <vt:lpstr>Accounts</vt:lpstr>
      <vt:lpstr>Transactions</vt:lpstr>
      <vt:lpstr>Conf</vt:lpstr>
      <vt:lpstr>Sel_Month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Manuel R Avila</dc:creator>
  <cp:lastModifiedBy>Manuel R Avila</cp:lastModifiedBy>
  <dcterms:created xsi:type="dcterms:W3CDTF">2024-04-17T02:26:28Z</dcterms:created>
  <dcterms:modified xsi:type="dcterms:W3CDTF">2024-08-27T16:23:33Z</dcterms:modified>
</cp:coreProperties>
</file>