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https://d.docs.live.net/1919646cce972b31/Intel/ExMint/excel_addin/template_generator/"/>
    </mc:Choice>
  </mc:AlternateContent>
  <xr:revisionPtr revIDLastSave="543" documentId="8_{4F5C8AB7-AF02-4D60-BF87-E7C7E3B5BB07}" xr6:coauthVersionLast="47" xr6:coauthVersionMax="47" xr10:uidLastSave="{07E9C4E5-1F28-45F5-805A-A8C04C309AF3}"/>
  <bookViews>
    <workbookView xWindow="-120" yWindow="-120" windowWidth="38640" windowHeight="21120" xr2:uid="{00000000-000D-0000-FFFF-FFFF00000000}"/>
  </bookViews>
  <sheets>
    <sheet name="Dashboard" sheetId="8" r:id="rId1"/>
    <sheet name="Accounts" sheetId="9" r:id="rId2"/>
    <sheet name="Transactions" sheetId="10" r:id="rId3"/>
    <sheet name="Conf" sheetId="11" r:id="rId4"/>
  </sheets>
  <definedNames>
    <definedName name="_xleta.MONTH" hidden="1" xlm="1">#NAME?</definedName>
    <definedName name="_xlpm.categoryMatches" hidden="1" xlm="1">#NAME?</definedName>
    <definedName name="_xlpm.categoryOnlyMatch" hidden="1" xlm="1">#NAME?</definedName>
    <definedName name="_xlpm.categoryPresent" hidden="1" xlm="1">#NAME?</definedName>
    <definedName name="_xlpm.customCatAmountMax" hidden="1" xlm="1">#NAME?</definedName>
    <definedName name="_xlpm.customCatAmountMin" hidden="1" xlm="1">#NAME?</definedName>
    <definedName name="_xlpm.customCatCategory" hidden="1" xlm="1">#NAME?</definedName>
    <definedName name="_xlpm.customCatName" hidden="1" xlm="1">#NAME?</definedName>
    <definedName name="_xlpm.customCatResult" hidden="1" xlm="1">#NAME?</definedName>
    <definedName name="_xlpm.fullMatch" hidden="1" xlm="1">#NAME?</definedName>
    <definedName name="_xlpm.lastCategoryOnlyMatch" hidden="1" xlm="1">#NAME?</definedName>
    <definedName name="_xlpm.lastFullMatch" hidden="1" xlm="1">#NAME?</definedName>
    <definedName name="_xlpm.lastNameAndCategoryMatch" hidden="1" xlm="1">#NAME?</definedName>
    <definedName name="_xlpm.lastNameOnlyMatch" hidden="1" xlm="1">#NAME?</definedName>
    <definedName name="_xlpm.maxAmountMatches" hidden="1" xlm="1">#NAME?</definedName>
    <definedName name="_xlpm.maxAmountPresent" hidden="1" xlm="1">#NAME?</definedName>
    <definedName name="_xlpm.minAmountMatches" hidden="1" xlm="1">#NAME?</definedName>
    <definedName name="_xlpm.minAmountPresent" hidden="1" xlm="1">#NAME?</definedName>
    <definedName name="_xlpm.nameAndCategoryMatch" hidden="1" xlm="1">#NAME?</definedName>
    <definedName name="_xlpm.nameMatches" hidden="1" xlm="1">#NAME?</definedName>
    <definedName name="_xlpm.nameOnlyMatch" hidden="1" xlm="1">#NAME?</definedName>
    <definedName name="_xlpm.namePresent" hidden="1" xlm="1">#NAME?</definedName>
    <definedName name="_xlpm.transAmount" hidden="1" xlm="1">#NAME?</definedName>
    <definedName name="_xlpm.transCategory" hidden="1" xlm="1">#NAME?</definedName>
    <definedName name="_xlpm.transName" hidden="1" xlm="1">#NAME?</definedName>
    <definedName name="_xlpm.validRule" hidden="1" xlm="1">#NAME?</definedName>
    <definedName name="Sel_Month">Dashboard!#REF!</definedName>
    <definedName name="Unique_Months">OFFSET(Conf!#REF!, 0, 0, COUNTA(Conf!#REF!), 1)</definedName>
  </definedNames>
  <calcPr calcId="191028"/>
  <pivotCaches>
    <pivotCache cacheId="94" r:id="rId5"/>
    <pivotCache cacheId="95"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1" l="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Manuel R Avila</author>
  </authors>
  <commentList>
    <comment ref="A1" authorId="0" shapeId="0" xr:uid="{D0DDF559-138B-48B2-A370-AF1EF666FEE0}">
      <text>
        <r>
          <rPr>
            <b/>
            <sz val="9"/>
            <color indexed="81"/>
            <rFont val="Tahoma"/>
            <family val="2"/>
          </rPr>
          <t>ExMint Help:</t>
        </r>
        <r>
          <rPr>
            <sz val="9"/>
            <color indexed="81"/>
            <rFont val="Tahoma"/>
            <family val="2"/>
          </rPr>
          <t xml:space="preserve">
Recent balances of synced accounts (Not real time updated). Negative values are credit or loans. </t>
        </r>
      </text>
    </comment>
    <comment ref="B1" authorId="0" shapeId="0" xr:uid="{7A6365E2-DBC2-4221-9A6B-2F757AEACC0B}">
      <text>
        <r>
          <rPr>
            <b/>
            <sz val="9"/>
            <color indexed="81"/>
            <rFont val="Tahoma"/>
            <family val="2"/>
          </rPr>
          <t>ExMint Help:</t>
        </r>
        <r>
          <rPr>
            <sz val="9"/>
            <color indexed="81"/>
            <rFont val="Tahoma"/>
            <family val="2"/>
          </rPr>
          <t xml:space="preserve">
</t>
        </r>
        <r>
          <rPr>
            <b/>
            <sz val="9"/>
            <color indexed="81"/>
            <rFont val="Tahoma"/>
            <family val="2"/>
          </rPr>
          <t xml:space="preserve">Balances
</t>
        </r>
        <r>
          <rPr>
            <sz val="9"/>
            <color indexed="81"/>
            <rFont val="Tahoma"/>
            <family val="2"/>
          </rPr>
          <t>This column shows the RECENT balance of each account. Keep in mind that ExMint won't get real time balances.</t>
        </r>
      </text>
    </comment>
    <comment ref="D1" authorId="0" shapeId="0" xr:uid="{13A3C603-43AB-4B61-9186-48680148B50A}">
      <text>
        <r>
          <rPr>
            <b/>
            <sz val="9"/>
            <color indexed="81"/>
            <rFont val="Tahoma"/>
            <family val="2"/>
          </rPr>
          <t>ExMint Help:</t>
        </r>
        <r>
          <rPr>
            <sz val="9"/>
            <color indexed="81"/>
            <rFont val="Tahoma"/>
            <family val="2"/>
          </rPr>
          <t xml:space="preserve">
Summary of income and expenses from synced accounts. Both credit and debit are positive in this table. Expand groups to see details. See additional help on each column.</t>
        </r>
      </text>
    </comment>
    <comment ref="E1" authorId="0" shapeId="0" xr:uid="{400C8FC3-03DA-462A-BF0B-84C494467BFF}">
      <text>
        <r>
          <rPr>
            <b/>
            <sz val="9"/>
            <color indexed="81"/>
            <rFont val="Tahoma"/>
            <family val="2"/>
          </rPr>
          <t xml:space="preserve">ExMint Help:
Subtotal
</t>
        </r>
        <r>
          <rPr>
            <sz val="9"/>
            <color indexed="81"/>
            <rFont val="Tahoma"/>
            <family val="2"/>
          </rPr>
          <t xml:space="preserve">Shows subtotal per category in each month. Expand to see individual transaction names within a category.
</t>
        </r>
      </text>
    </comment>
    <comment ref="F1" authorId="0" shapeId="0" xr:uid="{249E18EB-514F-404E-9F0A-4D58A308942A}">
      <text>
        <r>
          <rPr>
            <b/>
            <sz val="9"/>
            <color indexed="81"/>
            <rFont val="Tahoma"/>
            <family val="2"/>
          </rPr>
          <t xml:space="preserve">ExMint Help:
6M Average
</t>
        </r>
        <r>
          <rPr>
            <sz val="9"/>
            <color indexed="81"/>
            <rFont val="Tahoma"/>
            <family val="2"/>
          </rPr>
          <t>Shows average spending / income per category over the previous 6 months.</t>
        </r>
      </text>
    </comment>
    <comment ref="G1" authorId="0" shapeId="0" xr:uid="{86311DE4-97DA-4ECA-AACE-2C32D6FA9FC8}">
      <text>
        <r>
          <rPr>
            <b/>
            <sz val="9"/>
            <color indexed="81"/>
            <rFont val="Tahoma"/>
            <family val="2"/>
          </rPr>
          <t>ExMint Help:</t>
        </r>
        <r>
          <rPr>
            <sz val="9"/>
            <color indexed="81"/>
            <rFont val="Tahoma"/>
            <family val="2"/>
          </rPr>
          <t xml:space="preserve">
</t>
        </r>
        <r>
          <rPr>
            <b/>
            <sz val="9"/>
            <color indexed="81"/>
            <rFont val="Tahoma"/>
            <family val="2"/>
          </rPr>
          <t xml:space="preserve">Budget
</t>
        </r>
        <r>
          <rPr>
            <sz val="9"/>
            <color indexed="81"/>
            <rFont val="Tahoma"/>
            <family val="2"/>
          </rPr>
          <t>Shows the monthly budget specified for the category in the table Budgets if a budget is available. Otherwise, just repeats the 6M Average.</t>
        </r>
      </text>
    </comment>
    <comment ref="H1" authorId="0" shapeId="0" xr:uid="{FDFE154D-99F9-4C1B-B9A1-E1DF9F699B79}">
      <text>
        <r>
          <rPr>
            <b/>
            <sz val="9"/>
            <color indexed="81"/>
            <rFont val="Tahoma"/>
            <family val="2"/>
          </rPr>
          <t>ExMint Help:</t>
        </r>
        <r>
          <rPr>
            <sz val="9"/>
            <color indexed="81"/>
            <rFont val="Tahoma"/>
            <family val="2"/>
          </rPr>
          <t xml:space="preserve">
</t>
        </r>
        <r>
          <rPr>
            <b/>
            <sz val="9"/>
            <color indexed="81"/>
            <rFont val="Tahoma"/>
            <family val="2"/>
          </rPr>
          <t xml:space="preserve">Remainder
</t>
        </r>
        <r>
          <rPr>
            <sz val="9"/>
            <color indexed="81"/>
            <rFont val="Tahoma"/>
            <family val="2"/>
          </rPr>
          <t>Calculates the reminder (or overage) of the category budget for the selected month. Overages are presented with negative values.</t>
        </r>
      </text>
    </comment>
    <comment ref="J1" authorId="0" shapeId="0" xr:uid="{F06F4B49-F9A3-454E-BBE2-B5742DC39D8F}">
      <text>
        <r>
          <rPr>
            <b/>
            <sz val="9"/>
            <color indexed="81"/>
            <rFont val="Tahoma"/>
            <family val="2"/>
          </rPr>
          <t>ExMint Help:</t>
        </r>
        <r>
          <rPr>
            <sz val="9"/>
            <color indexed="81"/>
            <rFont val="Tahoma"/>
            <family val="2"/>
          </rPr>
          <t xml:space="preserve">
Budgets lets you define allowances for specific spending or income categories. Then you can check on the Spending Report how much of each budget you have left or in excess.
</t>
        </r>
      </text>
    </comment>
    <comment ref="O1" authorId="0" shapeId="0" xr:uid="{67C1EF0F-6427-4365-9A3F-B2D850C2F6D4}">
      <text>
        <r>
          <rPr>
            <b/>
            <sz val="9"/>
            <color indexed="81"/>
            <rFont val="Tahoma"/>
            <family val="2"/>
          </rPr>
          <t>ExMint Help:</t>
        </r>
        <r>
          <rPr>
            <sz val="9"/>
            <color indexed="81"/>
            <rFont val="Tahoma"/>
            <family val="2"/>
          </rPr>
          <t xml:space="preserve">
This table assists in the definition and mapping of custom Categories. Each line is a rule that will automatically assign a custom category to a group of transactions. Rules apply to previously synced as well as to future synced transactions.</t>
        </r>
      </text>
    </comment>
    <comment ref="D2" authorId="0" shapeId="0" xr:uid="{0D947CFC-1039-4D71-9896-F5DE47A3BFC1}">
      <text>
        <r>
          <rPr>
            <b/>
            <sz val="9"/>
            <color indexed="81"/>
            <rFont val="Tahoma"/>
            <family val="2"/>
          </rPr>
          <t xml:space="preserve">ExMint Help:
</t>
        </r>
        <r>
          <rPr>
            <sz val="9"/>
            <color indexed="81"/>
            <rFont val="Tahoma"/>
            <family val="2"/>
          </rPr>
          <t xml:space="preserve">Categories of spending / income, synced or from the Custom Categories table. Expand Years and Months to see active categories.  </t>
        </r>
      </text>
    </comment>
    <comment ref="J2" authorId="0" shapeId="0" xr:uid="{E65B84AB-F6EE-4479-BCD0-DAF0BC32BFC9}">
      <text>
        <r>
          <rPr>
            <b/>
            <sz val="9"/>
            <color indexed="81"/>
            <rFont val="Tahoma"/>
            <family val="2"/>
          </rPr>
          <t>ExMint Help:</t>
        </r>
        <r>
          <rPr>
            <sz val="9"/>
            <color indexed="81"/>
            <rFont val="Tahoma"/>
            <family val="2"/>
          </rPr>
          <t xml:space="preserve">
Enter here the name of a category to which the budget will be assigned. Must match one of the categories in the Spending report.</t>
        </r>
      </text>
    </comment>
    <comment ref="K2" authorId="0" shapeId="0" xr:uid="{4E759761-C6D3-49ED-9043-E3B9FD29FF5A}">
      <text>
        <r>
          <rPr>
            <b/>
            <sz val="9"/>
            <color indexed="81"/>
            <rFont val="Tahoma"/>
            <family val="2"/>
          </rPr>
          <t>ExMint Help:</t>
        </r>
        <r>
          <rPr>
            <b/>
            <sz val="9"/>
            <color indexed="81"/>
            <rFont val="Tahoma"/>
            <family val="2"/>
          </rPr>
          <t xml:space="preserve">
</t>
        </r>
        <r>
          <rPr>
            <sz val="9"/>
            <color indexed="81"/>
            <rFont val="Tahoma"/>
            <family val="2"/>
          </rPr>
          <t xml:space="preserve">Select the period after which the budget will reset. You can assign a Weekly, Biweekly, Monthly, Quarterly, Biannual or Yearly budget. Exmint will calculate the montly allowance based on this field. </t>
        </r>
      </text>
    </comment>
    <comment ref="L2" authorId="0" shapeId="0" xr:uid="{19753082-C9E8-4508-AC25-7CE6158DF8C2}">
      <text>
        <r>
          <rPr>
            <b/>
            <sz val="9"/>
            <color indexed="81"/>
            <rFont val="Tahoma"/>
            <family val="2"/>
          </rPr>
          <t>ExMint Help:</t>
        </r>
        <r>
          <rPr>
            <sz val="9"/>
            <color indexed="81"/>
            <rFont val="Tahoma"/>
            <family val="2"/>
          </rPr>
          <t xml:space="preserve">
</t>
        </r>
        <r>
          <rPr>
            <sz val="9"/>
            <color indexed="81"/>
            <rFont val="Tahoma"/>
            <family val="2"/>
          </rPr>
          <t>Enter here the amount that you want to set aside for this budget on every perdiod defined in the previous column.</t>
        </r>
      </text>
    </comment>
    <comment ref="M2" authorId="0" shapeId="0" xr:uid="{94456061-0471-4AE8-B3A7-5FA5BDE0F883}">
      <text>
        <r>
          <rPr>
            <b/>
            <sz val="9"/>
            <color indexed="81"/>
            <rFont val="Tahoma"/>
            <family val="2"/>
          </rPr>
          <t>ExMint Help:</t>
        </r>
        <r>
          <rPr>
            <b/>
            <sz val="9"/>
            <color indexed="81"/>
            <rFont val="Tahoma"/>
            <family val="2"/>
          </rPr>
          <t xml:space="preserve">
</t>
        </r>
        <r>
          <rPr>
            <sz val="9"/>
            <color indexed="81"/>
            <rFont val="Tahoma"/>
            <family val="2"/>
          </rPr>
          <t>This is a formula column that gets automatically filled with the monthly allowance corresponding to the frequency and amount columns. YOU CAN HIDE THIS COLUMN</t>
        </r>
      </text>
    </comment>
    <comment ref="O2" authorId="0" shapeId="0" xr:uid="{BA19B81D-0A84-4D68-B01E-5156C85ECF23}">
      <text>
        <r>
          <rPr>
            <b/>
            <sz val="9"/>
            <color indexed="81"/>
            <rFont val="Tahoma"/>
            <family val="2"/>
          </rPr>
          <t>ExMint Help:</t>
        </r>
        <r>
          <rPr>
            <sz val="9"/>
            <color indexed="81"/>
            <rFont val="Tahoma"/>
            <family val="2"/>
          </rPr>
          <t xml:space="preserve">
The text entered in this column will be matched agains the column 'Name' in the Transactions table. Transactions that contain this text (case insensitive) in the 'Name' column will be positive matches.</t>
        </r>
      </text>
    </comment>
    <comment ref="P2" authorId="0" shapeId="0" xr:uid="{47E65EC2-62B3-4D1B-B9B5-6F6A80A9298C}">
      <text>
        <r>
          <rPr>
            <b/>
            <sz val="9"/>
            <color indexed="81"/>
            <rFont val="Tahoma"/>
            <family val="2"/>
          </rPr>
          <t>ExMint Help:</t>
        </r>
        <r>
          <rPr>
            <sz val="9"/>
            <color indexed="81"/>
            <rFont val="Tahoma"/>
            <family val="2"/>
          </rPr>
          <t xml:space="preserve">
The text entered in this column will be matched agains the column 'Categories' in the Transactions table. Transactions that contain this text (case insensitive) in the 'Categories' column will be positive matches. If you enter text in both 'Name' and 'Category' then only transactions where those strings are found in BOTH 'Name' AND 'Categories' will be positive matches.</t>
        </r>
      </text>
    </comment>
    <comment ref="Q2" authorId="0" shapeId="0" xr:uid="{ECA28201-08F2-4406-A658-DA26A44BF263}">
      <text>
        <r>
          <rPr>
            <b/>
            <sz val="9"/>
            <color indexed="81"/>
            <rFont val="Tahoma"/>
            <family val="2"/>
          </rPr>
          <t>ExMint Help:</t>
        </r>
        <r>
          <rPr>
            <sz val="9"/>
            <color indexed="81"/>
            <rFont val="Tahoma"/>
            <family val="2"/>
          </rPr>
          <t xml:space="preserve">
If a numeric value is present in this column, then only transactions with 'Amount' value GREATER than or equal to this value will be positive matches.</t>
        </r>
      </text>
    </comment>
    <comment ref="R2" authorId="0" shapeId="0" xr:uid="{FBFD4F1C-CCDB-4B64-99B1-AA83E9BA4D7C}">
      <text>
        <r>
          <rPr>
            <b/>
            <sz val="9"/>
            <color indexed="81"/>
            <rFont val="Tahoma"/>
            <family val="2"/>
          </rPr>
          <t xml:space="preserve">ExMint Help:
</t>
        </r>
        <r>
          <rPr>
            <sz val="9"/>
            <color indexed="81"/>
            <rFont val="Tahoma"/>
            <family val="2"/>
          </rPr>
          <t>If a numeric value is present in this column, then only transactions with 'Amount' value SMALLER than or equal to this value will be positive matches.</t>
        </r>
      </text>
    </comment>
    <comment ref="S2" authorId="0" shapeId="0" xr:uid="{4AEABB03-E884-4BCE-9FD4-287015AC928A}">
      <text>
        <r>
          <rPr>
            <b/>
            <sz val="9"/>
            <color indexed="81"/>
            <rFont val="Tahoma"/>
            <family val="2"/>
          </rPr>
          <t>ExMint Help:</t>
        </r>
        <r>
          <rPr>
            <sz val="9"/>
            <color indexed="81"/>
            <rFont val="Tahoma"/>
            <family val="2"/>
          </rPr>
          <t xml:space="preserve">
The text in this column will be used as the 'Custom Category' value for line items in the table 'Transactions' that are positive matches to the rule in this table's line item.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Manuel R Avila</author>
  </authors>
  <commentList>
    <comment ref="A1" authorId="0" shapeId="0" xr:uid="{36A5364F-BAAE-4E1D-B7B7-CE73A7205761}">
      <text>
        <r>
          <rPr>
            <b/>
            <sz val="9"/>
            <color indexed="81"/>
            <rFont val="Tahoma"/>
            <family val="2"/>
          </rPr>
          <t>ExMint Help:</t>
        </r>
        <r>
          <rPr>
            <sz val="9"/>
            <color indexed="81"/>
            <rFont val="Tahoma"/>
            <family val="2"/>
          </rPr>
          <t xml:space="preserve">
The Accounts table contains the accounts synced from the ExMint back-en through Plaid. DO NOT DELETE THIS TABLE or ExMint will be unable to sync transactions.
</t>
        </r>
        <r>
          <rPr>
            <b/>
            <sz val="9"/>
            <color indexed="81"/>
            <rFont val="Tahoma"/>
            <family val="2"/>
          </rPr>
          <t>Insitution Name:</t>
        </r>
        <r>
          <rPr>
            <sz val="9"/>
            <color indexed="81"/>
            <rFont val="Tahoma"/>
            <family val="2"/>
          </rPr>
          <t xml:space="preserve">
Bank of financial institution where the account is held.</t>
        </r>
      </text>
    </comment>
    <comment ref="B1" authorId="0" shapeId="0" xr:uid="{3A5EA0F1-1366-43FA-A8DA-C3C218187495}">
      <text>
        <r>
          <rPr>
            <b/>
            <sz val="9"/>
            <color indexed="81"/>
            <rFont val="Tahoma"/>
            <family val="2"/>
          </rPr>
          <t>ExMint Help:</t>
        </r>
        <r>
          <rPr>
            <sz val="9"/>
            <color indexed="81"/>
            <rFont val="Tahoma"/>
            <family val="2"/>
          </rPr>
          <t xml:space="preserve">
Internal number used by ExMint to determine the Plaid connection token used for each account.</t>
        </r>
      </text>
    </comment>
    <comment ref="C1" authorId="0" shapeId="0" xr:uid="{AD258D1F-1A8A-41D3-A2FF-CFC0DF103FAE}">
      <text>
        <r>
          <rPr>
            <b/>
            <sz val="9"/>
            <color indexed="81"/>
            <rFont val="Tahoma"/>
            <family val="2"/>
          </rPr>
          <t>ExMint Help:</t>
        </r>
        <r>
          <rPr>
            <sz val="9"/>
            <color indexed="81"/>
            <rFont val="Tahoma"/>
            <family val="2"/>
          </rPr>
          <t xml:space="preserve">
Values used by ExMint to identify the last successful transactions sync process.</t>
        </r>
      </text>
    </comment>
    <comment ref="D1" authorId="0" shapeId="0" xr:uid="{A75913E6-23A1-4783-A9A7-329FE8834184}">
      <text>
        <r>
          <rPr>
            <b/>
            <sz val="9"/>
            <color indexed="81"/>
            <rFont val="Tahoma"/>
            <family val="2"/>
          </rPr>
          <t>ExMint Help:</t>
        </r>
        <r>
          <rPr>
            <sz val="9"/>
            <color indexed="81"/>
            <rFont val="Tahoma"/>
            <family val="2"/>
          </rPr>
          <t xml:space="preserve">
Most recent account balance updated by Plaid. This is NOT a realtime balance, so it may not be accurate at the time of synchronization.</t>
        </r>
      </text>
    </comment>
    <comment ref="E1" authorId="0" shapeId="0" xr:uid="{F1B9F0C1-8ECC-4D9C-899E-57BC30DBC09F}">
      <text>
        <r>
          <rPr>
            <b/>
            <sz val="9"/>
            <color indexed="81"/>
            <rFont val="Tahoma"/>
            <family val="2"/>
          </rPr>
          <t>ExMint Help:</t>
        </r>
        <r>
          <rPr>
            <sz val="9"/>
            <color indexed="81"/>
            <rFont val="Tahoma"/>
            <family val="2"/>
          </rPr>
          <t xml:space="preserve">
Last 4 digits of the account number as reported by the Financial Institution.</t>
        </r>
      </text>
    </comment>
    <comment ref="F1" authorId="0" shapeId="0" xr:uid="{E1141C75-8131-47D9-A30C-A16447E92340}">
      <text>
        <r>
          <rPr>
            <b/>
            <sz val="9"/>
            <color indexed="81"/>
            <rFont val="Tahoma"/>
            <family val="2"/>
          </rPr>
          <t>ExMint Help:</t>
        </r>
        <r>
          <rPr>
            <sz val="9"/>
            <color indexed="81"/>
            <rFont val="Tahoma"/>
            <family val="2"/>
          </rPr>
          <t xml:space="preserve">
Name of the account as reported by Plaid from the financial institution.</t>
        </r>
      </text>
    </comment>
    <comment ref="G1" authorId="0" shapeId="0" xr:uid="{D0002EDC-7D91-4BC7-BB08-2F7169518758}">
      <text>
        <r>
          <rPr>
            <b/>
            <sz val="9"/>
            <color indexed="81"/>
            <rFont val="Tahoma"/>
            <family val="2"/>
          </rPr>
          <t>ExMint Help:</t>
        </r>
        <r>
          <rPr>
            <sz val="9"/>
            <color indexed="81"/>
            <rFont val="Tahoma"/>
            <family val="2"/>
          </rPr>
          <t xml:space="preserve">
Internal identifier of the account used by Plaid and ExMint.</t>
        </r>
      </text>
    </comment>
    <comment ref="H1" authorId="0" shapeId="0" xr:uid="{D9229657-F83A-4703-B331-ECE0F503821F}">
      <text>
        <r>
          <rPr>
            <b/>
            <sz val="9"/>
            <color indexed="81"/>
            <rFont val="Tahoma"/>
            <family val="2"/>
          </rPr>
          <t>ExMint Help:</t>
        </r>
        <r>
          <rPr>
            <sz val="9"/>
            <color indexed="81"/>
            <rFont val="Tahoma"/>
            <family val="2"/>
          </rPr>
          <t xml:space="preserve">
Subtype of account as reported by Plaid. </t>
        </r>
      </text>
    </comment>
    <comment ref="I1" authorId="0" shapeId="0" xr:uid="{2CD5707C-2F0B-47CB-826B-447DF58E6CF5}">
      <text>
        <r>
          <rPr>
            <b/>
            <sz val="9"/>
            <color indexed="81"/>
            <rFont val="Tahoma"/>
            <family val="2"/>
          </rPr>
          <t xml:space="preserve">ExMint Help:
</t>
        </r>
        <r>
          <rPr>
            <sz val="9"/>
            <color indexed="81"/>
            <rFont val="Tahoma"/>
            <family val="2"/>
          </rPr>
          <t xml:space="preserve">Type of account as reported by Plaid.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ExMint Help</author>
  </authors>
  <commentList>
    <comment ref="A1" authorId="0" shapeId="0" xr:uid="{E433261D-9DE4-4ED7-ACF6-D5802784491C}">
      <text>
        <r>
          <rPr>
            <b/>
            <sz val="9"/>
            <color indexed="81"/>
            <rFont val="Tahoma"/>
            <family val="2"/>
          </rPr>
          <t>ExMint Help:</t>
        </r>
        <r>
          <rPr>
            <sz val="9"/>
            <color indexed="81"/>
            <rFont val="Tahoma"/>
            <family val="2"/>
          </rPr>
          <t xml:space="preserve">
Account id used by ExMint to connect this table with the Accounts table.</t>
        </r>
      </text>
    </comment>
    <comment ref="B1" authorId="0" shapeId="0" xr:uid="{2989F883-789E-4EBF-A615-CA1D70FB8D13}">
      <text>
        <r>
          <rPr>
            <b/>
            <sz val="9"/>
            <color indexed="81"/>
            <rFont val="Tahoma"/>
            <family val="2"/>
          </rPr>
          <t>ExMint Help:</t>
        </r>
        <r>
          <rPr>
            <sz val="9"/>
            <color indexed="81"/>
            <rFont val="Tahoma"/>
            <family val="2"/>
          </rPr>
          <t xml:space="preserve">
Most recent action taken by ExMint on the record. You can safely delete the lines flagged as "removed"</t>
        </r>
      </text>
    </comment>
    <comment ref="C1" authorId="0" shapeId="0" xr:uid="{E66E1CBB-F8C9-43FE-971C-3C48762BB44F}">
      <text>
        <r>
          <rPr>
            <b/>
            <sz val="9"/>
            <color indexed="81"/>
            <rFont val="Tahoma"/>
            <family val="2"/>
          </rPr>
          <t>ExMint Help:</t>
        </r>
        <r>
          <rPr>
            <sz val="9"/>
            <color indexed="81"/>
            <rFont val="Tahoma"/>
            <family val="2"/>
          </rPr>
          <t xml:space="preserve">
Transaction amount. Negative for debit/loan/spend operations and positive for credit/income transactions.</t>
        </r>
      </text>
    </comment>
    <comment ref="D1" authorId="0" shapeId="0" xr:uid="{A82AA7F2-A400-410E-B3C9-AC718D46DBB5}">
      <text>
        <r>
          <rPr>
            <b/>
            <sz val="9"/>
            <color indexed="81"/>
            <rFont val="Tahoma"/>
            <family val="2"/>
          </rPr>
          <t>ExMint Help:</t>
        </r>
        <r>
          <rPr>
            <sz val="9"/>
            <color indexed="81"/>
            <rFont val="Tahoma"/>
            <family val="2"/>
          </rPr>
          <t xml:space="preserve">
This is an AUTOMATIC categorization that PLAID applies to every transaction based on the merchant. You can edit this value to assign a custom category to a specific transaction instead of using the Custom Category table. </t>
        </r>
        <r>
          <rPr>
            <b/>
            <sz val="9"/>
            <color indexed="81"/>
            <rFont val="Tahoma"/>
            <family val="2"/>
          </rPr>
          <t>NOTE 1:</t>
        </r>
        <r>
          <rPr>
            <sz val="9"/>
            <color indexed="81"/>
            <rFont val="Tahoma"/>
            <family val="2"/>
          </rPr>
          <t xml:space="preserve"> Custom Category rules will still be applied to edited values in this column.
</t>
        </r>
        <r>
          <rPr>
            <b/>
            <sz val="9"/>
            <color indexed="81"/>
            <rFont val="Tahoma"/>
            <family val="2"/>
          </rPr>
          <t>NOTE 2:</t>
        </r>
        <r>
          <rPr>
            <sz val="9"/>
            <color indexed="81"/>
            <rFont val="Tahoma"/>
            <family val="2"/>
          </rPr>
          <t xml:space="preserve"> If the transaction is not settled, i.e., Pending column = TRUE then the entire row will be rewritten in a future sync when the transaction is settled.</t>
        </r>
      </text>
    </comment>
    <comment ref="E1" authorId="0" shapeId="0" xr:uid="{4E9689E7-F7B2-4BB1-84C3-592E1FD32C95}">
      <text>
        <r>
          <rPr>
            <b/>
            <sz val="9"/>
            <color indexed="81"/>
            <rFont val="Tahoma"/>
            <family val="2"/>
          </rPr>
          <t>ExMint Help:</t>
        </r>
        <r>
          <rPr>
            <sz val="9"/>
            <color indexed="81"/>
            <rFont val="Tahoma"/>
            <family val="2"/>
          </rPr>
          <t xml:space="preserve">
Date and time when the transaction was recorded</t>
        </r>
      </text>
    </comment>
    <comment ref="F1" authorId="0" shapeId="0" xr:uid="{645DB063-F227-4836-8C45-1113FEA42269}">
      <text>
        <r>
          <rPr>
            <b/>
            <sz val="9"/>
            <color indexed="81"/>
            <rFont val="Tahoma"/>
            <family val="2"/>
          </rPr>
          <t>ExMint Help:</t>
        </r>
        <r>
          <rPr>
            <sz val="9"/>
            <color indexed="81"/>
            <rFont val="Tahoma"/>
            <family val="2"/>
          </rPr>
          <t xml:space="preserve">
Currency the transaction was settled in.</t>
        </r>
      </text>
    </comment>
    <comment ref="G1" authorId="0" shapeId="0" xr:uid="{6B111AE1-5231-4C13-9424-A184473ABC8E}">
      <text>
        <r>
          <rPr>
            <b/>
            <sz val="9"/>
            <color indexed="81"/>
            <rFont val="Tahoma"/>
            <family val="2"/>
          </rPr>
          <t>ExMint Help:</t>
        </r>
        <r>
          <rPr>
            <sz val="9"/>
            <color indexed="81"/>
            <rFont val="Tahoma"/>
            <family val="2"/>
          </rPr>
          <t xml:space="preserve">
Name or identification of the merchant who received the payment.
</t>
        </r>
        <r>
          <rPr>
            <b/>
            <sz val="9"/>
            <color indexed="81"/>
            <rFont val="Tahoma"/>
            <family val="2"/>
          </rPr>
          <t xml:space="preserve">NOTE: </t>
        </r>
        <r>
          <rPr>
            <sz val="9"/>
            <color indexed="81"/>
            <rFont val="Tahoma"/>
            <family val="2"/>
          </rPr>
          <t>This value is NOT always present.</t>
        </r>
      </text>
    </comment>
    <comment ref="H1" authorId="0" shapeId="0" xr:uid="{169703C4-C904-40FB-967F-3293C17F50C9}">
      <text>
        <r>
          <rPr>
            <b/>
            <sz val="9"/>
            <color indexed="81"/>
            <rFont val="Tahoma"/>
            <family val="2"/>
          </rPr>
          <t>ExMint Help:</t>
        </r>
        <r>
          <rPr>
            <sz val="9"/>
            <color indexed="81"/>
            <rFont val="Tahoma"/>
            <family val="2"/>
          </rPr>
          <t xml:space="preserve">
Description of the transaction as recorded by the merchant and reported by the financial institution to Plaid.</t>
        </r>
      </text>
    </comment>
    <comment ref="I1" authorId="0" shapeId="0" xr:uid="{5387AC73-40D5-4019-AC9B-A7D6C9687A4E}">
      <text>
        <r>
          <rPr>
            <b/>
            <sz val="9"/>
            <color indexed="81"/>
            <rFont val="Tahoma"/>
            <family val="2"/>
          </rPr>
          <t>ExMint Help:</t>
        </r>
        <r>
          <rPr>
            <sz val="9"/>
            <color indexed="81"/>
            <rFont val="Tahoma"/>
            <family val="2"/>
          </rPr>
          <t xml:space="preserve">
Identifies whether the transaction was made online, on a store or at an unidentified location (other).</t>
        </r>
      </text>
    </comment>
    <comment ref="J1" authorId="0" shapeId="0" xr:uid="{A64F3976-41E9-49B4-9928-3397A642A4C2}">
      <text>
        <r>
          <rPr>
            <b/>
            <sz val="9"/>
            <color indexed="81"/>
            <rFont val="Tahoma"/>
            <family val="2"/>
          </rPr>
          <t>ExMint Help:</t>
        </r>
        <r>
          <rPr>
            <sz val="9"/>
            <color indexed="81"/>
            <rFont val="Tahoma"/>
            <family val="2"/>
          </rPr>
          <t xml:space="preserve">
This column is TRUE when the transaction is still not settled, which means that the transaction may be adjusted, cancelled or confirmed at a future sync.</t>
        </r>
      </text>
    </comment>
    <comment ref="K1" authorId="0" shapeId="0" xr:uid="{961C7F55-9FBF-4B89-954D-EEE518FEEC2C}">
      <text>
        <r>
          <rPr>
            <b/>
            <sz val="9"/>
            <color indexed="81"/>
            <rFont val="Tahoma"/>
            <family val="2"/>
          </rPr>
          <t>ExMint Help:</t>
        </r>
        <r>
          <rPr>
            <sz val="9"/>
            <color indexed="81"/>
            <rFont val="Tahoma"/>
            <family val="2"/>
          </rPr>
          <t xml:space="preserve">
Internal unique identifier used by PLAID and ExMint for every transaction.</t>
        </r>
      </text>
    </comment>
    <comment ref="L1" authorId="0" shapeId="0" xr:uid="{65DD2808-24BC-4760-987A-7D83264A7E68}">
      <text>
        <r>
          <rPr>
            <b/>
            <sz val="9"/>
            <color indexed="81"/>
            <rFont val="Tahoma"/>
            <family val="2"/>
          </rPr>
          <t>ExMint Help:</t>
        </r>
        <r>
          <rPr>
            <sz val="9"/>
            <color indexed="81"/>
            <rFont val="Tahoma"/>
            <family val="2"/>
          </rPr>
          <t xml:space="preserve">
The FORMULA in this column retrieves the name of the account that holds the transaction.</t>
        </r>
      </text>
    </comment>
    <comment ref="M1" authorId="0" shapeId="0" xr:uid="{303E70D8-D69A-43A8-9D4C-1213D0A5FF70}">
      <text>
        <r>
          <rPr>
            <b/>
            <sz val="9"/>
            <color indexed="81"/>
            <rFont val="Tahoma"/>
            <family val="2"/>
          </rPr>
          <t>ExMint Help:</t>
        </r>
        <r>
          <rPr>
            <sz val="9"/>
            <color indexed="81"/>
            <rFont val="Tahoma"/>
            <family val="2"/>
          </rPr>
          <t xml:space="preserve">
The FORMULA in this column retrieves the name of the Financial Institution that holds the account and the transaction.</t>
        </r>
      </text>
    </comment>
    <comment ref="N1" authorId="0" shapeId="0" xr:uid="{EC4875F3-FF4D-4A34-AF03-961BE15F74D6}">
      <text>
        <r>
          <rPr>
            <b/>
            <sz val="9"/>
            <color indexed="81"/>
            <rFont val="Tahoma"/>
            <family val="2"/>
          </rPr>
          <t>ExMint Help:</t>
        </r>
        <r>
          <rPr>
            <sz val="9"/>
            <color indexed="81"/>
            <rFont val="Tahoma"/>
            <family val="2"/>
          </rPr>
          <t xml:space="preserve">
The complex FORMULA in this column determines the transaction's custom category from the rules in the Custom Category table in the Dashboard. If no rule is a positive match for a transaction, then this column will show the same text from the column 'Categories'.</t>
        </r>
      </text>
    </comment>
    <comment ref="O1" authorId="0" shapeId="0" xr:uid="{EDB6942C-AFF0-46B6-A75A-E5E39582F029}">
      <text>
        <r>
          <rPr>
            <b/>
            <sz val="9"/>
            <color indexed="81"/>
            <rFont val="Tahoma"/>
            <family val="2"/>
          </rPr>
          <t>ExMint Help:</t>
        </r>
        <r>
          <rPr>
            <sz val="9"/>
            <color indexed="81"/>
            <rFont val="Tahoma"/>
            <family val="2"/>
          </rPr>
          <t xml:space="preserve">
This FORMULA calculates the month from the 'Datetime' column. Used in other calculations and filters.</t>
        </r>
      </text>
    </comment>
    <comment ref="P1" authorId="0" shapeId="0" xr:uid="{C7EF7CC9-5B6F-48A8-9C7B-F42466B10BF6}">
      <text>
        <r>
          <rPr>
            <b/>
            <sz val="9"/>
            <color indexed="81"/>
            <rFont val="Tahoma"/>
            <family val="2"/>
          </rPr>
          <t>ExMint Help:</t>
        </r>
        <r>
          <rPr>
            <sz val="9"/>
            <color indexed="81"/>
            <rFont val="Tahoma"/>
            <family val="2"/>
          </rPr>
          <t xml:space="preserve">
This FORMULA calculates the average spending/income for the transaction's category over the trailing 6 months prior to the transaction's month.</t>
        </r>
      </text>
    </comment>
    <comment ref="Q1" authorId="0" shapeId="0" xr:uid="{EFF76DC8-AFF5-4132-87A0-7ABD8CB43D9C}">
      <text>
        <r>
          <rPr>
            <b/>
            <sz val="9"/>
            <color indexed="81"/>
            <rFont val="Tahoma"/>
            <family val="2"/>
          </rPr>
          <t>ExMint Help:</t>
        </r>
        <r>
          <rPr>
            <sz val="9"/>
            <color indexed="81"/>
            <rFont val="Tahoma"/>
            <family val="2"/>
          </rPr>
          <t xml:space="preserve">
This FORMULA calculates the current month's running total spending/income for the Custom Category associated with the transaction. </t>
        </r>
      </text>
    </comment>
    <comment ref="R1" authorId="0" shapeId="0" xr:uid="{73DCED23-FA3B-4DC8-940F-EBD78825D3DE}">
      <text>
        <r>
          <rPr>
            <b/>
            <sz val="9"/>
            <color indexed="81"/>
            <rFont val="Tahoma"/>
            <family val="2"/>
          </rPr>
          <t>ExMint Help:</t>
        </r>
        <r>
          <rPr>
            <sz val="9"/>
            <color indexed="81"/>
            <rFont val="Tahoma"/>
            <family val="2"/>
          </rPr>
          <t xml:space="preserve">
The FORMULA in this column retrieves the budget created for the transaction's Custom Category using the Budget table in the Dashboard. If no budget has been created for the category, this column uses the value from the 6M Average column.</t>
        </r>
      </text>
    </comment>
    <comment ref="S1" authorId="0" shapeId="0" xr:uid="{D710366E-C2A9-44C2-810F-A657F0B9BA4E}">
      <text>
        <r>
          <rPr>
            <b/>
            <sz val="9"/>
            <color indexed="81"/>
            <rFont val="Tahoma"/>
            <family val="2"/>
          </rPr>
          <t>ExMint Help:</t>
        </r>
        <r>
          <rPr>
            <sz val="9"/>
            <color indexed="81"/>
            <rFont val="Tahoma"/>
            <family val="2"/>
          </rPr>
          <t xml:space="preserve">
This FORMULA calulates the remainder of the Custom Category's assigned budget when substracting the monthly spending for that category in the month the transaction happened.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ExMint Help</author>
  </authors>
  <commentList>
    <comment ref="A1" authorId="0" shapeId="0" xr:uid="{E64E9D8C-0218-4953-9E01-97428E360600}">
      <text>
        <r>
          <rPr>
            <b/>
            <sz val="9"/>
            <color indexed="81"/>
            <rFont val="Tahoma"/>
            <family val="2"/>
          </rPr>
          <t>ExMint Help:</t>
        </r>
        <r>
          <rPr>
            <sz val="9"/>
            <color indexed="81"/>
            <rFont val="Tahoma"/>
            <family val="2"/>
          </rPr>
          <t xml:space="preserve">
This auxiliary table is used to determine the monthly alllowance for a budget no matter what frequency the user selects.</t>
        </r>
      </text>
    </comment>
  </commentList>
</comment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<sst xmlns="http://schemas.openxmlformats.org/spreadsheetml/2006/main" count="64" uniqueCount="49">
  <si>
    <t>Balances</t>
  </si>
  <si>
    <t>Spending Report</t>
  </si>
  <si>
    <t>Month</t>
  </si>
  <si>
    <t>Budgets</t>
  </si>
  <si>
    <t>Custom Categories</t>
  </si>
  <si>
    <t>Row Labels</t>
  </si>
  <si>
    <t>Balance</t>
  </si>
  <si>
    <t>6M Average</t>
  </si>
  <si>
    <t>Budget</t>
  </si>
  <si>
    <t>Custom Category</t>
  </si>
  <si>
    <t>Frequency</t>
  </si>
  <si>
    <t>Amount</t>
  </si>
  <si>
    <t>Monthly</t>
  </si>
  <si>
    <t>Name</t>
  </si>
  <si>
    <t>Grand Total</t>
  </si>
  <si>
    <t>Institution Name</t>
  </si>
  <si>
    <t>Credential ID</t>
  </si>
  <si>
    <t>Next Cursor</t>
  </si>
  <si>
    <t>Mask</t>
  </si>
  <si>
    <t>Plaid Account ID</t>
  </si>
  <si>
    <t>Subtype</t>
  </si>
  <si>
    <t>Type</t>
  </si>
  <si>
    <t>Account ID</t>
  </si>
  <si>
    <t>Action</t>
  </si>
  <si>
    <t>Categories</t>
  </si>
  <si>
    <t>Datetime</t>
  </si>
  <si>
    <t>ISO Currency Code</t>
  </si>
  <si>
    <t>Merchant Name</t>
  </si>
  <si>
    <t>Payment Channel</t>
  </si>
  <si>
    <t>Pending</t>
  </si>
  <si>
    <t>Transaction ID</t>
  </si>
  <si>
    <t>Account Name</t>
  </si>
  <si>
    <t>Bank</t>
  </si>
  <si>
    <t>6M AVG</t>
  </si>
  <si>
    <t>Month's Total</t>
  </si>
  <si>
    <t>Factor</t>
  </si>
  <si>
    <t>Category</t>
  </si>
  <si>
    <t>Amount &gt;=</t>
  </si>
  <si>
    <t>Amount &lt;=</t>
  </si>
  <si>
    <t>Daily</t>
  </si>
  <si>
    <t>Weekly</t>
  </si>
  <si>
    <t>Bi-Weekly</t>
  </si>
  <si>
    <t>Quartery</t>
  </si>
  <si>
    <t>Bi-Yearly</t>
  </si>
  <si>
    <t>Yearly</t>
  </si>
  <si>
    <t>Remainder</t>
  </si>
  <si>
    <t xml:space="preserve">Remainder </t>
  </si>
  <si>
    <t>Subtotal</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</si>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</sst>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
    <numFmt numFmtId="165" formatCode="&quot;$&quot;#,##0.00"/>
  </numFmts>
  <fonts count="5" x14ac:knownFonts="1">
    <font>
      <sz val="11"/>
      <color theme="1"/>
      <name val="Aptos Narrow"/>
      <family val="2"/>
      <scheme val="minor"/>
    </font>
    <font>
      <b/>
      <sz val="16"/>
      <color rgb="FF000000"/>
      <name val="Aptos Narrow"/>
      <family val="2"/>
      <scheme val="minor"/>
    </font>
    <font>
      <b/>
      <sz val="11"/>
      <color rgb="FFFFFFFF"/>
      <name val="Aptos Narrow"/>
      <family val="2"/>
      <scheme val="minor"/>
    </font>
    <font>
      <sz val="9"/>
      <color indexed="81"/>
      <name val="Tahoma"/>
      <family val="2"/>
    </font>
    <font>
      <b/>
      <sz val="9"/>
      <color indexed="81"/>
      <name val="Tahoma"/>
      <family val="2"/>
    </font>
  </fonts>
  <fills count="3">
    <fill>
      <patternFill patternType="none"/>
    </fill>
    <fill>
      <patternFill patternType="gray125"/>
    </fill>
    <fill>
      <patternFill patternType="solid">
        <fgColor rgb="FFFFFFFF"/>
        <bgColor indexed="64"/>
      </patternFill>
    </fill>
  </fills>
  <borders count="1">
    <border>
      <left/>
      <right/>
      <top/>
      <bottom/>
      <diagonal/>
    </border>
  </borders>
  <cellStyleXfs count="1">
    <xf numFmtId="0" fontId="0" fillId="0" borderId="0"/>
  </cellStyleXfs>
  <cellXfs count="13">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0" fillId="0" borderId="0" xfId="0" applyAlignment="1">
      <alignment horizontal="left" indent="2"/>
    </xf>
    <xf numFmtId="165" fontId="0" fillId="0" borderId="0" xfId="0" applyNumberFormat="1"/>
    <xf numFmtId="0" fontId="1" fillId="2" borderId="0" xfId="0" applyFont="1" applyFill="1"/>
    <xf numFmtId="0" fontId="2" fillId="0" borderId="0" xfId="0" applyFont="1"/>
    <xf numFmtId="0" fontId="1" fillId="0" borderId="0" xfId="0" applyFont="1"/>
    <xf numFmtId="0" fontId="0" fillId="0" borderId="0" xfId="0" applyNumberFormat="1"/>
    <xf numFmtId="0" fontId="0" fillId="0" borderId="0" xfId="0" applyFont="1" applyFill="1"/>
  </cellXfs>
  <cellStyles count="1">
    <cellStyle name="Normal" xfId="0" builtinId="0"/>
  </cellStyles>
  <dxfs count="13">
    <dxf>
      <fill>
        <patternFill patternType="solid">
          <fgColor indexed="64"/>
          <bgColor rgb="FFCAEDFB"/>
        </patternFill>
      </fill>
    </dxf>
    <dxf>
      <font>
        <b/>
        <i val="0"/>
        <color rgb="FFFFFFFF"/>
      </font>
      <fill>
        <patternFill patternType="solid">
          <fgColor indexed="64"/>
          <bgColor rgb="FF104861"/>
        </patternFill>
      </fill>
    </dxf>
    <dxf>
      <numFmt numFmtId="0" formatCode="General"/>
    </dxf>
    <dxf>
      <numFmt numFmtId="0" formatCode="General"/>
    </dxf>
    <dxf>
      <numFmt numFmtId="0" formatCode="General"/>
    </dxf>
    <dxf>
      <numFmt numFmtId="0" formatCode="General"/>
    </dxf>
    <dxf>
      <numFmt numFmtId="19" formatCode="yyyy/mm/dd"/>
    </dxf>
    <dxf>
      <numFmt numFmtId="0" formatCode="General"/>
    </dxf>
    <dxf>
      <numFmt numFmtId="0" formatCode="General"/>
    </dxf>
    <dxf>
      <numFmt numFmtId="0" formatCode="General"/>
    </dxf>
    <dxf>
      <numFmt numFmtId="19" formatCode="yyyy/mm/dd"/>
    </dxf>
    <dxf>
      <numFmt numFmtId="0" formatCode="General"/>
    </dxf>
    <dxf>
      <font>
        <b val="0"/>
        <family val="2"/>
      </font>
      <fill>
        <patternFill patternType="none">
          <bgColor auto="1"/>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23/09/relationships/Python" Target="python.xml"/><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Mint Help" refreshedDate="45568.000092013892" createdVersion="8" refreshedVersion="8" minRefreshableVersion="3" recordCount="1" xr:uid="{57382F42-3306-40E0-900D-D86710DA6CEE}">
  <cacheSource type="worksheet">
    <worksheetSource name="Transactions"/>
  </cacheSource>
  <cacheFields count="20">
    <cacheField name="Account ID" numFmtId="0">
      <sharedItems containsNonDate="0" containsString="0" containsBlank="1"/>
    </cacheField>
    <cacheField name="Action" numFmtId="0">
      <sharedItems containsNonDate="0" containsString="0" containsBlank="1"/>
    </cacheField>
    <cacheField name="Amount" numFmtId="0">
      <sharedItems containsNonDate="0" containsString="0" containsBlank="1"/>
    </cacheField>
    <cacheField name="Categories" numFmtId="0">
      <sharedItems containsNonDate="0" containsString="0" containsBlank="1"/>
    </cacheField>
    <cacheField name="Datetime" numFmtId="14">
      <sharedItems containsNonDate="0" containsString="0" containsBlank="1"/>
    </cacheField>
    <cacheField name="ISO Currency Code" numFmtId="0">
      <sharedItems containsNonDate="0" containsString="0" containsBlank="1"/>
    </cacheField>
    <cacheField name="Merchant Name" numFmtId="0">
      <sharedItems containsNonDate="0" containsString="0" containsBlank="1"/>
    </cacheField>
    <cacheField name="Name" numFmtId="0">
      <sharedItems containsNonDate="0" containsBlank="1" count="919">
        <m/>
        <s v="Online Banking transfer - 5187" u="1"/>
        <s v="e-Transfer sent Manuel Avila TD" u="1"/>
        <s v="e-Transfer - Autodeposit Barian CAUP5qeB" u="1"/>
        <s v="Online Banking foreign exchange Ref 3WW730011116110" u="1"/>
        <s v="e-Transfer - Autodeposit Diana Lorena Cortes Rodriguez CAPRWreS" u="1"/>
        <s v="Online Banking transfer - 4244" u="1"/>
        <s v="Online Banking transfer - 2728" u="1"/>
        <s v="e-Transfer sent Gineth" u="1"/>
        <s v="e-Transfer sent Manuel CIBC" u="1"/>
        <s v="Online Banking foreign exchange Ref 3WW940121534520" u="1"/>
        <s v="DEPOSIT CANADA" u="1"/>
        <s v="E-TRANSFER 104378435463 Manuel TD" u="1"/>
        <s v="Online Banking transfer - 0982" u="1"/>
        <s v="e-Transfer - Autodeposit MANUEL RICARDO AVILA RINCON 10079616303949588b53bdb2d84ee2d2" u="1"/>
        <s v="e-Transfer - Autodeposit Diana Lorena Cortes Rodriguez CAfVTsBs" u="1"/>
        <s v="SERVICE CHARGE ADD TXN$0.00;MONTHLY$6.95 RECORD-KEEPING N/A" u="1"/>
        <s v="PAY PER USE OVERDRAFT FEE" u="1"/>
        <s v="E-TRANSFER 010668746193 MANUEL RICARDO AVILA RINC" u="1"/>
        <s v="CHEQUE 001 72074471" u="1"/>
        <s v="E-TRANSFER 010642812624 MANUEL RICARDO AVILA RINC" u="1"/>
        <s v="Online Banking transfer - 0080" u="1"/>
        <s v="Online Banking transfer - 9066" u="1"/>
        <s v="e-Transfer - Autodeposit MANUEL RICARDO AVILA RINCON 9db7c125b8754c2194260a0d5da219be" u="1"/>
        <s v="e-Transfer sent MANUEL RICARDO AVILA RINCON GXYSZW" u="1"/>
        <s v="Online transfer received - 0285 AUTOMATOS CONSULTING INC." u="1"/>
        <s v="MEMO - FEES" u="1"/>
        <s v="Online Banking transfer - 4629" u="1"/>
        <s v="e-Transfer - Autodeposit MANUEL RICARDO AVILA RINCON fdb6f95792c54a589301ad2474056ceb" u="1"/>
        <s v="INTEREST" u="1"/>
        <s v="INTERNET TRANSFER 000000237047" u="1"/>
        <s v="E-TRANSFER 104463742171 Manuel TD" u="1"/>
        <s v="INTERNET TRANSFER 000000132059" u="1"/>
        <s v="INTERNET BILL PAY 000000137898 AMERICAN EXPRESS REGULAR" u="1"/>
        <s v="SMART INTEREST" u="1"/>
        <s v="Online Banking transfer - 4731" u="1"/>
        <s v="e-Transfer - Autodeposit MANUEL RICARDO AVILA RINCON ce538d3d597a45e29ccef43baa8fdd0e" u="1"/>
        <s v="SERVICE CHARGE" u="1"/>
        <s v="E-TRANSFER NETWORK FEE" u="1"/>
        <s v="e-Transfer - Autodeposit MANUEL RICARDO AVILA RINCON 865e74ad09d14894bf88a52e952d9abd" u="1"/>
        <s v="Online Banking transfer - 1200" u="1"/>
        <s v="Online Banking transfer - 0315" u="1"/>
        <s v="e-Transfer - Autodeposit MANUEL RICARDO AVILA RINCON 8eb3f1cf86714730b60c6d2ce1730172" u="1"/>
        <s v="E-TRANSFER 104605613617 Manuel TD" u="1"/>
        <s v="Online Banking transfer - 5233" u="1"/>
        <s v="e-Transfer - Autodeposit MANUEL RICARDO AVILA RINCON 828b28a5fccf4142b249a0b4f882cf2c" u="1"/>
        <s v="e-Transfer - Autodeposit PAULA ANDREA AMARILES RESTREPO C1AXmQRfsEmn" u="1"/>
        <s v="Online Banking foreign exchange Ref 3WW771732107150" u="1"/>
        <s v="e-Transfer - Autodeposit MANUEL RICARDO AVILA RINCON eaa3ceb1e76c409988d43f1754874929" u="1"/>
        <s v="Online Banking transfer - 6496" u="1"/>
        <s v="e-Transfer - Autodeposit MANUEL RICARDO AVILA RINCON 596ca157048b42dcb206a8d23b06aaa6" u="1"/>
        <s v="E-TRANSFER 104666555189 Manuel TD" u="1"/>
        <s v="Online Banking transfer - 7034" u="1"/>
        <s v="e-Transfer - Autodeposit MANUEL RICARDO AVILA RINCON f03b9bd35860454292419f3195a316bc" u="1"/>
        <s v="Online Banking transfer - 6109" u="1"/>
        <s v="e-Transfer - Autodeposit PAULA ANDREA AMARILES RESTREPO C1AsY8XfTBkh" u="1"/>
        <s v="MICROSOFT*STORE MSBILL.INFO, ON" u="1"/>
        <s v="e-Transfer sent Manuel CIBC EC8XRS" u="1"/>
        <s v="Online Banking foreign exchange Ref 3WW812401442430" u="1"/>
        <s v="E-TRANSFER 010769367858 MANUEL AVILA" u="1"/>
        <s v="INTERNET TRANSFER 000000105088" u="1"/>
        <s v="RETAIL PURCHASE 349001001002 FOREIGN EXCHANG" u="1"/>
        <s v="SUNWING AIRLINES 416-620-4955, ON" u="1"/>
        <s v="FOOD TRUCK (E-TUK) YYZ MISSISSAUGA, ON" u="1"/>
        <s v="Tim Hortons" u="1"/>
        <s v="SUNWING AIRLINES TORONTO, ON" u="1"/>
        <s v="Online Banking transfer - 8831" u="1"/>
        <s v="e-Transfer - Autodeposit PAULA ANDREA AMARILES RESTREPO C1A7TDReBgnm" u="1"/>
        <s v="E-TRANSFER 010811988173 MANUEL RICARDO AVILA RINC" u="1"/>
        <s v="INTERNET TRANSFER 000000128296" u="1"/>
        <s v="Misc Payment PAYPAL" u="1"/>
        <s v="e-Transfer - Autodeposit PAULA ANDREA AMARILES RESTREPO C1A53JMEBquV" u="1"/>
        <s v="Amazon" u="1"/>
        <s v="KINGSCROSS HYUNDAI- GP TORONTO, ON" u="1"/>
        <s v="e-Transfer - Autodeposit PAULA ANDREA AMARILES RESTREPO C1Avy9FkM43a" u="1"/>
        <s v="Utility Bill Pmt Enbridge Gas" u="1"/>
        <s v="SP CANADIAN PROTEIN WINDSOR, ON" u="1"/>
        <s v="ANNUAL FEE" u="1"/>
        <s v="ANNUAL FEE REBATE" u="1"/>
        <s v="Online Banking payment - 0118 AMEX REGULAR" u="1"/>
        <s v="e-Transfer - Autodeposit PAULA ANDREA AMARILES RESTREPO C1AXk5zvYCur" u="1"/>
        <s v="Online Banking transfer - 8029" u="1"/>
        <s v="e-Transfer - Autodeposit PAULA ANDREA AMARILES RESTREPO C1AhjycnZYz8" u="1"/>
        <s v="e-Transfer cancel" u="1"/>
        <s v="E-TRANSFER 010822540785 MANUEL AVILA" u="1"/>
        <s v="INTERNET TRANSFER 000000138653" u="1"/>
        <s v="105448 TERRYTOWN PO SCARBOROUGH, ON" u="1"/>
        <s v="NOFRILLS ROD&amp;JOES SCARBOROUGH, ON" u="1"/>
        <s v="21ST CENTURY TRAVEL INSUR COBOURG, ON" u="1"/>
        <s v="IMMIGRATION CANADA ONLINE OTTAWA, ON" u="1"/>
        <s v="e-Transfer - Autodeposit Diana Lorena Cortes Rodriguez CADZ6cqj" u="1"/>
        <s v="e-Transfer - Autodeposit Diana Lorena Cortes Rodriguez CAUWec86" u="1"/>
        <s v="e-Transfer received David Alexander Garcia Hernandez CAfbjksk" u="1"/>
        <s v="Online Banking foreign exchange Ref 3WW342761132220" u="1"/>
        <s v="LinkedIn" u="1"/>
        <s v="E-TRANSFER 010831746869 MANUEL AVILA" u="1"/>
        <s v="INTERNET TRANSFER 000000131269" u="1"/>
        <s v="PAYMENT THANK YOU/PAIEMEN T MERCI" u="1"/>
        <s v="Personal Loan SPL" u="1"/>
        <s v="Online Banking transfer - 8082" u="1"/>
        <s v="Misc Payment Google LLC" u="1"/>
        <s v="e-Transfer - Autodeposit PAULA ANDREA AMARILES RESTREPO C1AC5Xj8dmVa" u="1"/>
        <s v="LCBO/RAO #660 TORONTO, ON" u="1"/>
        <s v="DOLLARAMA # 359 SCARBOROUGH, ON" u="1"/>
        <s v="Pearle Vision" u="1"/>
        <s v="HANA RAMEN TORONTO, ON" u="1"/>
        <s v="McDonald's" u="1"/>
        <s v="e-Transfer sent Costumes YCUP3R" u="1"/>
        <s v="Hydro Bill Pmt TORONTO HYDRO" u="1"/>
        <s v="e-Transfer sent Paula Amariles UAG3ZY" u="1"/>
        <s v="Climate Action Incentive CANADA" u="1"/>
        <s v="Misc Payment AMEX BILL PYMT" u="1"/>
        <s v="Insurance BELAIR INS/ASS." u="1"/>
        <s v="Life Insurance Foresters Life" u="1"/>
        <s v="e-Transfer - Autodeposit Ana Maria Avila Amaya C1ANs4zF4x4x" u="1"/>
        <s v="Online Banking foreign exchange Ref 3WW882862139100" u="1"/>
        <s v="EGGSMART #4019 TORONTO, ON" u="1"/>
        <s v="Overdraft interest" u="1"/>
        <s v="e-Transfer sent Mina Morshed" u="1"/>
        <s v="Amazon.ca*TP91O2WN0 AMAZON.CA, ON" u="1"/>
        <s v="Online Banking transfer - 6133" u="1"/>
        <s v="e-Transfer - Autodeposit PAULA ANDREA AMARILES RESTREPO C1AA8phgk9NF" u="1"/>
        <s v="e-Transfer sent Childcraft TKEJWD" u="1"/>
        <s v="e-Transfer - Autodeposit PAULA ANDREA AMARILES RESTREPO C1Ac22cpjPaj" u="1"/>
        <s v="WEBMINDS 2392801225, FL 39.95 USD @ 1.408760" u="1"/>
        <s v="Online transfer sent - 3876 Automatos Consulting" u="1"/>
        <s v="A2WEBHOST* INV4046887 HTTPSWWW.A2HO" u="1"/>
        <s v="THE CELLAR PUB AND GRILL ELORA, ON" u="1"/>
        <s v="CLEAR IMAGES TORONTO, ON" u="1"/>
        <s v="SAINT GERMAIN BAKERY S SCARBOROUGH, ON" u="1"/>
        <s v="Misc Payment EBAY CANADA LTD" u="1"/>
        <s v="Misc Payment EBAY COMMERCE C" u="1"/>
        <s v="e-Transfer sent PAULA ANDREA AMARILES RESTREPO 278R32" u="1"/>
        <s v="CELLROX SCARBOROUGH, ON" u="1"/>
        <s v="BINGZ CRISPY BURGER TORONTO, ON" u="1"/>
        <s v="SU &amp; SHI NOODLE BAR SCARBOROUGH, ON" u="1"/>
        <s v="FUTURE TECH TORONTO, ON" u="1"/>
        <s v="BELL CANADA (OB) MONTREAL, QC" u="1"/>
        <s v="METRO 37 TORONTO, ON" u="1"/>
        <s v="EAST YORK PHARMASAVE 9773 EAST YORK, ON" u="1"/>
        <s v="e-Transfer sent Bridgeway 5RVK4S" u="1"/>
        <s v="e-Transfer sent Manuel Avila TD QKE8DT" u="1"/>
        <s v="e-Transfer - Autodeposit David Alexander Garcia Hernandez C1AGNfrBdtnD" u="1"/>
        <s v="e-Transfer - Autodeposit DIANA-LORENA CORTES-RODRIGUEZ C1AgwHkSqHbk" u="1"/>
        <s v="Shoppers Drug Mart" u="1"/>
        <s v="PRESTO FARE/5CPBJ5T2KN TORONTO, ON" u="1"/>
        <s v="SP FREEGEEKTORONTO TORONTO, ON" u="1"/>
        <s v="Five Guys" u="1"/>
        <s v="Online Banking transfer - 0802" u="1"/>
        <s v="e-Transfer sent Manuel CIBC ZX426H" u="1"/>
        <s v="PRESTO FARE/5CP5M5P6B2 TORONTO, ON" u="1"/>
        <s v="CHATGPT SUBSCRIPTION HTTPSOPENAI.C, CA 20.00 USD @ 1.420500" u="1"/>
        <s v="E-TRANSFER 010855549723 MANUEL AVILA" u="1"/>
        <s v="INTERNET TRANSFER 000000216098" u="1"/>
        <s v="GameStop" u="1"/>
        <s v="eBay C 19-10734-97649 Toronto, ON" u="1"/>
        <s v="MTO TSD SO ECHANNEL DOWNSVIEW, ON" u="1"/>
        <s v="WIRE TRANSFER 9399369 MANUEL RICARDO AVILA R 970.00 USD @ 1.323100" u="1"/>
        <s v="POOP CAFE TORONTO, ON" u="1"/>
        <s v="MAPO KOREAN BBQ TORONTO, ON" u="1"/>
        <s v="INTERNET TRANSFER 000000125544" u="1"/>
        <s v="Telephone Banking transfer Ref 091863135650660" u="1"/>
        <s v="PRESTO FARE/5D0K845ZJ2 TORONTO, ON" u="1"/>
        <s v="REXALL PHARMACY #0943 TORONTO, ON" u="1"/>
        <s v="e-Transfer sent Paula Amariles ZV9JKJ" u="1"/>
        <s v="E-TRANSFER 104778383625 Paula Andrea Amariles Res" u="1"/>
        <s v="INTERNET TRANSFER 000000236020" u="1"/>
        <s v="e-Transfer - Autodeposit PAULA ANDREA AMARILES RESTREPO C1Ax3MvEyCUy" u="1"/>
        <s v="PRESTO FARE/5D20PCN7PZ TORONTO, ON" u="1"/>
        <s v="JIMMY THE GREEK #005 TORONTO, ON" u="1"/>
        <s v="Amazon.ca*FN9K16793 AMAZON.CA, ON" u="1"/>
        <s v="FORNO CULTURA TORONTO, ON" u="1"/>
        <s v="PREAUTHORIZED DEBIT American Express" u="1"/>
        <s v="PRESTO FARE/5D25N2SJCJ TORONTO, ON" u="1"/>
        <s v="CORP CANADA/16092573 OTTAWA, ON" u="1"/>
        <s v="e-Transfer - Autodeposit PAULA ANDREA AMARILES RESTREPO C1AqXRXuHyNB" u="1"/>
        <s v="Online transfer received - 9143 AUTOMATOS CONSULTING INC." u="1"/>
        <s v="FRESHCO #9679 SCARBOROUGH, ON" u="1"/>
        <s v="AE PTS BY POINTS.COM 800-361-5373, ON" u="1"/>
        <s v="Online transfer received - 2633 AUTOMATOS CONSULTING INC." u="1"/>
        <s v="Funds transfer fee TT 1/THE GLOBAL" u="1"/>
        <s v="Funds transfer credit TT 1/THE GLOBAL" u="1"/>
        <s v="e-Transfer - Autodeposit David Alexander Garcia Hernandez C1AdpfCQkAdc" u="1"/>
        <s v="e-Transfer sent MANUEL RICARDO AVILA RINCON MRZYTE" u="1"/>
        <s v="E-TRANSFER 010834744630 MANUEL AVILA" u="1"/>
        <s v="INTERNET TRANSFER 000000221817" u="1"/>
        <s v="e-Transfer sent Bridgeway GWV7K2" u="1"/>
        <s v="e-Transfer sent Dave BTBECY" u="1"/>
        <s v="e-Transfer - Autodeposit DIANA-LORENA CORTES-RODRIGUEZ C1AWrf2C5XsJ" u="1"/>
        <s v="GOOGLE ADS*DL 11001BOGOTA 232924.00 COP @ .000350" u="1"/>
        <s v="CHATGPT SUBSCRIPTION HTTPSOPENAI.C, CA 20.00 USD @ 1.391500" u="1"/>
        <s v="e-Transfer sent Paula Amariles 8X7NYZ" u="1"/>
        <s v="Online Banking payment - 0336 CITY OF TORONTO" u="1"/>
        <s v="Online transfer received - 1425 AUTOMATOS CONSULTING INC." u="1"/>
        <s v="Online Banking transfer - 5682" u="1"/>
        <s v="e-Transfer sent Manuel Ricardo Avila Rincon GRAWRJ" u="1"/>
        <s v="Online Banking payment - 3127 QUESTRADE" u="1"/>
        <s v="INTERNET TRANSFER 000000139010" u="1"/>
        <s v="CASH ADVANCE/AVANCE DE FO NDS" u="1"/>
        <s v="e-Transfer sent David COLOCAR SF5MHE" u="1"/>
        <s v="Online transfer received - 5204 AUTOMATOS CONSULTING INC." u="1"/>
        <s v="e-Transfer - Autodeposit Ana Maria Avila Amaya C1AaVZ2Q6USQ" u="1"/>
        <s v="CASH INTEREST" u="1"/>
        <s v="CREDIT ADJUSTMENT" u="1"/>
        <s v="e-Transfer sent MANUEL RICARDO AVILA RINCON JCY9HZ" u="1"/>
        <s v="e-Transfer - Autodeposit MANUEL RICARDO AVILA RINCON C1AuTjG2u4Ef" u="1"/>
        <s v="Online Banking foreign exchange Ref 3WW773521438230" u="1"/>
        <s v="e-Transfer sent MANUEL RICARDO AVILA RINCON UWL6YL" u="1"/>
        <s v="INTERNET TRANSFER 000000210754" u="1"/>
        <s v="INTERNET TRANSFER 000000207062" u="1"/>
        <s v="Online transfer received - 6439 AUTOMATOS CONSULTING INC." u="1"/>
        <s v="Online Banking transfer - 0179" u="1"/>
        <s v="e-Transfer sent Gineth W36CEW" u="1"/>
        <s v="e-Transfer - Autodeposit David Alexander Garcia Hernandez C1Ab2WHFeaFg" u="1"/>
        <s v="e-Transfer sent Dr Mersal 8Y6EBU" u="1"/>
        <s v="e-Transfer - Autodeposit DIANA-LORENA CORTES-RODRIGUEZ C1AR3thjcnF3" u="1"/>
        <s v="e-Transfer sent Bridgeway ULALS8" u="1"/>
        <s v="e-Transfer - Autodeposit PAULA ANDREA AMARILES RESTREPO C1AyRUXy9Kuw" u="1"/>
        <s v="Online Banking transfer - 6332" u="1"/>
        <s v="e-Transfer sent Brendan 5P5JXR" u="1"/>
        <s v="Federal Climate Incentive CANADA" u="1"/>
        <s v="Online Banking foreign exchange Ref 3WW020161851260" u="1"/>
        <s v="e-Transfer sent MANUEL RICARDO AVILA RINCON 2VWXWY" u="1"/>
        <s v="Online transfer received - 0432 AUTOMATOS CONSULTING INC." u="1"/>
        <s v="e-Transfer sent Paula Amariles 7LZW59" u="1"/>
        <s v="e-Transfer - Autodeposit David Alexander Garcia Hernandez C1A9Q2gKph7g" u="1"/>
        <s v="e-Transfer sent Bridgeway U5DRE3" u="1"/>
        <s v="e-Transfer - Autodeposit DIANA-LORENA CORTES-RODRIGUEZ C1AEhsxepKnN" u="1"/>
        <s v="Online transfer received - 8925 AUTOMATOS CONSULTING INC." u="1"/>
        <s v="Online Banking transfer - 6378" u="1"/>
        <s v="Deposit interest" u="1"/>
        <s v="Online Banking foreign exchange Ref 3WW730451634460" u="1"/>
        <s v="e-Transfer sent MANUEL RICARDO AVILA RINCON KPGBNJ" u="1"/>
        <s v="Online Banking transfer - 4038" u="1"/>
        <s v="WIRE TRANSFER 7117858 MANUEL RICARDO AVILA R 735.00 USD @ 1.308700" u="1"/>
        <s v="E-TRANSFER 104892788214 Jessica Mendez" u="1"/>
        <s v="e-Transfer sent MANUEL RICARDO AVILA RINCON ZUMCK6" u="1"/>
        <s v="Online transfer received - 7922 AUTOMATOS CONSULTING INC." u="1"/>
        <s v="INTERNET TRANSFER 000000203955" u="1"/>
        <s v="PREAUTHORIZED DEBIT Wise Canada" u="1"/>
        <s v="Online transfer received - 3747 AUTOMATOS CONSULTING INC." u="1"/>
        <s v="e-Transfer sent JULIA GINETH AVILA RINCON VQQCX9" u="1"/>
        <s v="e-Transfer sent MANUEL RICARDO AVILA RINCON HTXRPR" u="1"/>
        <s v="Online transfer received - 5500 AUTOMATOS CONSULTING INC." u="1"/>
        <s v="e-Transfer sent Manuel Scotia 6FRJDJ" u="1"/>
        <s v="e-Transfer - Autodeposit DIANA-LORENA CORTES-RODRIGUEZ C1AeyqcAwAY8" u="1"/>
        <s v="e-Transfer sent BridgewayPM CSX6RS" u="1"/>
        <s v="e-Transfer - Autodeposit PAULA ANDREA AMARILES RESTREPO C1AZcrCh5Cqv" u="1"/>
        <s v="Online transfer received - 9549 AUTOMATOS CONSULTING INC." u="1"/>
        <s v="e-Transfer - Autodeposit David Alexander Garcia Hernandez C1Aj6xNcxRRS" u="1"/>
        <s v="e-Transfer sent Paula Amariles 3WTSU2" u="1"/>
        <s v="e-Transfer - Autodeposit DIANA-LORENA CORTES-RODRIGUEZ C1APqftRzbMZ" u="1"/>
        <s v="Online transfer received - 1589 AUTOMATOS CONSULTING INC." u="1"/>
        <s v="e-Transfer sent PAULA ANDREA AMARILES RESTREPO ZA5Z6C" u="1"/>
        <s v="Online Banking transfer - 6670" u="1"/>
        <s v="e-Transfer sent Manuel Scotia 3ELQ4B" u="1"/>
        <s v="e-Transfer sent Mina Morshed 6PXZ6B" u="1"/>
        <s v="Online transfer received - 9796 AUTOMATOS CONSULTING INC." u="1"/>
        <s v="e-Transfer sent Manuel CIBC HLHFWC" u="1"/>
        <s v="Online Banking foreign exchange Ref 3WW820721615550" u="1"/>
        <s v="INTERNET TRANSFER 000000112674" u="1"/>
        <s v="Online transfer received - 3470 AUTOMATOS CONSULTING INC." u="1"/>
        <s v="e-Transfer sent Manuel Scotia Y6YQTD" u="1"/>
        <s v="Online transfer received - 1706 AUTOMATOS CONSULTING INC." u="1"/>
        <s v="e-Transfer sent Jessica Méndez TP4Z55" u="1"/>
        <s v="e-Transfer - Autodeposit David Alexander Garcia Hernandez C1ATTZR9a4V6" u="1"/>
        <s v="Online transfer received - 1708 AUTOMATOS CONSULTING INC." u="1"/>
        <s v="e-Transfer sent Manuel Scotia FLLCQ9" u="1"/>
        <s v="Tax Refund CANADA" u="1"/>
        <s v="PRESTO FARE/550128M9RN TORONTO, ON" u="1"/>
        <s v="Circle K" u="1"/>
        <s v="EVA'S ORIGINAL Toronto, ON" u="1"/>
        <s v="VALUE VILLAGE # 2078 TORONTO, ON" u="1"/>
        <s v="Home Depot" u="1"/>
        <s v="Online transfer received - 9772 AUTOMATOS CONSULTING INC." u="1"/>
        <s v="e-Transfer - Autodeposit DIANA-LORENA CORTES-RODRIGUEZ C1AHADpCEhjC" u="1"/>
        <s v="e-Transfer sent Bridgeway RD9WMK" u="1"/>
        <s v="e-Transfer sent Jessica Méndez 5V8BGE" u="1"/>
        <s v="e-Transfer - Autodeposit Ana Maria Avila Amaya C1A8ej3wMDEZ" u="1"/>
        <s v="PRESTO FARE/551B1J8S9T TORONTO, ON" u="1"/>
        <s v="EVERBEST BAKERY TORONTO, ON" u="1"/>
        <s v="JUNGLE ADVENTURE SCARBOROUGH, ON" u="1"/>
        <s v="PRESTO FARE/552HP1VHLP TORONTO, ON" u="1"/>
        <s v="Online transfer received - 7267" u="1"/>
        <s v="e-Transfer sent Jessica Méndez RLTQVP" u="1"/>
        <s v="JATUJAK TORONTO, ON" u="1"/>
        <s v="LOCKERROOM BY LIDS 7733 SCARBOROUGH, ON" u="1"/>
        <s v="*RFBT-SCARBOROUGH TOWN CE TORONTO, ON" u="1"/>
        <s v="DOLLARAMA # 270 SCARBOROUGH, ON" u="1"/>
        <s v="CHATGPT SUBSCRIPTION HTTPSOPENAI.C, CA 22.60 USD @ 1.399115" u="1"/>
        <s v="LA DIPERIE TORONTO, ON" u="1"/>
        <s v="Online Banking transfer - 0925" u="1"/>
        <s v="Online Banking payment - 6719 VISA - CIBC" u="1"/>
        <s v="Online transfer received - 5634 AUTOMATOS CONSULTING INC." u="1"/>
        <s v="WINNERS 390 TORONTO, ON" u="1"/>
        <s v="ROYAL BANK OF CANADA TORONTO" u="1"/>
        <s v="e-Transfer sent PAULA ANDREA AMARILES RESTREPO 7QD6Y9" u="1"/>
        <s v="Online transfer received - 6689 AUTOMATOS CONSULTING INC." u="1"/>
        <s v="PRESTO FARE/553LBMSGZC TORONTO, ON" u="1"/>
        <s v="D SPOT DESSERTS CLIFFSID TORONTO, ON" u="1"/>
        <s v="CINEPLEX ENTERTAINMENT 416-323-6600, ON" u="1"/>
        <s v="aliexpress Vancouver, BC" u="1"/>
        <s v="INTERNET CROSSBORDER TR 104954399174 2.25 USD @ 1.4196" u="1"/>
        <s v="Online transfer received - 3286 AUTOMATOS CONSULTING INC." u="1"/>
        <s v="Online Banking payment - 7568 CITY OF TORONTO" u="1"/>
        <s v="ELEVENLABS.IO ELEVENLABS.IO, NY 5.00 USD @ 1.406000" u="1"/>
        <s v="CINEPLEX CINECLUB 416-323-6600, ON" u="1"/>
        <s v="CINEPLEX 7253 QPS TORONTO, ON" u="1"/>
        <s v="INTERNET TRANSFER 000000100701" u="1"/>
        <s v="Amazon Prime" u="1"/>
        <s v="PRESTO FARE/5555C2WC8Z TORONTO, ON" u="1"/>
        <s v="LCBO/RAO #0333 TORONTO, ON" u="1"/>
        <s v="TICKETS AT WORK 8003316483, FL 952.00 USD @ 1.407731" u="1"/>
        <s v="OVERDRAFT INTEREST CHARGE" u="1"/>
        <s v="Online transfer received - 9769 AUTOMATOS CONSULTING INC." u="1"/>
        <s v="e-Transfer - Autodeposit DIANA-LORENA CORTES-RODRIGUEZ 1da3ab4404aab3851aa62afd572fed7c" u="1"/>
        <s v="e-Transfer sent Bridgeway LS96ZQ" u="1"/>
        <s v="e-Transfer - Autodeposit ANA MARIA AVILA AMAYA 5554c3e37d4b3ed8282aa703603ba656" u="1"/>
        <s v="Online Banking foreign exchange Ref 3WW311231701190" u="1"/>
        <s v="e-Transfer sent Manuel CIBC CC24LL" u="1"/>
        <s v="INTERNET TRANSFER 000000201987" u="1"/>
        <s v="e-Transfer - Autodeposit ANA MARIA AVILA AMAYA 56b65e7f2bea53973f7a0223a970bca8" u="1"/>
        <s v="e-Transfer - Autodeposit ANA MARIA AVILA AMAYA 172e78adf23aa1073927ad76f5631f07" u="1"/>
        <s v="e-Transfer sent KK TBKRT6" u="1"/>
        <s v="CHATGPT SUBSCRIPTION HTTPSOPENAI.C, CA 22.60 USD @ 1.403539" u="1"/>
        <s v="DOLLARAMA #1126 SCARBOROUGH, ON" u="1"/>
        <s v="UNIT PARK MANAGEMENT TORONTO, ON" u="1"/>
        <s v="VALUE VILLAGE # 2047 TORONTO, ON" u="1"/>
        <s v="Contactless Interac purchase - 4677 KD ELECTRONICS" u="1"/>
        <s v="PRESTO FARE/559335CGDC TORONTO, ON" u="1"/>
        <s v="FALLINGBROOK WELLNESS NORTH VANCOUV, BC" u="1"/>
        <s v="Online Banking payment - 9020 VISA - CIBC" u="1"/>
        <s v="ATM withdrawal - T23Q3746" u="1"/>
        <s v="CINEPLEX 7253 QPS TORONTO ON" u="1"/>
        <s v="PRESTO FARE/5599FH7KC7 TORONTO, ON" u="1"/>
        <s v="IKEA NORTH YORK NORTH YORK, ON" u="1"/>
        <s v="JOEY DON MILLS Toronto, ON" u="1"/>
        <s v="e-Transfer - Autodeposit THAMERAN JEGATHEESWARAN 4aaf3caa540d4ce9b26f82e9c4e43c01" u="1"/>
        <s v="THE OLYMPIAN SCHOOL OF SW SCARBOROUGH, ON" u="1"/>
        <s v="E-TRANSFER 104990887223 David Garcia" u="1"/>
        <s v="C&amp;C SUPERMARKET NORTH YORK, ON" u="1"/>
        <s v="e-Transfer sent Paula Amariles RX3HRU" u="1"/>
        <s v="e-Transfer sent Manuel Scotia 5ZS2X9" u="1"/>
        <s v="Online transfer received - 8683 AUTOMATOS CONSULTING INC." u="1"/>
        <s v="PRESTO FARE/552BKGHKPR Toronto ON" u="1"/>
        <s v="E-TRANSFER 010956509234 MANUEL AVILA" u="1"/>
        <s v="INTERNET TRANSFER 000000212469" u="1"/>
        <s v="FRESHCO #3849 NORTH YORK, ON" u="1"/>
        <s v="Amazon.ca*OL0RX2V93 AMAZON.CA, ON" u="1"/>
        <s v="e-Transfer sent Manuel Scotia GC3SEW" u="1"/>
        <s v="Online transfer received - 0389 AUTOMATOS CONSULTING INC." u="1"/>
        <s v="Online Banking transfer - 4250" u="1"/>
        <s v="e-Transfer sent Manuel Scotia BHBTMN" u="1"/>
        <s v="Online transfer received - 3051 AUTOMATOS CONSULTING INC." u="1"/>
        <s v="PAYMENT - THANK YOU / PAIEMENT - MERCI" u="1"/>
        <s v="PRESTO FARE/552B516NC6 TORONTO, ON" u="1"/>
        <s v="PAY 00001641069 135 GardaWorld Security Corp." u="1"/>
        <s v="E-TRANSFER 104996788742 Betty Restrepo Pareja" u="1"/>
        <s v="Online transfer received - 3399 AUTOMATOS CONSULTING INC." u="1"/>
        <s v="Online Banking foreign exchange Ref 3WW991381005050" u="1"/>
        <s v="e-Transfer sent Manuel Scotia A8BNWY" u="1"/>
        <s v="e-Transfer - Autodeposit Betty Restrepo C1AkDauYMX9v" u="1"/>
        <s v="Online Banking foreign exchange Ref 3WW741381003390" u="1"/>
        <s v="PetSmart" u="1"/>
        <s v="PRESTO FARE/552H25SMJH TORONTO, ON" u="1"/>
        <s v="Starbucks" u="1"/>
        <s v="Reebok" u="1"/>
        <s v="AFTERPAY HTTPSWWW.AFTE, BC" u="1"/>
        <s v="DOWNHILL ICE CREAM NIAGARA FALLS, ON" u="1"/>
        <s v="GRAND VIEW - RESTAURANT NIAGARA FALLS, ON" u="1"/>
        <s v="E-TRANSFER 104998341192 Nadia Niya Laser" u="1"/>
        <s v="Amazon.ca*OI5F30D33 AMAZON.CA, ON" u="1"/>
        <s v="Amazon.ca*EP9MS9013 AMAZON.CA, ON" u="1"/>
        <s v="Amazon.ca*526ZG6N83 AMAZON.CA, ON" u="1"/>
        <s v="Amazon.ca*JC0C77MX3 AMAZON.CA, ON" u="1"/>
        <s v="SHELL C45043 NIAGARA FALLS, ON" u="1"/>
        <s v="NIAGARA CITY CRUISES 905-394-3120, ON" u="1"/>
        <s v="Audible" u="1"/>
        <s v="E-TRANSFER 010961931604 David Alexander Garcia He" u="1"/>
        <s v="TACO N TEQUILA NIAGARA FALLS, ON" u="1"/>
        <s v="TDSB SCHOOL CASH ONLINE NORTH YORK, ON" u="1"/>
        <s v="e-Transfer - Autodeposit Betty Restrepo C1ADJFjvQ7pE" u="1"/>
        <s v="PRESTO FARE/55BJN0NMT6 TORONTO, ON" u="1"/>
        <s v="%ARABICA (UNION STATION) TORONTO, ON" u="1"/>
        <s v="E-TRANSFER 011007609173 KPMG Inc." u="1"/>
        <s v="E-TRANSFER 105004317470 One-time contact" u="1"/>
        <s v="PRESTO FARE/55B7LMBF5V TORONTO, ON" u="1"/>
        <s v="ATLAS BIKE REPAIR 8774174551, ON" u="1"/>
        <s v="EVANA PATISSERIE &amp; CAFE SCARBOROUGH, ON" u="1"/>
        <s v="FREEDOM MOBILE 877-946-3184, ON" u="1"/>
        <s v="International remittance 3WI401481727240" u="1"/>
        <s v="Online transfer received - 3885 AUTOMATOS CONSULTING INC." u="1"/>
        <s v="PRESTO FARE/55C86DTNXB TORONTO, ON" u="1"/>
        <s v="THE OLYMPIAN SCHOOL OF SCARBOROUGH, ON" u="1"/>
        <s v="THE WREN TORONTO, ON" u="1"/>
        <s v="ATM WITHDRAWAL BLOOR + BATHURST 4A61" u="1"/>
        <s v="E-TRANSFER 010964866972 ANA MARIA AVILA AMAYA" u="1"/>
        <s v="E-TRANSFER 105009259905 One-time contact" u="1"/>
        <s v="CIRCLE-K #52453 SCARBOROUGH, ON" u="1"/>
        <s v="NOON MOMENT NORTH YORK, ON" u="1"/>
        <s v="Amazon Channels amazon.ca, BC" u="1"/>
        <s v="SHMATA North York, ON" u="1"/>
        <s v="HEALTHY PLANET SOUTH SCAR SCARBOROUGH, ON" u="1"/>
        <s v="INTERNET BILL PAY 000000234160 MASTERCARD, RBC ROYAL BAN" u="1"/>
        <s v="WESTJET 883821869800373 CALGARY AB" u="1"/>
        <s v="THE NEW YORK TIMES" u="1"/>
        <s v="AMAZON* 702-4213129-76 DOWNTOWN TORO, ON" u="1"/>
        <s v="DR. SUZANNE CAUDRY DENTIS TORONTO, ON" u="1"/>
        <s v="SAUBLE BEACH REALTY INC SAUBLE BEACH, ON" u="1"/>
        <s v="e-Transfer - Autodeposit ANA MARIA AVILA AMAYA 5108fe205573684e6a2b31174840a707" u="1"/>
        <s v="PAY 00001641069 149 GardaWorld Security Corp." u="1"/>
        <s v="E-TRANSFER 010968410828 ANA MARIA AVILA AMAYA" u="1"/>
        <s v="AL PREMIUM FOOD MART SCARBOROUGH, ON" u="1"/>
        <s v="KINGSCROSS MOTOR SPORT TORONTO, ON" u="1"/>
        <s v="SERVICE CHARGE DISCOUNT" u="1"/>
        <s v="INTERNET BILL PAY 000000134661 MASTERCARD, RBC ROYAL BAN" u="1"/>
        <s v="INTERNET TRANSFER 000000129309" u="1"/>
        <s v="E-TRANSFER 010969372350 ANA MARIA AVILA AMAYA" u="1"/>
        <s v="VALUE VILLAGE #2158 TORONTO, ON" u="1"/>
        <s v="Amazon.ca*TC3H85YP3 AMAZON.CA, ON" u="1"/>
        <s v="e-Transfer - Autodeposit DIANA-LORENA CORTES-RODRIGUEZ 04dff8c16823fe8f47a49fd38ae678c5" u="1"/>
        <s v="e-Transfer sent Manuel CIBC AQJ9LN" u="1"/>
        <s v="e-Transfer sent Bridgeway GJ8PNG" u="1"/>
        <s v="Online transfer received - 6781 AUTOMATOS CONSULTING INC." u="1"/>
        <s v="TST-Limon Toronto, ON" u="1"/>
        <s v="E-TRANSFER 011016793847 ANA MARIA AVILA AMAYA" u="1"/>
        <s v="E-TRANSFER 105018022219 One-time contact" u="1"/>
        <s v="GEORGE'S NF TORONTO BR TORONTO, ON" u="1"/>
        <s v="EL MERCADITO SCARBOROUGH, ON" u="1"/>
        <s v="Online transfer received - 4773 AUTOMATOS CONSULTING INC." u="1"/>
        <s v="Online Banking payment - 0223 VISA - CIBC" u="1"/>
        <s v="KOODO PREPAID SELF-SER EDMONTON AB" u="1"/>
        <s v="E-TRANSFER 010973920024 ANA MARIA AVILA AMAYA" u="1"/>
        <s v="IHOP" u="1"/>
        <s v="CBP BUFFALO PEACE DOC INDIANAPOLIS IN 12.00 USD @ 1.405800000000" u="1"/>
        <s v="BP#3742392HARBORCREQPS ERIE PA 35.36 USD @ 1.406100000000" u="1"/>
        <s v="Online transfer received - 6618 AUTOMATOS CONSULTING INC." u="1"/>
        <s v="e-Transfer sent Paula Amariles CEQJP7" u="1"/>
        <s v="PARKPLACE COL PARKMOBI COLUMBUS OH 12.45 USD @ 1.409600000000" u="1"/>
        <s v="CILANTRO LATIN FUS Columbus OH 185.73 USD @ 1.410400000000" u="1"/>
        <s v="OPENAI *CHATGPT SUBSCR HTTPSOPENAI.C, CA 22.60 USD @ 1.408849" u="1"/>
        <s v="INTERNET BILL PAY 000000105214 MASTERCARD, RBC ROYAL BAN" u="1"/>
        <s v="E-TRANSFER 010975469924 MANUEL AVILA" u="1"/>
        <s v="INTERNET TRANSFER 000000228455" u="1"/>
        <s v="GRAETERS36 COLUMBUS OH 34.13 USD @ 1.410400000000" u="1"/>
        <s v="TA #215 HARBORCREEK ERIE PA 41.15 USD @ 1.412800000000" u="1"/>
        <s v="BUFFALO AND FORT ERIE FORT ERIE ON" u="1"/>
        <s v="PRESTO AUTL TORONTO ON" u="1"/>
        <s v="BP#3742392HARBORCREQPS ERIE PA 27.12 USD @ 1.412600000000" u="1"/>
        <s v="Costco" u="1"/>
        <s v="MACHI MACHI TORONTO, ON" u="1"/>
        <s v="American Eagle Outfitters" u="1"/>
        <s v="Foot Locker" u="1"/>
        <s v="15999- HOKA TORONTO PO TORONTO, ON" u="1"/>
        <s v="PRESTO FARE/55G3M2ZC5G Scarborough ON" u="1"/>
        <s v="CINEPLEX ENTERTAINMENT ON" u="1"/>
        <s v="PAY 00001641069 163 GardaWorld Security Corp." u="1"/>
        <s v="INTERNET TRANSFER 000000201623" u="1"/>
        <s v="TORONTO PARKING AUTHOR TORONTO, ON" u="1"/>
        <s v="WINNERS 264 SCARBOROUGH, ON" u="1"/>
        <s v="CANADIAN TIRE #030(CO) SCARBOROUGH ON" u="1"/>
        <s v="JOEY DON MILLS NORTH YORK ON" u="1"/>
        <s v="105448 TERRYTOWN PO SCARBOROUGH ON" u="1"/>
        <s v="MASTERMIND - BEACHES TORONTO, ON" u="1"/>
        <s v="PET VALU #2176 SCARBOROUGH, ON" u="1"/>
        <s v="BRICKLABS.CA TORONTO, ON" u="1"/>
        <s v="Lindt Sprungli Canada Toronto, ON" u="1"/>
        <s v="SP COSMETIC WORLD TORONTO, ON" u="1"/>
        <s v="E-TRANSFER 010983801902 ANA MARIA AVILA AMAYA" u="1"/>
        <s v="TRAINS-TRAINS GRANBY, QC" u="1"/>
        <s v="OPENAI SAN FRANCISCOCA 5.65 USD @ 1.408800000000" u="1"/>
        <s v="Payroll Deposit ALITHYA DIGITAL" u="1"/>
        <s v="DR. SUZANNE CAUDRY DEN TORONTO ON" u="1"/>
        <s v="DIGITALTREASURES.CA TORONTO ON" u="1"/>
        <s v="PRESTO FARE/55HBL7KDGX Scarborough ON" u="1"/>
        <s v="THE METICULOUS SMILE TORONTO, ON" u="1"/>
        <s v="E-TRANSFER 105040796893 Annie" u="1"/>
        <s v="Walmart" u="1"/>
        <s v="LOBLAWS #1021 TORONTO, ON" u="1"/>
        <s v="MOXIES SCARBOROUGH SCARBOROUGH ON" u="1"/>
        <s v="IKEA 698 SCARBOROUGH SCARBOROUGH ON" u="1"/>
        <s v="e-Transfer sent Paula Amariles G8WWFL" u="1"/>
        <s v="Online Banking payment - 3798 VISA - CIBC" u="1"/>
        <s v="e-Transfer - Autodeposit Julia Gineth Avila Rincon CAXhUHhn" u="1"/>
        <s v="Online Banking transfer - 4910" u="1"/>
        <s v="Online Banking payment - 3722 VISA - CIBC" u="1"/>
        <s v="PRESTO FARE/5564PJBK8B Scarborough ON" u="1"/>
        <s v="E-TRANSFER 010988129070 MANUEL AVILA" u="1"/>
        <s v="INTERNET BILL PAY 000000135598 MASTERCARD, RBC ROYAL BAN" u="1"/>
        <s v="E-TRANSFER 105044148481 One-time contact" u="1"/>
        <s v="CHARGEPOINT CANADA VANCOUVER, BC" u="1"/>
        <s v="SP SOMBREROLATINFOOD TORONTO, ON" u="1"/>
        <s v="Baskin-Robbins" u="1"/>
        <s v="FAMOUS PLAYER 7404QPS SCARBOROUGH, ON" u="1"/>
        <s v="Ticketmaster" u="1"/>
        <s v="EGGSMART #4019 TORONTO ON" u="1"/>
        <s v="E-TRANSFER 105044182228 One-time contact" u="1"/>
        <s v="e-Transfer - Autodeposit David Alexander Garcia Hernandez C1AMZkhNajjd" u="1"/>
        <s v="E-TRANSFER 105045460676 Milagros Faca de Canadá" u="1"/>
        <s v="DEPOSIT Poshmark" u="1"/>
        <s v="Insurance AGA" u="1"/>
        <s v="PAY 00001641069 177 GardaWorld Security Corp." u="1"/>
        <s v="DEPOSIT IND ALL AC-EST" u="1"/>
        <s v="INTERNET BILL PAY 000000208971 MASTERCARD, RBC ROYAL BAN" u="1"/>
        <s v="INTERNET TRANSFER 000000210496" u="1"/>
        <s v="PRESTO FARE/556BBJBZKW TORONTO, ON" u="1"/>
        <s v="PRESTO FARE/556B8JFHM9 TORONTO, ON" u="1"/>
        <s v="PRESTO FARE/55J1KPPQB7 Scarborough ON" u="1"/>
        <s v="PRESTO FARE/55J1G9Q2JL Toronto ON" u="1"/>
        <s v="E-TRANSFER 010991328296 ANELIA GEORGIEV" u="1"/>
        <s v="Afterpay afterpay.com, BC" u="1"/>
        <s v="CURIOSITYSTREAM SILVER SPRINGMD 45.19 USD @ 1.408000000000" u="1"/>
        <s v="CURIOSITYSTREAM SILVER SPRINGMD 45.19 USD @ 1.375700000000" u="1"/>
        <s v="e-Transfer - Autodeposit DIANA-LORENA CORTES-RODRIGUEZ 7177a58e3a2a4368781ca65bd2fa0615" u="1"/>
        <s v="e-Transfer sent Bridgeway BB2KTT" u="1"/>
        <s v="PRESTO FARE/55J0H65BCQ TORONTO, ON" u="1"/>
        <s v="GRAYSON'S RUSTIC BAKERY TORONTO, ON" u="1"/>
        <s v="Mango Toronto, ON" u="1"/>
        <s v="PRESTO FARE/5567J5X28F TORONTO, ON" u="1"/>
        <s v="LEGENDS MUSIC LLC Toronto, ON" u="1"/>
        <s v="CANADIAN TIRE #209 SCARBOROUGH, ON" u="1"/>
        <s v="Skyzone Toronto Toronto, ON" u="1"/>
        <s v="AMAZON* 701-7646573-18 DOWNTOWN TOROON" u="1"/>
        <s v="E-TRANSFER 105055818698 One-time contact" u="1"/>
        <s v="E-TRANSFER 011042050919 ANA MARIA AVILA AMAYA" u="1"/>
        <s v="A&amp;W #4991 TORONTO, ON" u="1"/>
        <s v="IKEA 698 SCARBOROUGH SCARBOROUGH, ON" u="1"/>
        <s v="KERNELS SCARBOROUGH, ON" u="1"/>
        <s v="E-TRANSFER 105058474111 katy Fitness" u="1"/>
        <s v="ZARA SCARBOROUGH #9249 TORONTO, ON" u="1"/>
        <s v="CASERO TACO BUS IN Sauble Beach ON" u="1"/>
        <s v="OPENAI *CHATGPT SUBSCR HTTPSOPENAI.C, CA 22.60 USD @ 1.399557" u="1"/>
        <s v="E-TRANSFER 105061741434 Alia" u="1"/>
        <s v="INTERNET TRANSFER 000000225524" u="1"/>
        <s v="PETRO CANADA59177 SCARBOROUGH, ON" u="1"/>
        <s v="Subway 32184 Scarborough, ON" u="1"/>
        <s v="ASCENT AERIAL PARK SAUBLE BEACH ON" u="1"/>
        <s v="SUPERBURGER MULMUR, ON" u="1"/>
        <s v="Online Banking transfer - 7896" u="1"/>
        <s v="Online Banking payment - 0380 VISA - CIBC" u="1"/>
        <s v="Plaid Inc." u="1"/>
        <s v="BEACH VIBE SAUBLE BEACH, ON" u="1"/>
        <s v="e-Transfer sent Paula Amariles EM6EKB" u="1"/>
        <s v="SOLA'S GRILL SAUBLE BEACH ON" u="1"/>
        <s v="NORTH SAUBLE MEATS N SAUBLE BEACH ON" u="1"/>
        <s v="407ETR-PRE AUTH WOODBRIDGE ON" u="1"/>
        <s v="PAY 00001641069 191 GardaWorld Security Corp." u="1"/>
        <s v="E-TRANSFER 011048003633 MANUEL AVILA" u="1"/>
        <s v="FRETZ'S VALU-MART #263 SAUBLE BEACH ON" u="1"/>
        <s v="HEYDAYS SAUBLE BEACH ON" u="1"/>
        <s v="INTERNET TRANSFER 000000110113" u="1"/>
        <s v="NORTH SAUBLE MEATS N SAUBLE BEACH, ON" u="1"/>
        <s v="THE BEER STORE #2416 SCARBOROUGH ON" u="1"/>
        <s v="E-TRANSFER 011050406895 Betty Restrepo" u="1"/>
        <s v="BUBBLE CUP SAUBLE BEACH, ON" u="1"/>
        <s v="E-TRANSFER 105071471832 Betty Restrepo Pareja" u="1"/>
        <s v="PREAUTHORIZED DEBIT PAYPAL" u="1"/>
        <s v="THE BIRCHCLIFF Toronto, ON" u="1"/>
        <s v="Amazon.ca*RS6MT2EF2 AMAZON.CA ON" u="1"/>
        <s v="PRESTO FARE/55M59J5DLR Scarborough ON" u="1"/>
        <s v="E-TRANSFER 011005658198 Betty Restrepo" u="1"/>
        <s v="ROOSTER COFFEE HOUSE TORONTO, ON" u="1"/>
        <s v="CITY COTTAGE MARKET Toronto, ON" u="1"/>
        <s v="e-Transfer sent Jessica Méndez AY25YH" u="1"/>
        <s v="99 BOTTLES TORONTO ON" u="1"/>
        <s v="CELLCO PLUS NORTH YORK ON" u="1"/>
        <s v="METRO 37 TORONTO ON" u="1"/>
        <s v="BULK BARN #565 TORONTO, ON" u="1"/>
        <s v="COCO FRESH TEA &amp; JUICE NORTH YORK, ON" u="1"/>
        <s v="INMIGRANTE TORONTO ON" u="1"/>
        <s v="TORONTO PARKING AUTHOR TORONTO ON" u="1"/>
        <s v="VALUE VILLAGE # 2047 TORONTO ON" u="1"/>
        <s v="CHARGEPOINT CANADA - ( VANCOUVER BC" u="1"/>
        <s v="PRESTO FARE/55N5766DD7 Toronto ON" u="1"/>
        <s v="E-TRANSFER 105075582424 Jessica" u="1"/>
        <s v="E-TRANSFER 105077713043 One-time contact" u="1"/>
        <s v="E-TRANSFER 105078093374 One-time contact" u="1"/>
        <s v="E-TRANSFER 105078099573 One-time contact" u="1"/>
        <s v="BEACHES N' CREAM TORONTO, ON" u="1"/>
        <s v="MR.PEN TORONTO, ON" u="1"/>
        <s v="BELL CANADA (OB) MONTREAL QC" u="1"/>
        <s v="PRESTO FARE/55NDM5RV7R TORONTO, ON" u="1"/>
        <s v="aliexpress Vancouver BC" u="1"/>
        <s v="E-TRANSFER 011058377491 DALLANA CALVO-GONZALEZ" u="1"/>
        <s v="PAY 00001641069 205 GardaWorld Security Corp." u="1"/>
        <s v="e-Transfer - Autodeposit PAULA ANDREA AMARILES RESTREPO C1AFH38vJqkk" u="1"/>
        <s v="E-TRANSFER 105082719493 Manu RBC" u="1"/>
        <s v="PEARSON PARKING T1 TORONTO, ON" u="1"/>
        <s v="CANADIAN TIRE #209 SCARBOROUGH ON" u="1"/>
        <s v="Online Banking foreign exchange Ref 3WW682111447320" u="1"/>
        <s v="Online Banking foreign exchange Ref 3WW452111438440" u="1"/>
        <s v="Online Banking transfer - 7387" u="1"/>
        <s v="e-Transfer sent MANUEL RICARDO AVILA RINCON VPWU7Z" u="1"/>
        <s v="E-TRANSFER 105083568070 Little Bugs" u="1"/>
        <s v="E-TRANSFER 105083655291 Mina" u="1"/>
        <s v="E-TRANSFER 105085401325 One-time contact" u="1"/>
        <s v="DOLLARAMA # 447 SCARBOROUGH, ON" u="1"/>
        <s v="Dairy Queen" u="1"/>
        <s v="INMIGRANTE TORONTO, ON" u="1"/>
        <s v="Wine Rack 304 Toronto, ON" u="1"/>
        <s v="ATM deposit - TZ796463" u="1"/>
        <s v="CINEPLEX CINECLUB ON" u="1"/>
        <s v="FREEZER FRESH Toronto ON" u="1"/>
        <s v="PRESTO FARE/55P09259V5 Scarborough ON" u="1"/>
        <s v="DELICIOUS EMPANADAS LATI TORONTO, ON" u="1"/>
        <s v="e-Transfer sent Bridgeway ZDVRT9" u="1"/>
        <s v="e-Transfer - Autodeposit DIANA-LORENA CORTES-RODRIGUEZ 9e3da6f56aea41466230012147c0f58d" u="1"/>
        <s v="Online Banking loan payment - 2227" u="1"/>
        <s v="e-Transfer sent Ana Maria Avila Amaya 4TPEBG" u="1"/>
        <s v="NOFRILLS ROD&amp;JOES SCARBOROUGH ON" u="1"/>
        <s v="METCALF FOOD &amp; BEVERAG PETERSBURG ON" u="1"/>
        <s v="PURCHASE INTEREST 20.99%" u="1"/>
        <s v="FW* COFFEEZILLA VENICE BEACH" u="1"/>
        <s v="e-Transfer sent Paula Amariles 4VWMN7" u="1"/>
        <s v="EXPEDIA 72891108061870 EXPEDIA.CA ON" u="1"/>
        <s v="EUROSTAR INTERNATIONAL Paris FRA 26.00 EUR @ 1.561100000000" u="1"/>
        <s v="EXPEDIA 72891480622027 EXPEDIA.CA ON" u="1"/>
        <s v="Trainline +443332022222GBR" u="1"/>
        <s v="RYANAIR0000000000KW8SQW0 DUBLIN" u="1"/>
        <s v="Sncb - Nmbs Eu Bruxelles BEL 172.80 EUR @ 1.560900000000" u="1"/>
        <s v="ATM WITHDRAWAL INTERAC/TNS SCD 1127" u="1"/>
        <s v="E-TRANSFER 105095784707 One-time contact" u="1"/>
        <s v="E-TRANSFER 105096016044 One-time contact" u="1"/>
        <s v="NETWORK TRANSACTION FEE ATM-CANADA/GAB-CANADA" u="1"/>
        <s v="E-TRANSFER 105096657654 Annie" u="1"/>
        <s v="E-TRANSFER 011021654100 MANUEL AVILA" u="1"/>
        <s v="INTERNET BILL PAY 000000210262 MASTERCARD, RBC ROYAL BAN" u="1"/>
        <s v="NETWORK FEE DISCOUNT" u="1"/>
        <s v="DOLLARAMA #1035 TORONTO, ON" u="1"/>
        <s v="PET VALU TORONTO, ON" u="1"/>
        <s v="IQLIVING TORONTO, ON" u="1"/>
        <s v="Poshmark Canada, Inc. Vancouver, BC" u="1"/>
        <s v="SERANO BAKERY TORONTO, ON" u="1"/>
        <s v="TEMU.COM WWW.TEMU.COM, BC" u="1"/>
        <s v="OPENAI *CHATGPT SUBSCR HTTPSOPENAI.C, CA 22.60 USD @ 1.429646" u="1"/>
        <s v="e-Transfer - Autodeposit ANA MARIA AVILA AMAYA 771d2f620e2c488447f5df4f668b9f92" u="1"/>
        <s v="Minecraft CA 6.99 USD @ 1.413400000000" u="1"/>
        <s v="LEGENDS MUSIC LLC Toronto ON" u="1"/>
        <s v="PAY 00001641069 219 GardaWorld Security Corp." u="1"/>
        <s v="NIYA LASER SPA 8774174551, ON" u="1"/>
        <s v="UBER CANADA/UBERTRIP TORONTO, ON" u="1"/>
        <s v="PRESTO FARE/5F0K3PKH2X Scarborough ON" u="1"/>
        <s v="e-Transfer - Autodeposit ANA MARIA AVILA AMAYA d0c98c4f285a4ea575289f47cf87f8b3" u="1"/>
        <s v="Loan interest" u="1"/>
        <s v="MICROSOFT*STORE MISSISSAUGA ON" u="1"/>
        <s v="TEMU.COM +18884958368, BC" u="1"/>
        <s v="APPLE.COM/BILL ON" u="1"/>
        <s v="E-TRANSFER 105101705861 Mina" u="1"/>
        <s v="E-TRANSFER 105101964180 Tata delicias Colombianas" u="1"/>
        <s v="E-TRANSFER 011025979100 Ana Maria Avila Amaya" u="1"/>
        <s v="PRESTO FARE/5F0K3PMRDB TORONTO, ON" u="1"/>
        <s v="MERCADOPAGO 11001BOGOTA 109000.00 COP @ .000343" u="1"/>
        <s v="THE BEER STORE #2416 SCARBOROUGH, ON" u="1"/>
        <s v="OOMOMO NORTH YORK STOR NORTH YORK, ON" u="1"/>
        <s v="PYU LOLA JEANS 52835SANANDRE 258000.00 COP @ .000343" u="1"/>
        <s v="PAC-WESTJETCONNECT" u="1"/>
        <s v="TAXI CABSI SERVICE T4 BENITO JUAREZ 65.00 USD @ 1.409300000000" u="1"/>
        <s v="OCEAN CORAL Y TUR PUERTO MORELO 195.60 MXN @ .074900000000" u="1"/>
        <s v="OCEAN CORAL Y TUR PUERTO MORELO" u="1"/>
        <s v="E-TRANSFER 105104181286 Samantha Dempster" u="1"/>
        <s v="ATM WITHDRAWAL ATM UNIT 9214" u="1"/>
        <s v="e-Transfer Request Fulfilled Remitly MQXE3M" u="1"/>
        <s v="INTERNET TRANSFER 000000133215" u="1"/>
        <s v="INTERNET TRANSFER 000000103723" u="1"/>
        <s v="CPC SCP/CU875233249CA OTTAWA, ON" u="1"/>
        <s v="INTERNET TRANSFER 000000134948" u="1"/>
        <s v="ATM withdrawal - PLUS4050" u="1"/>
        <s v="PLUS - SC -4050" u="1"/>
        <s v="MERA Corporation CUN MEX 391.00 MXN @ .075700000000" u="1"/>
        <s v="INTL ATM WITHDRAWAL* INTL ATM TRANSACTION*SCD 9000 88.03 CAD @ 1.000000" u="1"/>
        <s v="NETWORK TRANSACTION FEE ATM-INTL/GAB-INTERNAT." u="1"/>
        <s v="MERPAGO*ARTESANIAS CIUDAD DE MEX 2000.00 MXN @ .075605" u="1"/>
        <s v="SUPERCHE PT MORELOS723 PUERTO MORELO 1255.20 MXN @ .075605" u="1"/>
        <s v="e-Transfer sent Cat Guy 7YTMC8" u="1"/>
        <s v="WAYAN BENITO JUAREZ 277.99 MXN @ .075578" u="1"/>
        <s v="MINISO APTO CUN T4 BENITO JUAREZ 634.70 MXN @ .075610" u="1"/>
        <s v="PAY 00001641069 233 GardaWorld Security Corp." u="1"/>
        <s v="PURCHASE INTEREST" u="1"/>
        <s v="e-Transfer sent Manuel CIBC Z7VJA3" u="1"/>
        <s v="Online Banking foreign exchange Ref 3WW272451113060" u="1"/>
        <s v="e-Transfer - Autodeposit Ana Maria Avila Amaya 2d09ba27f63a40097938b1e5d7b2b5ad" u="1"/>
        <s v="e-Transfer - Autodeposit Diana Lorena Cortes Rodriguez c083540d08dc4e5a5c7ae1286476f0d7" u="1"/>
        <s v="e-Transfer sent Bridgeway EDQWP4" u="1"/>
        <s v="e-Transfer Request Fulfilled Remitly QNADQN" u="1"/>
        <s v="Online Banking payment - 8471 CITY OF TORONTO" u="1"/>
        <s v="e-Transfer sent Paula Amariles P5RGXZ" u="1"/>
        <s v="CAFE LANDWER UNIVE RICHMOND HILLON" u="1"/>
        <s v="PRESTO FARE/5F44BCC6RN Scarborough ON" u="1"/>
        <s v="YAYA GREEK BISTRO TORONTO ON" u="1"/>
        <s v="LA SCOGLIERA ITALIAN C TORONTO ON" u="1"/>
        <s v="OPENAI *CHATGPT SUBSCR SAN FRANCISCOCA 22.60 USD @ 1.391100000000" u="1"/>
        <s v="Boston Pizza" u="1"/>
        <s v="E-TRANSFER 105119094027 One-time contact" u="1"/>
        <s v="E-TRANSFER 105121602117 One-time contact" u="1"/>
        <s v="E-TRANSFER 011039843598 Betty Restrepo" u="1"/>
        <s v="E-TRANSFER 105128494928 One-time contact" u="1"/>
        <s v="INTERNET BILL PAY 000000205987 MASTERCARD, RBC ROYAL BAN" u="1"/>
        <s v="E-TRANSFER 011043354836 MANUEL AVILA" u="1"/>
        <s v="INTERNET BILL PAY 000000111014 MASTERCARD, RBC ROYAL BAN" u="1"/>
        <s v="PAY 00001641069 247 GardaWorld Security Corp." u="1"/>
        <s v="E-TRANSFER 105133724913 One-time contact" u="1"/>
        <s v="E-TRANSFER 105133726132 Samantha Dempster" u="1"/>
        <s v="E-TRANSFER 105133728030 katy Fitness" u="1"/>
        <s v="INTERNET TRANSFER 000000214221" u="1"/>
        <s v="E-TRANSFER 105135709985 One-time contact" u="1"/>
        <s v="E-TRANSFER 011046766544 Betty Restrepo" u="1"/>
        <s v="E-TRANSFER 011047570742 MANUEL AVILA" u="1"/>
        <s v="E-TRANSFER 105137845313 LFB" u="1"/>
        <s v="PILOT COFFEE QUEEN ST Toronto, ON" u="1"/>
        <s v="PRESTO FARE/5F44BC5RDM TORONTO, ON" u="1"/>
        <s v="CLAIRE'S #2583 SCARBOROUGH, ON" u="1"/>
        <s v="NYF3202 SCARBOROUGH, ON" u="1"/>
        <s v="FOX HOME Scarborough Scarborough, ON" u="1"/>
        <s v="TIENDA MOVIL CANADA TORONTO, ON" u="1"/>
        <s v="DSW #510 SCARBOROUGH, ON" u="1"/>
        <s v="Anne Frank Stichting Ieper BEL 32.00 EUR @ 1.543400000000" u="1"/>
        <s v="WINNERS 264 SCARBOROUGH ON" u="1"/>
        <s v="Etsy.com*Partyous Toronto ON" u="1"/>
        <s v="Skechers" u="1"/>
        <s v="Once Upon A Child" u="1"/>
        <s v="AUGUST 8 EGLINGTON TORONTO ON" u="1"/>
        <s v="LITTLE CAESARS TORONTO ON" u="1"/>
        <s v="EASTSIDE ANIMAL HOSPIT TORONTO ON" u="1"/>
        <s v="ROGERS ******5799 ON" u="1"/>
        <s v="WESTJET CALGARY AB" u="1"/>
        <s v="PARK'N FLY TORONTO VAL MISSISSAUGA ON" u="1"/>
        <s v="UBER CANADA/UBERTRIP TORONTO ON" u="1"/>
        <s v="EL VENEZOLANO Toronto ON" u="1"/>
        <s v="UBER CANADA/UBEREATS TORONTO ON" u="1"/>
        <s v="PC EXPRESS 1021 TORONTO ON" u="1"/>
        <s v="Skyzone Toronto Toronto ON" u="1"/>
        <s v="SP THE JILLY BOX INC. KELOWNA BC" u="1"/>
        <s v="Amazon.ca*ZT36J1GP1 AMAZON.CA ON" u="1"/>
        <s v="CENTEX SCARBOROUGH PUM SCARBOROUGH ON" u="1"/>
        <s v="POOP CAFE TORONTO ON" u="1"/>
        <s v="PRESTO FARE/55N509RGQH Toronto ON" u="1"/>
        <s v="SPOTHERO TORONTO ON" u="1"/>
        <s v="Online Banking foreign exchange Ref 3WW222532144340" u="1"/>
        <s v="Online Banking transfer - 6606" u="1"/>
        <s v="e-Transfer - Autodeposit Ana Maria Avila Amaya 246c34ff51e846cd41f05790b1bbd5a4" u="1"/>
        <s v="e-Transfer sent Manuel CIBC WTYMPM" u="1"/>
        <s v="e-Transfer cancel Earth Haven JC4ASF" u="1"/>
        <s v="e-Transfer sent Hearth Haven WMLQQP" u="1"/>
        <s v="e-Transfer sent Earth Haven JC4ASF" u="1"/>
        <s v="GATEWAY NEWSSTAND #412 TORONTO ON" u="1"/>
        <s v="ROBLOX CA 4.99 USD @ 1.396700000000" u="1"/>
        <s v="PRESTO FARE/5F6P3677Q2 Scarborough ON" u="1"/>
        <s v="THE BEER STORE #2421 SCARBOROUGH ON" u="1"/>
        <s v="THE ROY TORONTO ON" u="1"/>
        <s v="OTONABEE C* LETS CAMP PETERBOROUGH ON" u="1"/>
        <s v="CURVE LAKE FIRST NATIO CURVE LAKE FION" u="1"/>
        <s v="Hotel at Booking.com Amsterdam NLD" u="1"/>
        <s v="Skype" u="1"/>
        <s v="CHAD'S OPEN KITCHE Coe Hill ON" u="1"/>
        <s v="LAKEFIELD CAMPGROUND LAKEFIELD ON" u="1"/>
        <s v="E-TRANSFER 011049211244 DAISY BEIBEI JIANG" u="1"/>
        <s v="E-TRANSFER 105141202021 One-time contact" u="1"/>
        <s v="E-TRANSFER 011098843273 DANA LUE" u="1"/>
        <s v="E-TRANSFER 105142039559 One-time contact" u="1"/>
        <s v="E-TRANSFER 011099356607 JESSICA WEBSTER DOUGLAS" u="1"/>
        <s v="E-TRANSFER 011051225476 Chris" u="1"/>
        <s v="E-TRANSFER 011051484670 VERITY SCOTT" u="1"/>
        <s v="E-TRANSFER 011051217260 SARAH LOUISE JARVIS" u="1"/>
        <s v="E-TRANSFER 011100652277 KRISTJANA DALE DUNCAN" u="1"/>
        <s v="E-TRANSFER 105146394859 Lorena Cortes" u="1"/>
        <s v="E-TRANSFER 105146399144 Ms Secher" u="1"/>
        <s v="E-TRANSFER 011052975844 Barian" u="1"/>
        <s v="E-TRANSFER 011053558128 Betty Restrepo" u="1"/>
        <s v="E-TRANSFER 105149286820 One-time contact" u="1"/>
        <s v="E-TRANSFER 105149288579 Jorge Seu - piano" u="1"/>
        <s v="PAY 00001641069 261 GardaWorld Security Corp." u="1"/>
        <s v="DEPOSIT ACE/CCB" u="1"/>
        <s v="INTERNET TRANSFER 000000214282" u="1"/>
        <s v="COCO FRESH TEA &amp; JUICE E TORONTO, ON" u="1"/>
        <s v="HONK PARKING 866-675-7337, ON" u="1"/>
        <s v="BARBURRITO SCARBOROUGH, ON" u="1"/>
        <s v="PET VALU #2034 SCARBOROUGH, ON" u="1"/>
        <s v="CSRA US*EMBASSY MRV 703-889-2611, QC 185.00 USD @ 1.395459" u="1"/>
        <s v="Uniqlo Canada STC Scarborough, ON" u="1"/>
        <s v="Sephora" u="1"/>
        <s v="047 Lush Scarborough T Scarborough, ON" u="1"/>
        <s v="ULTRAMAR #32823 WHITBY, ON" u="1"/>
        <s v="ULTRAMAR # 32823 WHITBY, ON" u="1"/>
        <s v="SACRED GROUNDS Coe Hill, ON" u="1"/>
        <s v="LAKEFIELD FOODLAND #64 LAKEFIELD, ON" u="1"/>
        <s v="BROCK RD. ESSO GREENWOOD, ON" u="1"/>
        <s v="PASARELA COLOMBIA - WO MEDELLIN" u="1"/>
        <s v="Platos Closet 80547 SCARBOROUGH, ON" u="1"/>
        <s v="NOFRILLS STEPHEN'S #3468 SCARBOROUGH, ON" u="1"/>
        <s v="AMAZON* Z827I2OJ0 DOWNTOWN TOROON" u="1"/>
        <s v="Amazon.ca*VK4K69K83 AMAZON.CA ON" u="1"/>
        <s v="CEDAR MEADOWS TRADING DUNNVILLE ON" u="1"/>
        <s v="WHETUNG OJIBWA CRAFTS CURVE LAKE ON" u="1"/>
        <s v="STUFF'D LAKEFIELD ON" u="1"/>
        <s v="QUARTER MILE STARTING CURVE LAKE ON" u="1"/>
        <s v="TWO HEARTS BEADWOR Coe Hill ON" u="1"/>
        <s v="AMAZON* FR7374VC3 DOWNTOWN TOROON" u="1"/>
        <s v="AMAZON* KW8OP75K3 DOWNTOWN TOROON" u="1"/>
        <s v="AMAZON* Y61VT8253 DOWNTOWN TOROON" u="1"/>
        <s v="HUMAN RESOURCES PROFES TORONTO ON" u="1"/>
        <s v="COCO FRESH TEA &amp; JUICE TORONTO, ON" u="1"/>
        <s v="AMAZON* Z85BO8JY2 DOWNTOWN TOROON" u="1"/>
        <s v="EVANA PATISSERIE &amp; CAF SCARBOROUGH ON" u="1"/>
        <s v="Online transfer sent - 2156 Automatos Consulting Inc" u="1"/>
        <s v="Online Banking transfer - 0063" u="1"/>
        <s v="e-Transfer sent Paula Amariles G47R3K" u="1"/>
        <s v="E-TRANSFER 105098299081 One-time contact" u="1"/>
        <s v="Online Banking transfer - 6257" u="1"/>
        <s v="e-Transfer - Autodeposit MANUEL RICARDO AVILA RINCON 866df5c0e6a443668856d0934814b60a" u="1"/>
        <s v="e-Transfer - Autodeposit Diana Lorena Cortes Rodriguez CAjjxUg8" u="1"/>
        <s v="Online Banking transfer - 0154" u="1"/>
        <s v="e-Transfer - Autodeposit PAULA ANDREA AMARILES RESTREPO CAxxC563" u="1"/>
        <s v="Online Banking transfer - 8644" u="1"/>
        <s v="Online Banking foreign exchange Ref 3WW653411143220" u="1"/>
        <s v="CREDIT MEMO" u="1"/>
        <s v="E-TRANSFER 010633800189 MANUEL RICARDO AVILA RINC" u="1"/>
        <s v="Online Banking transfer - 2432" u="1"/>
        <s v="e-Transfer - Autodeposit Barian CAmhqnQ5" u="1"/>
        <s v="MONTHLY FIXED OVERDRAFT FEE" u="1"/>
        <s v="Online Banking transfer - 2738" u="1"/>
        <s v="e-Transfer - Autodeposit MANUEL RICARDO AVILA RINCON 0cd2f6fe66f64dd0aa925f05884d5a3f" u="1"/>
        <s v="Online Banking transfer - 2083" u="1"/>
        <s v="e-Transfer - Autodeposit PAULA ANDREA AMARILES RESTREPO CAY8sb9R" u="1"/>
        <s v="E-TRANSFER 104303199159 Manuel TD" u="1"/>
        <s v="DEPOSIT Adyen eBay P*5668402490 TX2534" u="1"/>
        <s v="DEPOSIT Adyen eBay P*5659068026 TX2486" u="1"/>
        <s v="DEPOSIT Adyen eBay P*5661150890 TX2496" u="1"/>
        <s v="DEPOSIT Adyen eBay P*5658145514 TX2481" u="1"/>
        <s v="E-TRANSFER 104289588279 Paula Andrea Amariles Res" u="1"/>
        <s v="E-TRANSFER 104289587640 Manuel TD" u="1"/>
        <s v="DEPOSIT Adyen eBay P*5655725138 TX2469" u="1"/>
        <s v="Online Banking transfer - 4435" u="1"/>
        <s v="e-Transfer - Autodeposit Diana Lorena Cortes Rodriguez" u="1"/>
        <s v="E-TRANSFER 104288502461 Ispak Chowdrury" u="1"/>
        <s v="DEPOSIT Adyen eBay P*5654631914 TX2463" u="1"/>
        <s v="E-TRANSFER 104288506342 Manuel TD" u="1"/>
        <s v="Online Banking transfer - 5680" u="1"/>
        <s v="e-Transfer - Autodeposit MANUEL RICARDO AVILA RINCON" u="1"/>
        <s v="DEPOSIT Adyen eBay P*5646897314 TX2418" u="1"/>
        <s v="DEPOSIT Adyen eBay P*5643221258 TX2398" u="1"/>
        <s v="DEPOSIT Adyen eBay P*5644278938 TX2403" u="1"/>
        <s v="e-Transfer - Autodeposit PAULA ANDREA AMARILES RESTREPO" u="1"/>
        <s v="Online Banking transfer - 4485" u="1"/>
        <s v="E-TRANSFER 104270071465 Lorena Cortés" u="1"/>
        <s v="E-TRANSFER 104270076025 Manuel TD" u="1"/>
        <s v="Online Banking transfer - 9900" u="1"/>
        <s v="DEPOSIT Adyen eBay P*5632881722 TX2342" u="1"/>
        <s v="DEPOSIT Adyen eBay P*5626139666 TX2306" u="1"/>
        <s v="Online Banking transfer - 5090" u="1"/>
        <s v="e-Transfer received ANA MARIA AVILA AMAYA" u="1"/>
        <s v="Online Banking transfer - 3688" u="1"/>
        <s v="Online Banking foreign exchange Ref 3WW632771354390" u="1"/>
        <s v="Online Banking transfer - 8989" u="1"/>
        <s v="Online Banking transfer - 0011" u="1"/>
        <s v="DEPOSIT Adyen eBay P*5621505986 TX2277" u="1"/>
        <s v="Online Banking transfer - 3777" u="1"/>
        <s v="Online Banking transfer - 4649" u="1"/>
        <s v="INTERNET TRANSFER 000000109497" u="1"/>
        <s v="Online Banking transfer - 1690" u="1"/>
        <s v="PREAUTHORIZED DEBIT 000364268741439 SCOTIA BANK - SPL LOAN PAYMENT" u="1"/>
        <s v="INTERNET TRANSFER 000000224843" u="1"/>
        <s v="Online Banking transfer - 6079" u="1"/>
        <s v="e-Transfer sent Paula Amariles" u="1"/>
        <s v="Online Banking transfer - 5395" u="1"/>
        <s v="Online transfer received - 3680 AUTOMATOS CONSULTING INC." u="1"/>
        <s v="Online Banking transfer - 4993" u="1"/>
        <s v="INTERNET TRANSFER 000000131221" u="1"/>
        <s v="Online Banking transfer - 5392" u="1"/>
        <s v="INTERNET TRANSFER 000000200743" u="1"/>
        <s v="PREAUTHORIZED DEBIT THE PERSONAL INSURANCE COMPANY" u="1"/>
        <s v="PREAUTHORIZED DEBIT Pre-authorized ENBRIDGE" u="1"/>
        <s v="Online transfer received - 8737 AUTOMATOS CONSULTING INC." u="1"/>
        <s v="INTERNET TRANSFER 000000120974" u="1"/>
        <s v="Online Banking transfer - 7875" u="1"/>
        <s v="e-Transfer sent Mon Petit Univers" u="1"/>
        <s v="Online transfer received - 9728 AUTOMATOS CONSULTING INC." u="1"/>
        <s v="Online transfer received - 4485 AUTOMATOS CONSULTING INC." u="1"/>
        <s v="Online transfer received - 3007 AUTOMATOS CONSULTING INC." u="1"/>
        <s v="INTERNET TRANSFER 000000139562" u="1"/>
        <s v="PREAUTHORIZED DEBIT EBAY*T*10997686 EBAY COMMERCE C" u="1"/>
        <s v="PREAUTHORIZED DEBIT TORONTO HYDRO" u="1"/>
        <s v="INTERNET TRANSFER 000000125714" u="1"/>
        <s v="ATM WITHDRAWAL DANFORTH RD + BIRCHMOUNT 4E55" u="1"/>
        <s v="INTERNET TRANSFER 000000101846" u="1"/>
        <s v="e-Transfer sent Ispak Chowdrury" u="1"/>
        <s v="e-Transfer received Newton" u="1"/>
        <s v="INTERNET TRANSFER 000000221278" u="1"/>
        <s v="SERVICE CHARGE ADD TXN$2.50;MONTHLY$6.95 RECORD-KEEPING N/A" u="1"/>
        <s v="DEPOSIT Adyen eBay P*5545349810 TX1891" u="1"/>
        <s v="Online transfer received - 0067 AUTOMATOS CONSULTING INC." u="1"/>
        <s v="Online Banking transfer - 9138" u="1"/>
        <s v="Online transfer received - 8990 AUTOMATOS CONSULTING INC." u="1"/>
        <s v="Online transfer received - 1786 AUTOMATOS CONSULTING INC." u="1"/>
        <s v="E-TRANSFER 104186642286 One-time contact" u="1"/>
        <s v="Online Banking transfer - 9800" u="1"/>
        <s v="Online transfer received - 9448 AUTOMATOS CONSULTING INC." u="1"/>
        <s v="DEPOSIT Google LLC" u="1"/>
        <s v="PREAUTHORIZED DEBIT RBCINS-LIFE" u="1"/>
        <s v="Online Banking transfer - 6834" u="1"/>
        <s v="INTERNET TRANSFER 000000136923" u="1"/>
        <s v="Online Banking transfer - 2606" u="1"/>
        <s v="INTERNET TRANSFER 000000222549" u="1"/>
        <s v="INTERNET TRANSFER 000000105314" u="1"/>
        <s v="E-TRANSFER 104178442506 Paula Andrea Amariles Res" u="1"/>
        <s v="Online Banking transfer - 5619" u="1"/>
        <s v="Online Banking transfer - 6093" u="1"/>
        <s v="Online transfer received - 8597 AUTOMATOS CONSULTING INC." u="1"/>
        <s v="Online transfer received - 6105 AUTOMATOS CONSULTING INC." u="1"/>
        <s v="Online transfer received - 1258" u="1"/>
        <s v="Online transfer received - 1026 AUTOMATOS CONSULTING INC." u="1"/>
        <s v="ATM WITHDRAWAL INTERAC/RBC SCD 0003" u="1"/>
        <s v="INTERNET TRANSFER 000000211808" u="1"/>
        <s v="INTERNET TRANSFER 000000115351" u="1"/>
        <s v="RETAIL PURCHASE 493001001048 HAPPY HEARTS" u="1"/>
        <s v="Online transfer received - 8332 AUTOMATOS CONSULTING INC." u="1"/>
        <s v="Online transfer received - 0365 AUTOMATOS CONSULTING INC." u="1"/>
        <s v="Online transfer received - 5585 AUTOMATOS CONSULTING INC." u="1"/>
        <s v="Online Banking transfer - 3793" u="1"/>
        <s v="Online transfer received - 6740 AUTOMATOS CONSULTING INC." u="1"/>
      </sharedItems>
    </cacheField>
    <cacheField name="Payment Channel" numFmtId="0">
      <sharedItems containsNonDate="0" containsString="0" containsBlank="1"/>
    </cacheField>
    <cacheField name="Pending" numFmtId="0">
      <sharedItems containsNonDate="0" containsString="0" containsBlank="1"/>
    </cacheField>
    <cacheField name="Transaction ID" numFmtId="0">
      <sharedItems containsNonDate="0" containsString="0" containsBlank="1"/>
    </cacheField>
    <cacheField name="Account Name" numFmtId="0">
      <sharedItems containsNonDate="0" containsString="0" containsBlank="1"/>
    </cacheField>
    <cacheField name="Bank" numFmtId="0">
      <sharedItems containsNonDate="0" containsString="0" containsBlank="1"/>
    </cacheField>
    <cacheField name="Custom Category" numFmtId="0">
      <sharedItems containsNonDate="0" containsString="0" containsBlank="1" containsNumber="1" containsInteger="1" minValue="0" maxValue="0" count="2">
        <m/>
        <n v="0" u="1"/>
      </sharedItems>
    </cacheField>
    <cacheField name="Month" numFmtId="14">
      <sharedItems containsNonDate="0" containsString="0" containsBlank="1"/>
    </cacheField>
    <cacheField name="6M AVG" numFmtId="0">
      <sharedItems containsNonDate="0" containsString="0" containsBlank="1"/>
    </cacheField>
    <cacheField name="Month's Total" numFmtId="0">
      <sharedItems containsNonDate="0" containsString="0" containsBlank="1"/>
    </cacheField>
    <cacheField name="Budget" numFmtId="0">
      <sharedItems containsNonDate="0" containsString="0" containsBlank="1"/>
    </cacheField>
    <cacheField name="Remainder" numFmtId="0">
      <sharedItems containsNonDate="0" containsString="0" containsBlank="1"/>
    </cacheField>
    <cacheField name="ABS_Amount" numFmtId="0" formula=" ABS(Amount)"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Mint Help" refreshedDate="45568.000130439817" createdVersion="8" refreshedVersion="8" minRefreshableVersion="3" recordCount="1" xr:uid="{D7A53B92-4C76-4AA0-BAB2-CED465B88BED}">
  <cacheSource type="worksheet">
    <worksheetSource name="Accounts"/>
  </cacheSource>
  <cacheFields count="9">
    <cacheField name="Institution Name" numFmtId="0">
      <sharedItems containsNonDate="0" containsBlank="1" count="4">
        <m/>
        <s v="CIBC" u="1"/>
        <s v="RBC Royal Bank" u="1"/>
        <s v="TD Canada Trust" u="1"/>
      </sharedItems>
    </cacheField>
    <cacheField name="Credential ID" numFmtId="0">
      <sharedItems containsNonDate="0" containsString="0" containsBlank="1"/>
    </cacheField>
    <cacheField name="Next Cursor" numFmtId="0">
      <sharedItems containsNonDate="0" containsString="0" containsBlank="1"/>
    </cacheField>
    <cacheField name="Balance" numFmtId="0">
      <sharedItems containsNonDate="0" containsString="0" containsBlank="1"/>
    </cacheField>
    <cacheField name="Mask" numFmtId="0">
      <sharedItems containsNonDate="0" containsString="0" containsBlank="1"/>
    </cacheField>
    <cacheField name="Name" numFmtId="0">
      <sharedItems containsNonDate="0" containsBlank="1" count="16">
        <m/>
        <s v="Registered Investors Edge Or Iis (1259)" u="1"/>
        <s v="Tfsa Isi (4516)" u="1"/>
        <s v="Cross Border Deposit (8428)" u="1"/>
        <s v="Credit Line (3001)" u="1"/>
        <s v="RBC Staff Banking (6614)" u="1"/>
        <s v="WestJet RBC World Elite Mastercard (9669)" u="1"/>
        <s v="LINE OF CREDIT UNSECURED (3214)" u="1"/>
        <s v="Personal Line Of Credit (4293)" u="1"/>
        <s v="Visa Cad (5964)" u="1"/>
        <s v="Visa Cad (0785)" u="1"/>
        <s v="Eadvantage Savings Account (9635)" u="1"/>
        <s v="CIBC Smart Account (3930)" u="1"/>
        <s v="CIBC Smart Account (4287)" u="1"/>
        <s v="Visa Cad (7307)" u="1"/>
        <s v="WestJet RBC World Elite Mastercard (5972)" u="1"/>
      </sharedItems>
    </cacheField>
    <cacheField name="Plaid Account ID" numFmtId="0">
      <sharedItems containsNonDate="0" containsString="0" containsBlank="1"/>
    </cacheField>
    <cacheField name="Subtype" numFmtId="0">
      <sharedItems containsNonDate="0" containsString="0" containsBlank="1"/>
    </cacheField>
    <cacheField name="Type" numFmtId="0">
      <sharedItems containsNonDate="0" containsBlank="1" count="5">
        <m/>
        <s v="investment" u="1"/>
        <s v="depository" u="1"/>
        <s v="loan" u="1"/>
        <s v="credit"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m/>
    <m/>
    <m/>
    <m/>
    <m/>
    <m/>
    <x v="0"/>
    <m/>
    <m/>
    <m/>
    <m/>
    <m/>
    <x v="0"/>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m/>
    <m/>
    <m/>
    <m/>
    <x v="0"/>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B3988C-C001-4A44-BB66-0919E6EB3882}" name="Spending" cacheId="94"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Category">
  <location ref="D2:H5" firstHeaderRow="0" firstDataRow="1" firstDataCol="1"/>
  <pivotFields count="20">
    <pivotField showAll="0"/>
    <pivotField showAll="0"/>
    <pivotField dataField="1" showAll="0"/>
    <pivotField showAll="0"/>
    <pivotField showAll="0"/>
    <pivotField showAll="0"/>
    <pivotField showAll="0"/>
    <pivotField axis="axisRow" showAll="0">
      <items count="920">
        <item m="1" x="462"/>
        <item m="1" x="545"/>
        <item m="1" x="564"/>
        <item m="1" x="582"/>
        <item m="1" x="72"/>
        <item m="1" x="522"/>
        <item m="1" x="558"/>
        <item m="1" x="536"/>
        <item m="1" x="600"/>
        <item m="1" x="332"/>
        <item m="1" x="580"/>
        <item m="1" x="448"/>
        <item m="1" x="435"/>
        <item m="1" x="446"/>
        <item m="1" x="460"/>
        <item m="1" x="588"/>
        <item m="1" x="530"/>
        <item m="1" x="434"/>
        <item m="1" x="565"/>
        <item m="1" x="572"/>
        <item m="1" x="439"/>
        <item m="1" x="333"/>
        <item m="1" x="601"/>
        <item m="1" x="455"/>
        <item m="1" x="110"/>
        <item m="1" x="328"/>
        <item m="1" x="449"/>
        <item m="1" x="512"/>
        <item m="1" x="511"/>
        <item m="1" x="230"/>
        <item m="1" x="473"/>
        <item m="1" x="472"/>
        <item m="1" x="495"/>
        <item m="1" x="322"/>
        <item m="1" x="409"/>
        <item m="1" x="317"/>
        <item m="1" x="321"/>
        <item m="1" x="635"/>
        <item m="1" x="278"/>
        <item m="1" x="201"/>
        <item m="1" x="114"/>
        <item m="1" x="817"/>
        <item m="1" x="3"/>
        <item m="1" x="381"/>
        <item m="1" x="361"/>
        <item m="1" x="225"/>
        <item m="1" x="213"/>
        <item m="1" x="182"/>
        <item m="1" x="142"/>
        <item m="1" x="249"/>
        <item m="1" x="497"/>
        <item m="1" x="265"/>
        <item m="1" x="832"/>
        <item m="1" x="90"/>
        <item m="1" x="15"/>
        <item m="1" x="809"/>
        <item m="1" x="5"/>
        <item m="1" x="91"/>
        <item m="1" x="420"/>
        <item m="1" x="315"/>
        <item m="1" x="513"/>
        <item m="1" x="606"/>
        <item m="1" x="227"/>
        <item m="1" x="245"/>
        <item m="1" x="143"/>
        <item m="1" x="275"/>
        <item m="1" x="251"/>
        <item m="1" x="215"/>
        <item m="1" x="188"/>
        <item m="1" x="483"/>
        <item m="1" x="837"/>
        <item m="1" x="820"/>
        <item m="1" x="14"/>
        <item m="1" x="50"/>
        <item m="1" x="45"/>
        <item m="1" x="39"/>
        <item m="1" x="808"/>
        <item m="1" x="42"/>
        <item m="1" x="23"/>
        <item m="1" x="205"/>
        <item m="1" x="36"/>
        <item m="1" x="48"/>
        <item m="1" x="53"/>
        <item m="1" x="28"/>
        <item m="1" x="841"/>
        <item m="1" x="71"/>
        <item m="1" x="67"/>
        <item m="1" x="121"/>
        <item m="1" x="123"/>
        <item m="1" x="101"/>
        <item m="1" x="585"/>
        <item m="1" x="82"/>
        <item m="1" x="175"/>
        <item m="1" x="55"/>
        <item m="1" x="74"/>
        <item m="1" x="167"/>
        <item m="1" x="80"/>
        <item m="1" x="46"/>
        <item m="1" x="217"/>
        <item m="1" x="247"/>
        <item m="1" x="811"/>
        <item m="1" x="822"/>
        <item m="1" x="337"/>
        <item m="1" x="83"/>
        <item m="1" x="849"/>
        <item m="1" x="92"/>
        <item m="1" x="885"/>
        <item m="1" x="608"/>
        <item m="1" x="219"/>
        <item m="1" x="140"/>
        <item m="1" x="514"/>
        <item m="1" x="422"/>
        <item m="1" x="186"/>
        <item m="1" x="316"/>
        <item m="1" x="276"/>
        <item m="1" x="226"/>
        <item m="1" x="216"/>
        <item m="1" x="605"/>
        <item m="1" x="246"/>
        <item m="1" x="122"/>
        <item m="1" x="107"/>
        <item m="1" x="187"/>
        <item m="1" x="199"/>
        <item m="1" x="214"/>
        <item m="1" x="8"/>
        <item m="1" x="212"/>
        <item m="1" x="884"/>
        <item m="1" x="277"/>
        <item m="1" x="563"/>
        <item m="1" x="284"/>
        <item m="1" x="264"/>
        <item m="1" x="241"/>
        <item m="1" x="323"/>
        <item m="1" x="2"/>
        <item m="1" x="141"/>
        <item m="1" x="9"/>
        <item m="1" x="421"/>
        <item m="1" x="319"/>
        <item m="1" x="57"/>
        <item m="1" x="258"/>
        <item m="1" x="149"/>
        <item m="1" x="222"/>
        <item m="1" x="195"/>
        <item m="1" x="24"/>
        <item m="1" x="242"/>
        <item m="1" x="204"/>
        <item m="1" x="232"/>
        <item m="1" x="183"/>
        <item m="1" x="207"/>
        <item m="1" x="592"/>
        <item m="1" x="236"/>
        <item m="1" x="255"/>
        <item m="1" x="342"/>
        <item m="1" x="244"/>
        <item m="1" x="360"/>
        <item m="1" x="352"/>
        <item m="1" x="267"/>
        <item m="1" x="349"/>
        <item m="1" x="262"/>
        <item m="1" x="118"/>
        <item m="1" x="256"/>
        <item m="1" x="874"/>
        <item m="1" x="862"/>
        <item m="1" x="250"/>
        <item m="1" x="613"/>
        <item m="1" x="224"/>
        <item m="1" x="191"/>
        <item m="1" x="437"/>
        <item m="1" x="542"/>
        <item m="1" x="481"/>
        <item m="1" x="341"/>
        <item m="1" x="109"/>
        <item m="1" x="164"/>
        <item m="1" x="132"/>
        <item m="1" x="296"/>
        <item m="1" x="253"/>
        <item m="1" x="615"/>
        <item m="1" x="614"/>
        <item m="1" x="616"/>
        <item m="1" x="220"/>
        <item m="1" x="147"/>
        <item m="1" x="602"/>
        <item m="1" x="548"/>
        <item m="1" x="181"/>
        <item m="1" x="180"/>
        <item m="1" x="612"/>
        <item m="1" x="444"/>
        <item m="1" x="549"/>
        <item m="1" x="108"/>
        <item m="1" x="433"/>
        <item m="1" x="480"/>
        <item m="1" x="569"/>
        <item m="1" x="500"/>
        <item m="1" x="112"/>
        <item m="1" x="390"/>
        <item m="1" x="461"/>
        <item m="1" x="431"/>
        <item m="1" x="113"/>
        <item m="1" x="106"/>
        <item m="1" x="610"/>
        <item m="1" x="566"/>
        <item m="1" x="636"/>
        <item m="1" x="111"/>
        <item m="1" x="130"/>
        <item m="1" x="131"/>
        <item m="1" x="100"/>
        <item m="1" x="70"/>
        <item m="1" x="479"/>
        <item m="1" x="609"/>
        <item m="1" x="544"/>
        <item m="1" x="221"/>
        <item m="1" x="318"/>
        <item m="1" x="93"/>
        <item m="1" x="590"/>
        <item m="1" x="851"/>
        <item m="1" x="813"/>
        <item m="1" x="589"/>
        <item m="1" x="4"/>
        <item m="1" x="231"/>
        <item m="1" x="362"/>
        <item m="1" x="47"/>
        <item m="1" x="206"/>
        <item m="1" x="58"/>
        <item m="1" x="259"/>
        <item m="1" x="115"/>
        <item m="1" x="10"/>
        <item m="1" x="359"/>
        <item m="1" x="607"/>
        <item m="1" x="79"/>
        <item m="1" x="430"/>
        <item m="1" x="192"/>
        <item m="1" x="539"/>
        <item m="1" x="196"/>
        <item m="1" x="485"/>
        <item m="1" x="482"/>
        <item m="1" x="292"/>
        <item m="1" x="304"/>
        <item m="1" x="331"/>
        <item m="1" x="853"/>
        <item m="1" x="21"/>
        <item m="1" x="810"/>
        <item m="1" x="211"/>
        <item m="1" x="41"/>
        <item m="1" x="148"/>
        <item m="1" x="291"/>
        <item m="1" x="13"/>
        <item m="1" x="40"/>
        <item m="1" x="858"/>
        <item m="1" x="821"/>
        <item m="1" x="816"/>
        <item m="1" x="900"/>
        <item m="1" x="7"/>
        <item m="1" x="819"/>
        <item m="1" x="850"/>
        <item m="1" x="855"/>
        <item m="1" x="917"/>
        <item m="1" x="233"/>
        <item m="1" x="6"/>
        <item m="1" x="351"/>
        <item m="1" x="831"/>
        <item m="1" x="842"/>
        <item m="1" x="27"/>
        <item m="1" x="856"/>
        <item m="1" x="35"/>
        <item m="1" x="484"/>
        <item m="1" x="865"/>
        <item m="1" x="848"/>
        <item m="1" x="1"/>
        <item m="1" x="44"/>
        <item m="1" x="867"/>
        <item m="1" x="863"/>
        <item m="1" x="904"/>
        <item m="1" x="836"/>
        <item m="1" x="194"/>
        <item m="1" x="861"/>
        <item m="1" x="905"/>
        <item m="1" x="54"/>
        <item m="1" x="120"/>
        <item m="1" x="807"/>
        <item m="1" x="218"/>
        <item m="1" x="229"/>
        <item m="1" x="49"/>
        <item m="1" x="254"/>
        <item m="1" x="898"/>
        <item m="1" x="52"/>
        <item m="1" x="591"/>
        <item m="1" x="873"/>
        <item m="1" x="538"/>
        <item m="1" x="81"/>
        <item m="1" x="99"/>
        <item m="1" x="812"/>
        <item m="1" x="66"/>
        <item m="1" x="852"/>
        <item m="1" x="22"/>
        <item m="1" x="890"/>
        <item m="1" x="894"/>
        <item m="1" x="845"/>
        <item m="1" x="889"/>
        <item m="1" x="25"/>
        <item m="1" x="915"/>
        <item m="1" x="350"/>
        <item m="1" x="223"/>
        <item m="1" x="909"/>
        <item m="1" x="908"/>
        <item m="1" x="193"/>
        <item m="1" x="252"/>
        <item m="1" x="263"/>
        <item m="1" x="266"/>
        <item m="1" x="892"/>
        <item m="1" x="179"/>
        <item m="1" x="877"/>
        <item m="1" x="353"/>
        <item m="1" x="303"/>
        <item m="1" x="358"/>
        <item m="1" x="261"/>
        <item m="1" x="864"/>
        <item m="1" x="240"/>
        <item m="1" x="391"/>
        <item m="1" x="876"/>
        <item m="1" x="429"/>
        <item m="1" x="200"/>
        <item m="1" x="243"/>
        <item m="1" x="916"/>
        <item m="1" x="293"/>
        <item m="1" x="907"/>
        <item m="1" x="210"/>
        <item m="1" x="436"/>
        <item m="1" x="297"/>
        <item m="1" x="918"/>
        <item m="1" x="423"/>
        <item m="1" x="283"/>
        <item m="1" x="237"/>
        <item m="1" x="914"/>
        <item m="1" x="906"/>
        <item m="1" x="343"/>
        <item m="1" x="871"/>
        <item m="1" x="228"/>
        <item m="1" x="891"/>
        <item m="1" x="176"/>
        <item m="1" x="895"/>
        <item m="1" x="248"/>
        <item m="1" x="875"/>
        <item m="1" x="314"/>
        <item m="1" x="274"/>
        <item m="1" x="257"/>
        <item m="1" x="125"/>
        <item m="1" x="470"/>
        <item m="1" x="117"/>
        <item m="1" x="438"/>
        <item m="1" x="354"/>
        <item m="1" x="471"/>
        <item m="1" x="98"/>
        <item m="1" x="363"/>
        <item m="1" x="540"/>
        <item m="1" x="447"/>
        <item m="1" x="344"/>
        <item m="1" x="486"/>
        <item m="1" x="454"/>
        <item m="1" x="474"/>
        <item m="1" x="508"/>
        <item m="1" x="507"/>
        <item m="1" x="559"/>
        <item m="1" x="573"/>
        <item m="1" x="603"/>
        <item m="1" x="611"/>
        <item m="1" x="618"/>
        <item m="1" x="144"/>
        <item m="1" x="619"/>
        <item m="1" x="543"/>
        <item m="1" x="445"/>
        <item m="1" x="268"/>
        <item m="1" x="161"/>
        <item m="1" x="552"/>
        <item m="1" x="405"/>
        <item m="1" x="64"/>
        <item m="1" x="570"/>
        <item m="1" x="617"/>
        <item m="1" x="75"/>
        <item m="1" x="571"/>
        <item m="1" x="404"/>
        <item m="1" x="56"/>
        <item m="1" x="62"/>
        <item m="1" x="63"/>
        <item m="1" x="65"/>
        <item m="1" x="73"/>
        <item m="1" x="76"/>
        <item m="1" x="77"/>
        <item m="1" x="78"/>
        <item m="1" x="86"/>
        <item m="1" x="87"/>
        <item m="1" x="88"/>
        <item m="1" x="89"/>
        <item m="1" x="94"/>
        <item m="1" x="97"/>
        <item m="1" x="102"/>
        <item m="1" x="103"/>
        <item m="1" x="104"/>
        <item m="1" x="105"/>
        <item m="1" x="116"/>
        <item m="1" x="119"/>
        <item m="1" x="124"/>
        <item m="1" x="127"/>
        <item m="1" x="126"/>
        <item m="1" x="128"/>
        <item m="1" x="129"/>
        <item m="1" x="133"/>
        <item m="1" x="134"/>
        <item m="1" x="135"/>
        <item m="1" x="136"/>
        <item m="1" x="137"/>
        <item m="1" x="138"/>
        <item m="1" x="139"/>
        <item m="1" x="145"/>
        <item m="1" x="146"/>
        <item m="1" x="150"/>
        <item m="1" x="154"/>
        <item m="1" x="155"/>
        <item m="1" x="151"/>
        <item m="1" x="156"/>
        <item m="1" x="158"/>
        <item m="1" x="159"/>
        <item m="1" x="162"/>
        <item m="1" x="163"/>
        <item m="1" x="168"/>
        <item m="1" x="169"/>
        <item m="1" x="173"/>
        <item m="1" x="170"/>
        <item m="1" x="171"/>
        <item m="1" x="174"/>
        <item m="1" x="177"/>
        <item m="1" x="178"/>
        <item m="1" x="189"/>
        <item m="1" x="190"/>
        <item m="1" x="198"/>
        <item m="1" x="202"/>
        <item m="1" x="203"/>
        <item m="1" x="386"/>
        <item m="1" x="387"/>
        <item m="1" x="392"/>
        <item m="1" x="393"/>
        <item m="1" x="394"/>
        <item m="1" x="271"/>
        <item m="1" x="406"/>
        <item m="1" x="407"/>
        <item m="1" x="413"/>
        <item m="1" x="424"/>
        <item m="1" x="295"/>
        <item m="1" x="440"/>
        <item m="1" x="306"/>
        <item m="1" x="269"/>
        <item m="1" x="270"/>
        <item m="1" x="272"/>
        <item m="1" x="273"/>
        <item m="1" x="279"/>
        <item m="1" x="280"/>
        <item m="1" x="281"/>
        <item m="1" x="282"/>
        <item m="1" x="285"/>
        <item m="1" x="286"/>
        <item m="1" x="287"/>
        <item m="1" x="288"/>
        <item m="1" x="289"/>
        <item m="1" x="290"/>
        <item m="1" x="298"/>
        <item m="1" x="294"/>
        <item m="1" x="299"/>
        <item m="1" x="300"/>
        <item m="1" x="305"/>
        <item m="1" x="301"/>
        <item m="1" x="307"/>
        <item m="1" x="310"/>
        <item m="1" x="309"/>
        <item m="1" x="311"/>
        <item m="1" x="312"/>
        <item m="1" x="324"/>
        <item m="1" x="325"/>
        <item m="1" x="326"/>
        <item m="1" x="327"/>
        <item m="1" x="329"/>
        <item m="1" x="334"/>
        <item m="1" x="330"/>
        <item m="1" x="335"/>
        <item m="1" x="336"/>
        <item m="1" x="338"/>
        <item m="1" x="355"/>
        <item m="1" x="368"/>
        <item m="1" x="369"/>
        <item m="1" x="382"/>
        <item m="1" x="377"/>
        <item m="1" x="383"/>
        <item m="1" x="531"/>
        <item m="1" x="634"/>
        <item m="1" x="818"/>
        <item m="1" x="313"/>
        <item m="1" x="912"/>
        <item m="1" x="913"/>
        <item m="1" x="859"/>
        <item m="1" x="880"/>
        <item m="1" x="911"/>
        <item m="1" x="910"/>
        <item m="1" x="623"/>
        <item m="1" x="627"/>
        <item m="1" x="870"/>
        <item m="1" x="901"/>
        <item m="1" x="11"/>
        <item m="1" x="902"/>
        <item m="1" x="903"/>
        <item m="1" x="869"/>
        <item m="1" x="899"/>
        <item m="1" x="897"/>
        <item m="1" x="896"/>
        <item m="1" x="893"/>
        <item m="1" x="888"/>
        <item m="1" x="886"/>
        <item m="1" x="887"/>
        <item m="1" x="882"/>
        <item m="1" x="883"/>
        <item m="1" x="881"/>
        <item m="1" x="878"/>
        <item m="1" x="879"/>
        <item m="1" x="872"/>
        <item m="1" x="868"/>
        <item m="1" x="866"/>
        <item m="1" x="16"/>
        <item m="1" x="860"/>
        <item m="1" x="857"/>
        <item m="1" x="854"/>
        <item m="1" x="847"/>
        <item m="1" x="846"/>
        <item m="1" x="843"/>
        <item m="1" x="844"/>
        <item m="1" x="839"/>
        <item m="1" x="840"/>
        <item m="1" x="838"/>
        <item m="1" x="833"/>
        <item m="1" x="834"/>
        <item m="1" x="835"/>
        <item m="1" x="828"/>
        <item m="1" x="829"/>
        <item m="1" x="830"/>
        <item m="1" x="827"/>
        <item m="1" x="825"/>
        <item m="1" x="826"/>
        <item m="1" x="824"/>
        <item m="1" x="823"/>
        <item m="1" x="815"/>
        <item m="1" x="814"/>
        <item m="1" x="17"/>
        <item m="1" x="12"/>
        <item m="1" x="18"/>
        <item m="1" x="19"/>
        <item m="1" x="20"/>
        <item m="1" x="26"/>
        <item m="1" x="29"/>
        <item m="1" x="30"/>
        <item m="1" x="31"/>
        <item m="1" x="32"/>
        <item m="1" x="33"/>
        <item m="1" x="34"/>
        <item m="1" x="37"/>
        <item m="1" x="38"/>
        <item m="1" x="43"/>
        <item m="1" x="51"/>
        <item m="1" x="59"/>
        <item m="1" x="60"/>
        <item m="1" x="61"/>
        <item m="1" x="68"/>
        <item m="1" x="69"/>
        <item m="1" x="84"/>
        <item m="1" x="85"/>
        <item m="1" x="95"/>
        <item m="1" x="96"/>
        <item m="1" x="152"/>
        <item m="1" x="153"/>
        <item m="1" x="157"/>
        <item m="1" x="160"/>
        <item m="1" x="165"/>
        <item m="1" x="166"/>
        <item m="1" x="172"/>
        <item m="1" x="184"/>
        <item m="1" x="185"/>
        <item m="1" x="197"/>
        <item m="1" x="208"/>
        <item m="1" x="209"/>
        <item m="1" x="234"/>
        <item m="1" x="235"/>
        <item m="1" x="238"/>
        <item m="1" x="239"/>
        <item m="1" x="260"/>
        <item m="1" x="302"/>
        <item m="1" x="308"/>
        <item m="1" x="320"/>
        <item m="1" x="642"/>
        <item m="1" x="643"/>
        <item m="1" x="637"/>
        <item m="1" x="414"/>
        <item m="1" x="546"/>
        <item m="1" x="547"/>
        <item m="1" x="550"/>
        <item m="1" x="553"/>
        <item m="1" x="555"/>
        <item m="1" x="556"/>
        <item m="1" x="560"/>
        <item m="1" x="574"/>
        <item m="1" x="575"/>
        <item m="1" x="576"/>
        <item m="1" x="577"/>
        <item m="1" x="583"/>
        <item m="1" x="584"/>
        <item m="1" x="586"/>
        <item m="1" x="593"/>
        <item m="1" x="594"/>
        <item m="1" x="595"/>
        <item m="1" x="620"/>
        <item m="1" x="621"/>
        <item m="1" x="622"/>
        <item m="1" x="624"/>
        <item m="1" x="625"/>
        <item m="1" x="626"/>
        <item m="1" x="806"/>
        <item m="1" x="339"/>
        <item m="1" x="345"/>
        <item m="1" x="346"/>
        <item m="1" x="356"/>
        <item m="1" x="357"/>
        <item m="1" x="370"/>
        <item m="1" x="378"/>
        <item m="1" x="384"/>
        <item m="1" x="385"/>
        <item m="1" x="395"/>
        <item m="1" x="396"/>
        <item m="1" x="397"/>
        <item m="1" x="403"/>
        <item m="1" x="410"/>
        <item m="1" x="411"/>
        <item m="1" x="415"/>
        <item m="1" x="416"/>
        <item m="1" x="417"/>
        <item m="1" x="425"/>
        <item m="1" x="426"/>
        <item m="1" x="432"/>
        <item m="1" x="441"/>
        <item m="1" x="442"/>
        <item m="1" x="443"/>
        <item m="1" x="456"/>
        <item m="1" x="457"/>
        <item m="1" x="468"/>
        <item m="1" x="476"/>
        <item m="1" x="487"/>
        <item m="1" x="488"/>
        <item m="1" x="489"/>
        <item m="1" x="496"/>
        <item m="1" x="498"/>
        <item m="1" x="499"/>
        <item m="1" x="501"/>
        <item m="1" x="502"/>
        <item m="1" x="503"/>
        <item m="1" x="504"/>
        <item m="1" x="509"/>
        <item m="1" x="523"/>
        <item m="1" x="524"/>
        <item m="1" x="528"/>
        <item m="1" x="532"/>
        <item m="1" x="533"/>
        <item m="1" x="638"/>
        <item m="1" x="537"/>
        <item m="1" x="541"/>
        <item m="1" x="551"/>
        <item m="1" x="510"/>
        <item m="1" x="554"/>
        <item m="1" x="557"/>
        <item m="1" x="561"/>
        <item m="1" x="347"/>
        <item m="1" x="562"/>
        <item m="1" x="567"/>
        <item m="1" x="340"/>
        <item m="1" x="568"/>
        <item m="1" x="458"/>
        <item m="1" x="578"/>
        <item m="1" x="367"/>
        <item m="1" x="581"/>
        <item m="1" x="579"/>
        <item m="1" x="587"/>
        <item m="1" x="389"/>
        <item m="1" x="491"/>
        <item m="1" x="596"/>
        <item m="1" x="597"/>
        <item m="1" x="598"/>
        <item m="1" x="599"/>
        <item m="1" x="604"/>
        <item m="1" x="628"/>
        <item m="1" x="629"/>
        <item m="1" x="630"/>
        <item m="1" x="631"/>
        <item m="1" x="632"/>
        <item m="1" x="633"/>
        <item m="1" x="388"/>
        <item m="1" x="398"/>
        <item m="1" x="399"/>
        <item m="1" x="400"/>
        <item m="1" x="401"/>
        <item m="1" x="402"/>
        <item m="1" x="408"/>
        <item m="1" x="418"/>
        <item m="1" x="412"/>
        <item m="1" x="419"/>
        <item m="1" x="380"/>
        <item m="1" x="427"/>
        <item m="1" x="428"/>
        <item m="1" x="450"/>
        <item m="1" x="451"/>
        <item m="1" x="452"/>
        <item m="1" x="453"/>
        <item m="1" x="459"/>
        <item m="1" x="463"/>
        <item m="1" x="464"/>
        <item m="1" x="465"/>
        <item m="1" x="466"/>
        <item m="1" x="467"/>
        <item m="1" x="469"/>
        <item m="1" x="477"/>
        <item m="1" x="475"/>
        <item m="1" x="490"/>
        <item m="1" x="478"/>
        <item m="1" x="492"/>
        <item m="1" x="493"/>
        <item m="1" x="494"/>
        <item m="1" x="365"/>
        <item m="1" x="505"/>
        <item m="1" x="506"/>
        <item m="1" x="515"/>
        <item m="1" x="516"/>
        <item m="1" x="517"/>
        <item m="1" x="518"/>
        <item m="1" x="519"/>
        <item m="1" x="520"/>
        <item m="1" x="521"/>
        <item m="1" x="525"/>
        <item m="1" x="526"/>
        <item m="1" x="527"/>
        <item m="1" x="529"/>
        <item m="1" x="534"/>
        <item m="1" x="535"/>
        <item m="1" x="348"/>
        <item m="1" x="364"/>
        <item m="1" x="366"/>
        <item m="1" x="371"/>
        <item m="1" x="372"/>
        <item m="1" x="373"/>
        <item m="1" x="374"/>
        <item m="1" x="379"/>
        <item m="1" x="375"/>
        <item m="1" x="376"/>
        <item m="1" x="639"/>
        <item m="1" x="640"/>
        <item m="1" x="650"/>
        <item m="1" x="645"/>
        <item m="1" x="653"/>
        <item m="1" x="661"/>
        <item m="1" x="666"/>
        <item m="1" x="667"/>
        <item m="1" x="673"/>
        <item m="1" x="644"/>
        <item m="1" x="641"/>
        <item m="1" x="646"/>
        <item m="1" x="655"/>
        <item m="1" x="656"/>
        <item m="1" x="657"/>
        <item m="1" x="658"/>
        <item m="1" x="668"/>
        <item m="1" x="662"/>
        <item m="1" x="663"/>
        <item m="1" x="647"/>
        <item m="1" x="648"/>
        <item m="1" x="649"/>
        <item m="1" x="659"/>
        <item m="1" x="660"/>
        <item m="1" x="665"/>
        <item m="1" x="669"/>
        <item m="1" x="670"/>
        <item m="1" x="676"/>
        <item m="1" x="651"/>
        <item m="1" x="652"/>
        <item m="1" x="654"/>
        <item m="1" x="664"/>
        <item m="1" x="671"/>
        <item m="1" x="672"/>
        <item m="1" x="675"/>
        <item m="1" x="674"/>
        <item m="1" x="677"/>
        <item m="1" x="708"/>
        <item x="0"/>
        <item m="1" x="803"/>
        <item m="1" x="678"/>
        <item m="1" x="804"/>
        <item m="1" x="805"/>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9"/>
        <item m="1" x="710"/>
        <item m="1" x="711"/>
        <item m="1" x="712"/>
        <item m="1" x="713"/>
        <item m="1" x="714"/>
        <item m="1" x="774"/>
        <item m="1" x="800"/>
        <item m="1" x="715"/>
        <item m="1" x="801"/>
        <item m="1" x="802"/>
        <item m="1" x="732"/>
        <item m="1" x="716"/>
        <item m="1" x="717"/>
        <item m="1" x="718"/>
        <item m="1" x="719"/>
        <item m="1" x="720"/>
        <item m="1" x="721"/>
        <item m="1" x="722"/>
        <item m="1" x="723"/>
        <item m="1" x="724"/>
        <item m="1" x="725"/>
        <item m="1" x="726"/>
        <item m="1" x="727"/>
        <item m="1" x="728"/>
        <item m="1" x="729"/>
        <item m="1" x="730"/>
        <item m="1" x="731"/>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8"/>
        <item m="1" x="797"/>
        <item m="1" x="796"/>
        <item m="1" x="799"/>
        <item t="default"/>
      </items>
    </pivotField>
    <pivotField showAll="0"/>
    <pivotField showAll="0"/>
    <pivotField showAll="0"/>
    <pivotField showAll="0"/>
    <pivotField showAll="0"/>
    <pivotField axis="axisRow" showAll="0" sortType="ascending">
      <items count="3">
        <item sd="0" m="1" x="1"/>
        <item x="0"/>
        <item t="default"/>
      </items>
    </pivotField>
    <pivotField numFmtId="14" multipleItemSelectionAllowed="1" showAll="0"/>
    <pivotField dataField="1" showAll="0"/>
    <pivotField showAll="0"/>
    <pivotField dataField="1" showAll="0"/>
    <pivotField dataField="1" showAll="0"/>
    <pivotField dragToRow="0" dragToCol="0" dragToPage="0" showAll="0" defaultSubtotal="0"/>
  </pivotFields>
  <rowFields count="2">
    <field x="13"/>
    <field x="7"/>
  </rowFields>
  <rowItems count="3">
    <i>
      <x v="1"/>
    </i>
    <i r="1">
      <x v="791"/>
    </i>
    <i t="grand">
      <x/>
    </i>
  </rowItems>
  <colFields count="1">
    <field x="-2"/>
  </colFields>
  <colItems count="4">
    <i>
      <x/>
    </i>
    <i i="1">
      <x v="1"/>
    </i>
    <i i="2">
      <x v="2"/>
    </i>
    <i i="3">
      <x v="3"/>
    </i>
  </colItems>
  <dataFields count="4">
    <dataField name="Subtotal" fld="2" baseField="7" baseItem="791"/>
    <dataField name="6M Average" fld="15" subtotal="max" baseField="0" baseItem="0" numFmtId="164"/>
    <dataField name="Budget" fld="17" subtotal="max" baseField="0" baseItem="0" numFmtId="164"/>
    <dataField name="Remainder " fld="18" subtotal="max"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F6788B-5FD2-4FE0-B230-A65E68947424}" name="Balances" cacheId="95"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2:B6" firstHeaderRow="1" firstDataRow="1" firstDataCol="1"/>
  <pivotFields count="9">
    <pivotField axis="axisRow" showAll="0">
      <items count="5">
        <item m="1" x="2"/>
        <item m="1" x="3"/>
        <item m="1" x="1"/>
        <item x="0"/>
        <item t="default"/>
      </items>
    </pivotField>
    <pivotField showAll="0"/>
    <pivotField showAll="0"/>
    <pivotField dataField="1" showAll="0"/>
    <pivotField showAll="0"/>
    <pivotField axis="axisRow" showAll="0">
      <items count="17">
        <item m="1" x="4"/>
        <item m="1" x="7"/>
        <item m="1" x="5"/>
        <item m="1" x="6"/>
        <item m="1" x="1"/>
        <item m="1" x="8"/>
        <item m="1" x="2"/>
        <item m="1" x="9"/>
        <item m="1" x="10"/>
        <item m="1" x="3"/>
        <item m="1" x="11"/>
        <item m="1" x="12"/>
        <item m="1" x="13"/>
        <item m="1" x="14"/>
        <item m="1" x="15"/>
        <item x="0"/>
        <item t="default"/>
      </items>
    </pivotField>
    <pivotField showAll="0"/>
    <pivotField showAll="0"/>
    <pivotField axis="axisRow" showAll="0">
      <items count="6">
        <item m="1" x="4"/>
        <item m="1" x="2"/>
        <item m="1" x="3"/>
        <item m="1" x="1"/>
        <item x="0"/>
        <item t="default"/>
      </items>
    </pivotField>
  </pivotFields>
  <rowFields count="3">
    <field x="8"/>
    <field x="0"/>
    <field x="5"/>
  </rowFields>
  <rowItems count="4">
    <i>
      <x v="4"/>
    </i>
    <i r="1">
      <x v="3"/>
    </i>
    <i r="2">
      <x v="15"/>
    </i>
    <i t="grand">
      <x/>
    </i>
  </rowItems>
  <colItems count="1">
    <i/>
  </colItems>
  <dataFields count="1">
    <dataField name="Balance" fld="3" baseField="0" baseItem="0" numFmtId="165"/>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0B1999E-C192-4D6E-A357-3A8281A30273}" name="Custom_Cat" displayName="Custom_Cat" ref="O2:S3" insertRow="1" totalsRowShown="0">
  <autoFilter ref="O2:S3" xr:uid="{70B1999E-C192-4D6E-A357-3A8281A30273}"/>
  <sortState xmlns:xlrd2="http://schemas.microsoft.com/office/spreadsheetml/2017/richdata2" ref="O3:S3">
    <sortCondition ref="O2:O3"/>
  </sortState>
  <tableColumns count="5">
    <tableColumn id="1" xr3:uid="{8EE53AD4-74BB-450B-BBA7-E719F369434A}" name="Name" dataDxfId="12"/>
    <tableColumn id="4" xr3:uid="{7C071C41-2F6C-4EC9-BAE0-2CEE54EEAC16}" name="Category"/>
    <tableColumn id="2" xr3:uid="{44EE2D51-AA64-4501-974E-28CD015C4703}" name="Amount &gt;="/>
    <tableColumn id="5" xr3:uid="{70631E9B-55E5-4E85-8C20-390B772033C9}" name="Amount &lt;="/>
    <tableColumn id="3" xr3:uid="{CDBB198D-C809-4772-BD53-4A15C9417EB4}" name="Custom Categor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9086ABF-3F8B-498E-8D7E-902A21374737}" name="Budgets" displayName="Budgets" ref="J2:M3" insertRow="1" totalsRowShown="0">
  <autoFilter ref="J2:M3" xr:uid="{B9086ABF-3F8B-498E-8D7E-902A21374737}"/>
  <tableColumns count="4">
    <tableColumn id="1" xr3:uid="{B2A52EBE-EEC6-4F3A-91F1-E3C9EAC01850}" name="Custom Category"/>
    <tableColumn id="2" xr3:uid="{19FD8035-C0A0-4EA6-98FE-FC83036CDFB3}" name="Frequency"/>
    <tableColumn id="3" xr3:uid="{3E76EE5D-026A-4A1C-9FC1-2D087985D39B}" name="Amount"/>
    <tableColumn id="4" xr3:uid="{4E10BABF-4253-49AB-9BAF-A7C5EFB2E4C7}" name="Monthly" dataDxfId="11">
      <calculatedColumnFormula>Budgets[[#This Row],[Amount]]*_xlfn.XLOOKUP(Budgets[[#This Row],[Frequency]],Frequency[Frequency],Frequency[Factor],1,0)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8C6035D-88D3-4504-8120-C93ED119E1C6}" name="Accounts" displayName="Accounts" ref="A1:I2" insertRow="1" totalsRowShown="0">
  <autoFilter ref="A1:I2" xr:uid="{B8C6035D-88D3-4504-8120-C93ED119E1C6}"/>
  <tableColumns count="9">
    <tableColumn id="1" xr3:uid="{E817415E-5810-4275-BFC8-50F986936AEB}" name="Institution Name"/>
    <tableColumn id="2" xr3:uid="{63838669-4904-47A5-B8DB-D66F662D45C1}" name="Credential ID"/>
    <tableColumn id="3" xr3:uid="{C41EA625-D272-4F2C-9567-578839842085}" name="Next Cursor"/>
    <tableColumn id="4" xr3:uid="{53C1CFF1-63E7-4237-B273-020ACC15A31E}" name="Balance"/>
    <tableColumn id="5" xr3:uid="{6354D70B-B852-4903-8367-29D6D6217BAD}" name="Mask"/>
    <tableColumn id="6" xr3:uid="{E48A61F7-343F-4D9C-8353-7952884624E5}" name="Name"/>
    <tableColumn id="7" xr3:uid="{9A6C20A3-28A7-4C06-ADCC-691284C24282}" name="Plaid Account ID"/>
    <tableColumn id="8" xr3:uid="{E768C121-D3C8-4A2D-A04A-65B344DAFBDE}" name="Subtype"/>
    <tableColumn id="9" xr3:uid="{81F27A10-E126-47B0-998F-9114ADAD3036}" name="Typ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8939E6E-1704-48F1-9B18-080A81C0C08B}" name="Transactions" displayName="Transactions" ref="A1:S2" insertRow="1" totalsRowShown="0">
  <autoFilter ref="A1:S2" xr:uid="{58939E6E-1704-48F1-9B18-080A81C0C08B}"/>
  <tableColumns count="19">
    <tableColumn id="1" xr3:uid="{75950B63-475E-4612-B000-648E38C5D64A}" name="Account ID"/>
    <tableColumn id="2" xr3:uid="{015AB292-B63E-4127-908B-B83109347005}" name="Action"/>
    <tableColumn id="3" xr3:uid="{60027C44-9E59-4DB0-B88F-9B6DA3CA5DD7}" name="Amount"/>
    <tableColumn id="4" xr3:uid="{A7AE68AA-917F-4086-9530-F47A48035B66}" name="Categories"/>
    <tableColumn id="5" xr3:uid="{0A956234-9750-47F9-977A-53532A40E100}" name="Datetime" dataDxfId="10"/>
    <tableColumn id="6" xr3:uid="{3B6A9784-D6B0-4E11-93BC-A553C1D4014F}" name="ISO Currency Code"/>
    <tableColumn id="7" xr3:uid="{CC42B52C-9820-4D13-B1AD-2CBDAEB8C889}" name="Merchant Name"/>
    <tableColumn id="8" xr3:uid="{0D7C1D3A-C61F-4A4A-A8E7-64942EDE9396}" name="Name"/>
    <tableColumn id="9" xr3:uid="{E9BBD46B-D129-4D1F-80D4-FF3220CB3640}" name="Payment Channel"/>
    <tableColumn id="10" xr3:uid="{80A3362E-38B8-4B3B-80E9-E9362305FFDB}" name="Pending"/>
    <tableColumn id="11" xr3:uid="{2A265A5D-9972-4FC4-863C-9C93E1834FD3}" name="Transaction ID"/>
    <tableColumn id="12" xr3:uid="{01C9733F-98F6-4B87-A70C-EB15790E500F}" name="Account Name" dataDxfId="9">
      <calculatedColumnFormula>IFERROR(_xlfn.XLOOKUP(Transactions[[#This Row],[Account ID]], Accounts[Plaid Account ID], Accounts[Name]),"Account Not Found")</calculatedColumnFormula>
    </tableColumn>
    <tableColumn id="13" xr3:uid="{FE773CA3-670F-47C2-B375-C4CD4445F7CC}" name="Bank" dataDxfId="8">
      <calculatedColumnFormula>_xlfn.XLOOKUP(Transactions[[#This Row],[Account ID]],Accounts[Plaid Account ID],Accounts[Institution Name],"Not Found",0)</calculatedColumnFormula>
    </tableColumn>
    <tableColumn id="15" xr3:uid="{286CDD26-0BD2-4E48-8882-0EA9E162D9CA}" name="Custom Category" dataDxfId="7">
      <calculatedColumnFormula array="1">_xlfn.LET(
    _xlpm.customCatName, Custom_Cat[Name],
    _xlpm.customCatCategory, Custom_Cat[Category],
    _xlpm.customCatAmountMin, Custom_Cat[Amount &gt;=],
    _xlpm.customCatAmountMax, Custom_Cat[Amount &lt;=],
    _xlpm.customCatResult, Custom_Cat[Custom Category],
    _xlpm.transName, UPPER(Transactions[[#This Row],[Name]]),
    _xlpm.transCategory, UPPER(Transactions[[#This Row],[Categories]]),
    _xlpm.transAmount, -Transactions[[#This Row],[Amount]],
    _xlpm.namePresent, LEN(_xlpm.customCatName) &gt; 2,
    _xlpm.categoryPresent, LEN(_xlpm.customCatCategory) &gt; 2,
    _xlpm.minAmountPresent, NOT(ISBLANK(_xlpm.customCatAmountMin)),
    _xlpm.maxAmountPresent, NOT(ISBLANK(_xlpm.customCatAmountMax)),
    _xlpm.nameMatches, IF(_xlpm.namePresent, ISNUMBER(SEARCH(UPPER(_xlpm.customCatName), _xlpm.transName)), TRUE),
    _xlpm.categoryMatches, IF(_xlpm.categoryPresent, ISNUMBER(SEARCH(UPPER(_xlpm.customCatCategory), _xlpm.transCategory)), TRUE),
    _xlpm.minAmountMatches, IF(_xlpm.minAmountPresent, _xlpm.transAmount &gt;= _xlpm.customCatAmountMin, TRUE),
    _xlpm.maxAmountMatches, IF(_xlpm.maxAmountPresent, _xlpm.transAmount &lt;= _xlpm.customCatAmountMax, TRUE),
    _xlpm.validRule, OR(_xlpm.namePresent, _xlpm.categoryPresent, _xlpm.minAmountPresent, _xlpm.maxAmountPresent),
    _xlpm.fullMatch, _xlpm.nameMatches * _xlpm.categoryMatches * _xlpm.minAmountMatches * _xlpm.maxAmountMatches * _xlpm.validRule,
    _xlpm.nameAndCategoryMatch, _xlpm.nameMatches * _xlpm.categoryMatches * _xlpm.namePresent * _xlpm.categoryPresent * _xlpm.minAmountMatches * _xlpm.maxAmountMatches,
    _xlpm.nameOnlyMatch, _xlpm.nameMatches * _xlpm.namePresent * (NOT(_xlpm.categoryPresent)) * _xlpm.minAmountMatches * _xlpm.maxAmountMatches * _xlpm.validRule,
    _xlpm.categoryOnlyMatch, _xlpm.categoryMatches * _xlpm.categoryPresent * (NOT(_xlpm.namePresent)) * _xlpm.minAmountMatches * _xlpm.maxAmountMatches * _xlpm.validRule,
    _xlpm.lastNameAndCategoryMatch, IFERROR(LOOKUP(2, 1/(_xlpm.nameAndCategoryMatch), _xlpm.customCatResult), ""),
    _xlpm.lastNameOnlyMatch, IFERROR(LOOKUP(2, 1/(_xlpm.nameOnlyMatch), _xlpm.customCatResult), ""),
    _xlpm.lastCategoryOnlyMatch, IFERROR(LOOKUP(2, 1/(_xlpm.categoryOnlyMatch), _xlpm.customCatResult), ""),
    _xlpm.lastFullMatch, IFERROR(LOOKUP(2, 1/(_xlpm.fullMatch), _xlpm.customCatResult), ""),
    IF(_xlpm.lastNameAndCategoryMatch &lt;&gt; "", _xlpm.lastNameAndCategoryMatch,
       IF(_xlpm.lastNameOnlyMatch &lt;&gt; "", _xlpm.lastNameOnlyMatch,
          IF(_xlpm.lastCategoryOnlyMatch &lt;&gt; "", _xlpm.lastCategoryOnlyMatch,
             IF(_xlpm.lastFullMatch &lt;&gt; "", _xlpm.lastFullMatch, Transactions[[#This Row],[Categories]]))))
)</calculatedColumnFormula>
    </tableColumn>
    <tableColumn id="16" xr3:uid="{ACD4AC9F-2D80-4D87-893F-2F88BE29DED1}" name="Month" dataDxfId="6">
      <calculatedColumnFormula>DATE(YEAR(Transactions[[#This Row],[Datetime]]),MONTH(Transactions[[#This Row],[Datetime]]),1)</calculatedColumnFormula>
    </tableColumn>
    <tableColumn id="18" xr3:uid="{257B561A-8F60-4966-9B6C-85883D245813}" name="6M AVG" dataDxfId="5">
      <calculatedColumnFormula>IFERROR(ABS(AVERAGEIFS(Transactions[Month''s Total],Transactions[Datetime],"&gt;="&amp;EDATE(Transactions[[#This Row],[Month]],-6),Transactions[Datetime],"&lt;"&amp;Transactions[[#This Row],[Month]],Transactions[Custom Category],Transactions[[#This Row],[Custom Category]])),0)</calculatedColumnFormula>
    </tableColumn>
    <tableColumn id="19" xr3:uid="{074F7339-2EC5-456F-9B13-F09A0BFEF7F7}" name="Month's Total" dataDxfId="4">
      <calculatedColumnFormula>ABS(SUMIFS(Transactions[Amount],Transactions[Month],Transactions[[#This Row],[Month]],Transactions[Custom Category],Transactions[[#This Row],[Custom Category]]))</calculatedColumnFormula>
    </tableColumn>
    <tableColumn id="20" xr3:uid="{070609DD-6FA1-4503-9206-287C23586151}" name="Budget" dataDxfId="3">
      <calculatedColumnFormula>IF(COUNTIF(Budgets[Custom Category],Transactions[[#This Row],[Custom Category]])=0,Transactions[[#This Row],[6M AVG]],_xlfn.XLOOKUP(Transactions[[#This Row],[Custom Category]],Budgets[Custom Category],Budgets[Monthly],0,0))</calculatedColumnFormula>
    </tableColumn>
    <tableColumn id="21" xr3:uid="{4F760DC2-104B-49F7-97CC-5362B5FBA2C0}" name="Remainder" dataDxfId="2">
      <calculatedColumnFormula>ABS(Transactions[[#This Row],[Budget]])-ABS(SUMIFS(Transactions[Amount],Transactions[Custom Category],Transactions[[#This Row],[Custom Category]],Transactions[Month],Transactions[[#This Row],[Month]]))</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02CC3D-218A-4263-BF64-FF592BDF8508}" name="Frequency" displayName="Frequency" ref="A1:B8" totalsRowShown="0">
  <autoFilter ref="A1:B8" xr:uid="{5602CC3D-218A-4263-BF64-FF592BDF8508}"/>
  <tableColumns count="2">
    <tableColumn id="1" xr3:uid="{54A00753-1761-4F8A-9AE4-D02FA068C43E}" name="Frequency"/>
    <tableColumn id="2" xr3:uid="{D36224F3-8F84-435C-881F-0BB26C269205}" name="Factor"/>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omments" Target="../comments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781C-FB7B-4F9A-9332-4EB919B495B4}">
  <sheetPr codeName="Sheet1"/>
  <dimension ref="A1:S6"/>
  <sheetViews>
    <sheetView tabSelected="1" zoomScaleNormal="100" workbookViewId="0">
      <selection activeCell="E4" sqref="E4"/>
    </sheetView>
  </sheetViews>
  <sheetFormatPr defaultRowHeight="15" x14ac:dyDescent="0.25"/>
  <cols>
    <col min="1" max="1" width="41.7109375" customWidth="1"/>
    <col min="2" max="2" width="13.5703125" customWidth="1"/>
    <col min="4" max="4" width="38.28515625" customWidth="1"/>
    <col min="5" max="8" width="9.7109375" customWidth="1"/>
    <col min="9" max="9" width="11.28515625" bestFit="1" customWidth="1"/>
    <col min="10" max="10" width="24.28515625" customWidth="1"/>
    <col min="11" max="11" width="15.85546875" customWidth="1"/>
    <col min="12" max="12" width="10.28515625" customWidth="1"/>
    <col min="13" max="13" width="13.85546875" hidden="1" customWidth="1"/>
    <col min="15" max="15" width="20" customWidth="1"/>
    <col min="16" max="16" width="19.28515625" customWidth="1"/>
    <col min="17" max="17" width="12.28515625" customWidth="1"/>
    <col min="18" max="18" width="13" customWidth="1"/>
    <col min="19" max="19" width="23" customWidth="1"/>
  </cols>
  <sheetData>
    <row r="1" spans="1:19" ht="21" x14ac:dyDescent="0.35">
      <c r="A1" s="8" t="s">
        <v>0</v>
      </c>
      <c r="D1" s="8" t="s">
        <v>1</v>
      </c>
      <c r="G1" s="9"/>
      <c r="H1" s="9"/>
      <c r="I1" s="10"/>
      <c r="J1" s="8" t="s">
        <v>3</v>
      </c>
      <c r="N1" s="8"/>
      <c r="O1" s="8" t="s">
        <v>4</v>
      </c>
    </row>
    <row r="2" spans="1:19" x14ac:dyDescent="0.25">
      <c r="A2" s="2" t="s">
        <v>5</v>
      </c>
      <c r="B2" t="s">
        <v>6</v>
      </c>
      <c r="D2" s="2" t="s">
        <v>36</v>
      </c>
      <c r="E2" t="s">
        <v>47</v>
      </c>
      <c r="F2" t="s">
        <v>7</v>
      </c>
      <c r="G2" t="s">
        <v>8</v>
      </c>
      <c r="H2" t="s">
        <v>46</v>
      </c>
      <c r="J2" t="s">
        <v>9</v>
      </c>
      <c r="K2" t="s">
        <v>10</v>
      </c>
      <c r="L2" t="s">
        <v>11</v>
      </c>
      <c r="M2" t="s">
        <v>12</v>
      </c>
      <c r="O2" t="s">
        <v>13</v>
      </c>
      <c r="P2" t="s">
        <v>36</v>
      </c>
      <c r="Q2" t="s">
        <v>37</v>
      </c>
      <c r="R2" t="s">
        <v>38</v>
      </c>
      <c r="S2" t="s">
        <v>9</v>
      </c>
    </row>
    <row r="3" spans="1:19" x14ac:dyDescent="0.25">
      <c r="A3" s="3" t="s">
        <v>48</v>
      </c>
      <c r="B3" s="7"/>
      <c r="D3" s="3" t="s">
        <v>48</v>
      </c>
      <c r="E3" s="11"/>
      <c r="F3" s="5"/>
      <c r="G3" s="5"/>
      <c r="H3" s="5"/>
      <c r="M3" s="11"/>
      <c r="O3" s="12"/>
    </row>
    <row r="4" spans="1:19" x14ac:dyDescent="0.25">
      <c r="A4" s="4" t="s">
        <v>48</v>
      </c>
      <c r="B4" s="7"/>
      <c r="D4" s="4" t="s">
        <v>48</v>
      </c>
      <c r="E4" s="11"/>
      <c r="F4" s="5"/>
      <c r="G4" s="5"/>
      <c r="H4" s="5"/>
    </row>
    <row r="5" spans="1:19" x14ac:dyDescent="0.25">
      <c r="A5" s="6" t="s">
        <v>48</v>
      </c>
      <c r="B5" s="7"/>
      <c r="D5" s="3" t="s">
        <v>14</v>
      </c>
      <c r="E5" s="11"/>
      <c r="F5" s="5"/>
      <c r="G5" s="5"/>
      <c r="H5" s="5"/>
    </row>
    <row r="6" spans="1:19" x14ac:dyDescent="0.25">
      <c r="A6" s="3" t="s">
        <v>14</v>
      </c>
      <c r="B6" s="7"/>
    </row>
  </sheetData>
  <conditionalFormatting sqref="A6">
    <cfRule type="expression" dxfId="1" priority="3">
      <formula>$D6="Total"</formula>
    </cfRule>
    <cfRule type="expression" dxfId="0" priority="4">
      <formula>$D6&lt;&gt;""</formula>
    </cfRule>
  </conditionalFormatting>
  <pageMargins left="0.7" right="0.7" top="0.75" bottom="0.75" header="0.3" footer="0.3"/>
  <pageSetup orientation="portrait" horizontalDpi="0" verticalDpi="0" r:id="rId3"/>
  <legacyDrawing r:id="rId4"/>
  <tableParts count="2">
    <tablePart r:id="rId5"/>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How frequently resets" prompt="Select the frequency at which this budget will reset" xr:uid="{8BCA90D3-58A3-44F2-B76A-4AA94A71A1C1}">
          <x14:formula1>
            <xm:f>Conf!$A$2:$A$8</xm:f>
          </x14:formula1>
          <xm:sqref>K3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71C5B-3E48-4A86-BDFD-C7A5F1EA1E13}">
  <sheetPr codeName="Sheet2"/>
  <dimension ref="A1:I1"/>
  <sheetViews>
    <sheetView workbookViewId="0">
      <selection activeCell="C28" sqref="C28"/>
    </sheetView>
  </sheetViews>
  <sheetFormatPr defaultRowHeight="15" x14ac:dyDescent="0.25"/>
  <cols>
    <col min="1" max="1" width="19.28515625" customWidth="1"/>
    <col min="2" max="2" width="9.85546875" customWidth="1"/>
    <col min="3" max="3" width="53.140625" customWidth="1"/>
    <col min="4" max="5" width="9.85546875" customWidth="1"/>
    <col min="6" max="6" width="30.140625" customWidth="1"/>
    <col min="7" max="9" width="9.85546875" customWidth="1"/>
  </cols>
  <sheetData>
    <row r="1" spans="1:9" x14ac:dyDescent="0.25">
      <c r="A1" t="s">
        <v>15</v>
      </c>
      <c r="B1" t="s">
        <v>16</v>
      </c>
      <c r="C1" t="s">
        <v>17</v>
      </c>
      <c r="D1" t="s">
        <v>6</v>
      </c>
      <c r="E1" t="s">
        <v>18</v>
      </c>
      <c r="F1" t="s">
        <v>13</v>
      </c>
      <c r="G1" t="s">
        <v>19</v>
      </c>
      <c r="H1" t="s">
        <v>20</v>
      </c>
      <c r="I1" t="s">
        <v>21</v>
      </c>
    </row>
  </sheetData>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5EC2D-D774-49D7-9278-5481AB233372}">
  <sheetPr codeName="Sheet3"/>
  <dimension ref="A1:S2"/>
  <sheetViews>
    <sheetView workbookViewId="0">
      <selection activeCell="D2" sqref="D2"/>
    </sheetView>
  </sheetViews>
  <sheetFormatPr defaultRowHeight="15" x14ac:dyDescent="0.25"/>
  <cols>
    <col min="1" max="3" width="9.85546875" customWidth="1"/>
    <col min="4" max="4" width="38" customWidth="1"/>
    <col min="5" max="5" width="14.28515625" customWidth="1"/>
    <col min="6" max="7" width="9.85546875" customWidth="1"/>
    <col min="8" max="8" width="49.28515625" customWidth="1"/>
    <col min="9" max="9" width="9.85546875" customWidth="1"/>
    <col min="10" max="10" width="10.85546875" customWidth="1"/>
    <col min="11" max="11" width="36.42578125" customWidth="1"/>
    <col min="12" max="12" width="40.28515625" customWidth="1"/>
    <col min="13" max="13" width="16" customWidth="1"/>
    <col min="14" max="14" width="30.5703125" customWidth="1"/>
    <col min="15" max="15" width="10.42578125" bestFit="1" customWidth="1"/>
    <col min="16" max="16" width="8" customWidth="1"/>
    <col min="17" max="17" width="10.28515625" customWidth="1"/>
    <col min="18" max="19" width="8" customWidth="1"/>
  </cols>
  <sheetData>
    <row r="1" spans="1:19" x14ac:dyDescent="0.25">
      <c r="A1" t="s">
        <v>22</v>
      </c>
      <c r="B1" t="s">
        <v>23</v>
      </c>
      <c r="C1" t="s">
        <v>11</v>
      </c>
      <c r="D1" t="s">
        <v>24</v>
      </c>
      <c r="E1" t="s">
        <v>25</v>
      </c>
      <c r="F1" t="s">
        <v>26</v>
      </c>
      <c r="G1" t="s">
        <v>27</v>
      </c>
      <c r="H1" t="s">
        <v>13</v>
      </c>
      <c r="I1" t="s">
        <v>28</v>
      </c>
      <c r="J1" t="s">
        <v>29</v>
      </c>
      <c r="K1" t="s">
        <v>30</v>
      </c>
      <c r="L1" t="s">
        <v>31</v>
      </c>
      <c r="M1" t="s">
        <v>32</v>
      </c>
      <c r="N1" t="s">
        <v>9</v>
      </c>
      <c r="O1" t="s">
        <v>2</v>
      </c>
      <c r="P1" t="s">
        <v>33</v>
      </c>
      <c r="Q1" t="s">
        <v>34</v>
      </c>
      <c r="R1" t="s">
        <v>8</v>
      </c>
      <c r="S1" t="s">
        <v>45</v>
      </c>
    </row>
    <row r="2" spans="1:19" x14ac:dyDescent="0.25">
      <c r="E2" s="1"/>
      <c r="L2" s="11"/>
      <c r="M2" s="11"/>
      <c r="N2" s="11"/>
      <c r="O2" s="1"/>
      <c r="P2" s="11"/>
      <c r="Q2" s="11"/>
      <c r="R2" s="11"/>
      <c r="S2" s="11"/>
    </row>
  </sheetData>
  <pageMargins left="0.7" right="0.7" top="0.75" bottom="0.75" header="0.3" footer="0.3"/>
  <pageSetup orientation="portrait" horizontalDpi="0"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3B9089-12FB-4E46-9645-CCADE96325FB}">
  <sheetPr codeName="Sheet4"/>
  <dimension ref="A1:B8"/>
  <sheetViews>
    <sheetView workbookViewId="0">
      <selection activeCell="G11" sqref="G11"/>
    </sheetView>
  </sheetViews>
  <sheetFormatPr defaultRowHeight="15" x14ac:dyDescent="0.25"/>
  <cols>
    <col min="1" max="1" width="11.7109375" customWidth="1"/>
    <col min="2" max="2" width="8" customWidth="1"/>
  </cols>
  <sheetData>
    <row r="1" spans="1:2" x14ac:dyDescent="0.25">
      <c r="A1" t="s">
        <v>10</v>
      </c>
      <c r="B1" t="s">
        <v>35</v>
      </c>
    </row>
    <row r="2" spans="1:2" x14ac:dyDescent="0.25">
      <c r="A2" t="s">
        <v>39</v>
      </c>
      <c r="B2">
        <v>30</v>
      </c>
    </row>
    <row r="3" spans="1:2" x14ac:dyDescent="0.25">
      <c r="A3" t="s">
        <v>40</v>
      </c>
      <c r="B3">
        <v>4</v>
      </c>
    </row>
    <row r="4" spans="1:2" x14ac:dyDescent="0.25">
      <c r="A4" t="s">
        <v>41</v>
      </c>
      <c r="B4">
        <v>2</v>
      </c>
    </row>
    <row r="5" spans="1:2" x14ac:dyDescent="0.25">
      <c r="A5" t="s">
        <v>12</v>
      </c>
      <c r="B5">
        <v>1</v>
      </c>
    </row>
    <row r="6" spans="1:2" x14ac:dyDescent="0.25">
      <c r="A6" t="s">
        <v>42</v>
      </c>
      <c r="B6">
        <f>1/3</f>
        <v>0.33333333333333331</v>
      </c>
    </row>
    <row r="7" spans="1:2" x14ac:dyDescent="0.25">
      <c r="A7" t="s">
        <v>43</v>
      </c>
      <c r="B7">
        <f>1/6</f>
        <v>0.16666666666666666</v>
      </c>
    </row>
    <row r="8" spans="1:2" x14ac:dyDescent="0.25">
      <c r="A8" t="s">
        <v>44</v>
      </c>
      <c r="B8">
        <f>1/12</f>
        <v>8.3333333333333329E-2</v>
      </c>
    </row>
  </sheetData>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Accounts</vt:lpstr>
      <vt:lpstr>Transactions</vt:lpstr>
      <vt:lpstr>Conf</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Manuel R Avila</dc:creator>
  <cp:keywords/>
  <dc:description/>
  <cp:lastModifiedBy>Manuel R Avila</cp:lastModifiedBy>
  <cp:revision/>
  <cp:lastPrinted>2024-10-02T18:43:31Z</cp:lastPrinted>
  <dcterms:created xsi:type="dcterms:W3CDTF">2024-08-07T21:31:20Z</dcterms:created>
  <dcterms:modified xsi:type="dcterms:W3CDTF">2024-11-04T16:31:55Z</dcterms:modified>
  <cp:category/>
  <cp:contentStatus/>
</cp:coreProperties>
</file>