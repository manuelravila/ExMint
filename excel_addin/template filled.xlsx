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9646cce972b31/Intel/ExMint/excel_addin/"/>
    </mc:Choice>
  </mc:AlternateContent>
  <xr:revisionPtr revIDLastSave="866" documentId="8_{EEF1D3CE-E946-4840-BA7D-D6870D104438}" xr6:coauthVersionLast="47" xr6:coauthVersionMax="47" xr10:uidLastSave="{A4E389F8-F040-4AA7-80DC-AC41F5F7E455}"/>
  <bookViews>
    <workbookView xWindow="-120" yWindow="-120" windowWidth="29040" windowHeight="15720" tabRatio="537" xr2:uid="{00000000-000D-0000-FFFF-FFFF00000000}"/>
  </bookViews>
  <sheets>
    <sheet name="Dashboard" sheetId="1" r:id="rId1"/>
    <sheet name="Accounts" sheetId="2" r:id="rId2"/>
    <sheet name="Transactions" sheetId="3" r:id="rId3"/>
    <sheet name="Conf" sheetId="5" r:id="rId4"/>
  </sheets>
  <definedNames>
    <definedName name="Sel_Month">Dashboard!$D$2</definedName>
    <definedName name="Unique_Months">OFFSET(Conf!$D$1, 0, 0, COUNTA(Conf!$D:$D), 1)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3" l="1" a="1"/>
  <c r="O2" i="3" s="1"/>
  <c r="O3" i="3" a="1"/>
  <c r="O3" i="3" s="1"/>
  <c r="O4" i="3" a="1"/>
  <c r="O4" i="3" s="1"/>
  <c r="O5" i="3" a="1"/>
  <c r="O5" i="3" s="1"/>
  <c r="O6" i="3" a="1"/>
  <c r="O6" i="3" s="1"/>
  <c r="O7" i="3" a="1"/>
  <c r="O7" i="3" s="1"/>
  <c r="O8" i="3" a="1"/>
  <c r="O8" i="3" s="1"/>
  <c r="O9" i="3" a="1"/>
  <c r="O9" i="3" s="1"/>
  <c r="O10" i="3" a="1"/>
  <c r="O10" i="3" s="1"/>
  <c r="O11" i="3" a="1"/>
  <c r="O11" i="3" s="1"/>
  <c r="O12" i="3" a="1"/>
  <c r="O12" i="3" s="1"/>
  <c r="O13" i="3" a="1"/>
  <c r="O13" i="3" s="1"/>
  <c r="O14" i="3" a="1"/>
  <c r="O14" i="3" s="1"/>
  <c r="O15" i="3" a="1"/>
  <c r="O15" i="3" s="1"/>
  <c r="O16" i="3" a="1"/>
  <c r="O16" i="3" s="1"/>
  <c r="O17" i="3" a="1"/>
  <c r="O17" i="3" s="1"/>
  <c r="O18" i="3" a="1"/>
  <c r="O18" i="3" s="1"/>
  <c r="O19" i="3" a="1"/>
  <c r="O19" i="3" s="1"/>
  <c r="O20" i="3" a="1"/>
  <c r="O20" i="3" s="1"/>
  <c r="O21" i="3" a="1"/>
  <c r="O21" i="3" s="1"/>
  <c r="O22" i="3" a="1"/>
  <c r="O22" i="3" s="1"/>
  <c r="O23" i="3" a="1"/>
  <c r="O23" i="3" s="1"/>
  <c r="O24" i="3" a="1"/>
  <c r="O24" i="3" s="1"/>
  <c r="O25" i="3" a="1"/>
  <c r="O25" i="3" s="1"/>
  <c r="O26" i="3" a="1"/>
  <c r="O26" i="3" s="1"/>
  <c r="O27" i="3" a="1"/>
  <c r="O27" i="3" s="1"/>
  <c r="O28" i="3" a="1"/>
  <c r="O28" i="3" s="1"/>
  <c r="O29" i="3" a="1"/>
  <c r="O29" i="3" s="1"/>
  <c r="O30" i="3" a="1"/>
  <c r="O30" i="3" s="1"/>
  <c r="O31" i="3" a="1"/>
  <c r="O31" i="3" s="1"/>
  <c r="O32" i="3" a="1"/>
  <c r="O32" i="3" s="1"/>
  <c r="O33" i="3" a="1"/>
  <c r="O33" i="3" s="1"/>
  <c r="O34" i="3" a="1"/>
  <c r="O34" i="3" s="1"/>
  <c r="O35" i="3" a="1"/>
  <c r="O35" i="3" s="1"/>
  <c r="O36" i="3" a="1"/>
  <c r="O36" i="3" s="1"/>
  <c r="O37" i="3" a="1"/>
  <c r="O37" i="3" s="1"/>
  <c r="O38" i="3" a="1"/>
  <c r="O38" i="3" s="1"/>
  <c r="O39" i="3" a="1"/>
  <c r="O39" i="3" s="1"/>
  <c r="O40" i="3" a="1"/>
  <c r="O40" i="3" s="1"/>
  <c r="O41" i="3" a="1"/>
  <c r="O41" i="3" s="1"/>
  <c r="O42" i="3" a="1"/>
  <c r="O42" i="3" s="1"/>
  <c r="O43" i="3" a="1"/>
  <c r="O43" i="3" s="1"/>
  <c r="O44" i="3" a="1"/>
  <c r="O44" i="3" s="1"/>
  <c r="O45" i="3" a="1"/>
  <c r="O45" i="3" s="1"/>
  <c r="O46" i="3" a="1"/>
  <c r="O46" i="3" s="1"/>
  <c r="O47" i="3" a="1"/>
  <c r="O47" i="3" s="1"/>
  <c r="O48" i="3" a="1"/>
  <c r="O48" i="3" s="1"/>
  <c r="O49" i="3" a="1"/>
  <c r="O49" i="3" s="1"/>
  <c r="O50" i="3" a="1"/>
  <c r="O50" i="3" s="1"/>
  <c r="O51" i="3" a="1"/>
  <c r="O51" i="3" s="1"/>
  <c r="O52" i="3" a="1"/>
  <c r="O52" i="3" s="1"/>
  <c r="O53" i="3" a="1"/>
  <c r="O53" i="3" s="1"/>
  <c r="O54" i="3" a="1"/>
  <c r="O54" i="3" s="1"/>
  <c r="O55" i="3" a="1"/>
  <c r="O55" i="3" s="1"/>
  <c r="O56" i="3" a="1"/>
  <c r="O56" i="3" s="1"/>
  <c r="O57" i="3" a="1"/>
  <c r="O57" i="3" s="1"/>
  <c r="O58" i="3" a="1"/>
  <c r="O58" i="3" s="1"/>
  <c r="O59" i="3" a="1"/>
  <c r="O59" i="3" s="1"/>
  <c r="O60" i="3" a="1"/>
  <c r="O60" i="3" s="1"/>
  <c r="O61" i="3" a="1"/>
  <c r="O61" i="3" s="1"/>
  <c r="O62" i="3" a="1"/>
  <c r="O62" i="3" s="1"/>
  <c r="O63" i="3" a="1"/>
  <c r="O63" i="3" s="1"/>
  <c r="O64" i="3" a="1"/>
  <c r="O64" i="3" s="1"/>
  <c r="O65" i="3" a="1"/>
  <c r="O65" i="3" s="1"/>
  <c r="O66" i="3" a="1"/>
  <c r="O66" i="3" s="1"/>
  <c r="O67" i="3" a="1"/>
  <c r="O67" i="3" s="1"/>
  <c r="O68" i="3" a="1"/>
  <c r="O68" i="3" s="1"/>
  <c r="O69" i="3" a="1"/>
  <c r="O69" i="3" s="1"/>
  <c r="O70" i="3" a="1"/>
  <c r="O70" i="3" s="1"/>
  <c r="O71" i="3" a="1"/>
  <c r="O71" i="3" s="1"/>
  <c r="O72" i="3" a="1"/>
  <c r="O72" i="3" s="1"/>
  <c r="O73" i="3" a="1"/>
  <c r="O73" i="3" s="1"/>
  <c r="O74" i="3" a="1"/>
  <c r="O74" i="3" s="1"/>
  <c r="O75" i="3" a="1"/>
  <c r="O75" i="3" s="1"/>
  <c r="O76" i="3" a="1"/>
  <c r="O76" i="3" s="1"/>
  <c r="O77" i="3" a="1"/>
  <c r="O77" i="3" s="1"/>
  <c r="O78" i="3" a="1"/>
  <c r="O78" i="3" s="1"/>
  <c r="O79" i="3" a="1"/>
  <c r="O79" i="3" s="1"/>
  <c r="O80" i="3" a="1"/>
  <c r="O80" i="3" s="1"/>
  <c r="O81" i="3" a="1"/>
  <c r="O81" i="3" s="1"/>
  <c r="O82" i="3" a="1"/>
  <c r="O82" i="3" s="1"/>
  <c r="O83" i="3" a="1"/>
  <c r="O83" i="3" s="1"/>
  <c r="O84" i="3" a="1"/>
  <c r="O84" i="3" s="1"/>
  <c r="O85" i="3" a="1"/>
  <c r="O85" i="3" s="1"/>
  <c r="O86" i="3" a="1"/>
  <c r="O86" i="3" s="1"/>
  <c r="O87" i="3" a="1"/>
  <c r="O87" i="3" s="1"/>
  <c r="O88" i="3" a="1"/>
  <c r="O88" i="3" s="1"/>
  <c r="O89" i="3" a="1"/>
  <c r="O89" i="3" s="1"/>
  <c r="O90" i="3" a="1"/>
  <c r="O90" i="3" s="1"/>
  <c r="O91" i="3" a="1"/>
  <c r="O91" i="3" s="1"/>
  <c r="O92" i="3" a="1"/>
  <c r="O92" i="3" s="1"/>
  <c r="O93" i="3" a="1"/>
  <c r="O93" i="3" s="1"/>
  <c r="O94" i="3" a="1"/>
  <c r="O94" i="3" s="1"/>
  <c r="O95" i="3" a="1"/>
  <c r="O95" i="3" s="1"/>
  <c r="O96" i="3" a="1"/>
  <c r="O96" i="3" s="1"/>
  <c r="O97" i="3" a="1"/>
  <c r="O97" i="3" s="1"/>
  <c r="O98" i="3" a="1"/>
  <c r="O98" i="3" s="1"/>
  <c r="O99" i="3" a="1"/>
  <c r="O99" i="3" s="1"/>
  <c r="O100" i="3" a="1"/>
  <c r="O100" i="3" s="1"/>
  <c r="O101" i="3" a="1"/>
  <c r="O101" i="3" s="1"/>
  <c r="O102" i="3" a="1"/>
  <c r="O102" i="3" s="1"/>
  <c r="O103" i="3" a="1"/>
  <c r="O103" i="3" s="1"/>
  <c r="O104" i="3" a="1"/>
  <c r="O104" i="3" s="1"/>
  <c r="O105" i="3" a="1"/>
  <c r="O105" i="3" s="1"/>
  <c r="O106" i="3" a="1"/>
  <c r="O106" i="3"/>
  <c r="O107" i="3" a="1"/>
  <c r="O107" i="3" s="1"/>
  <c r="O108" i="3" a="1"/>
  <c r="O108" i="3" s="1"/>
  <c r="O109" i="3" a="1"/>
  <c r="O109" i="3" s="1"/>
  <c r="O110" i="3" a="1"/>
  <c r="O110" i="3" s="1"/>
  <c r="O111" i="3" a="1"/>
  <c r="O111" i="3" s="1"/>
  <c r="O112" i="3" a="1"/>
  <c r="O112" i="3" s="1"/>
  <c r="O113" i="3" a="1"/>
  <c r="O113" i="3" s="1"/>
  <c r="O114" i="3" a="1"/>
  <c r="O114" i="3" s="1"/>
  <c r="O115" i="3" a="1"/>
  <c r="O115" i="3" s="1"/>
  <c r="O116" i="3" a="1"/>
  <c r="O116" i="3" s="1"/>
  <c r="O117" i="3" a="1"/>
  <c r="O117" i="3" s="1"/>
  <c r="O118" i="3" a="1"/>
  <c r="O118" i="3" s="1"/>
  <c r="O119" i="3" a="1"/>
  <c r="O119" i="3" s="1"/>
  <c r="O120" i="3" a="1"/>
  <c r="O120" i="3" s="1"/>
  <c r="O121" i="3" a="1"/>
  <c r="O121" i="3" s="1"/>
  <c r="O122" i="3" a="1"/>
  <c r="O122" i="3" s="1"/>
  <c r="O123" i="3" a="1"/>
  <c r="O123" i="3" s="1"/>
  <c r="O124" i="3" a="1"/>
  <c r="O124" i="3" s="1"/>
  <c r="O125" i="3" a="1"/>
  <c r="O125" i="3" s="1"/>
  <c r="O126" i="3" a="1"/>
  <c r="O126" i="3" s="1"/>
  <c r="O127" i="3" a="1"/>
  <c r="O127" i="3" s="1"/>
  <c r="O128" i="3" a="1"/>
  <c r="O128" i="3" s="1"/>
  <c r="O129" i="3" a="1"/>
  <c r="O129" i="3" s="1"/>
  <c r="O130" i="3" a="1"/>
  <c r="O130" i="3" s="1"/>
  <c r="O131" i="3" a="1"/>
  <c r="O131" i="3" s="1"/>
  <c r="O132" i="3" a="1"/>
  <c r="O132" i="3" s="1"/>
  <c r="O133" i="3" a="1"/>
  <c r="O133" i="3" s="1"/>
  <c r="O134" i="3" a="1"/>
  <c r="O134" i="3" s="1"/>
  <c r="O135" i="3" a="1"/>
  <c r="O135" i="3" s="1"/>
  <c r="O136" i="3" a="1"/>
  <c r="O136" i="3" s="1"/>
  <c r="O137" i="3" a="1"/>
  <c r="O137" i="3" s="1"/>
  <c r="O138" i="3" a="1"/>
  <c r="O138" i="3" s="1"/>
  <c r="O139" i="3" a="1"/>
  <c r="O139" i="3" s="1"/>
  <c r="O140" i="3" a="1"/>
  <c r="O140" i="3" s="1"/>
  <c r="O141" i="3" a="1"/>
  <c r="O141" i="3" s="1"/>
  <c r="O142" i="3" a="1"/>
  <c r="O142" i="3" s="1"/>
  <c r="O143" i="3" a="1"/>
  <c r="O143" i="3" s="1"/>
  <c r="O144" i="3" a="1"/>
  <c r="O144" i="3" s="1"/>
  <c r="O145" i="3" a="1"/>
  <c r="O145" i="3" s="1"/>
  <c r="O146" i="3" a="1"/>
  <c r="O146" i="3" s="1"/>
  <c r="O147" i="3" a="1"/>
  <c r="O147" i="3" s="1"/>
  <c r="O148" i="3" a="1"/>
  <c r="O148" i="3" s="1"/>
  <c r="O149" i="3" a="1"/>
  <c r="O149" i="3" s="1"/>
  <c r="O150" i="3" a="1"/>
  <c r="O150" i="3" s="1"/>
  <c r="O151" i="3" a="1"/>
  <c r="O151" i="3" s="1"/>
  <c r="O152" i="3" a="1"/>
  <c r="O152" i="3" s="1"/>
  <c r="O153" i="3" a="1"/>
  <c r="O153" i="3" s="1"/>
  <c r="O154" i="3" a="1"/>
  <c r="O154" i="3" s="1"/>
  <c r="O155" i="3" a="1"/>
  <c r="O155" i="3" s="1"/>
  <c r="O156" i="3" a="1"/>
  <c r="O156" i="3" s="1"/>
  <c r="O157" i="3" a="1"/>
  <c r="O157" i="3" s="1"/>
  <c r="O158" i="3" a="1"/>
  <c r="O158" i="3" s="1"/>
  <c r="O159" i="3" a="1"/>
  <c r="O159" i="3" s="1"/>
  <c r="O160" i="3" a="1"/>
  <c r="O160" i="3" s="1"/>
  <c r="O161" i="3" a="1"/>
  <c r="O161" i="3" s="1"/>
  <c r="O162" i="3" a="1"/>
  <c r="O162" i="3" s="1"/>
  <c r="O163" i="3" a="1"/>
  <c r="O163" i="3" s="1"/>
  <c r="O164" i="3" a="1"/>
  <c r="O164" i="3" s="1"/>
  <c r="O165" i="3" a="1"/>
  <c r="O165" i="3" s="1"/>
  <c r="O166" i="3" a="1"/>
  <c r="O166" i="3" s="1"/>
  <c r="O167" i="3" a="1"/>
  <c r="O167" i="3" s="1"/>
  <c r="O168" i="3" a="1"/>
  <c r="O168" i="3" s="1"/>
  <c r="O169" i="3" a="1"/>
  <c r="O169" i="3" s="1"/>
  <c r="O170" i="3" a="1"/>
  <c r="O170" i="3" s="1"/>
  <c r="O171" i="3" a="1"/>
  <c r="O171" i="3" s="1"/>
  <c r="O172" i="3" a="1"/>
  <c r="O172" i="3" s="1"/>
  <c r="O173" i="3" a="1"/>
  <c r="O173" i="3" s="1"/>
  <c r="O174" i="3" a="1"/>
  <c r="O174" i="3" s="1"/>
  <c r="O175" i="3" a="1"/>
  <c r="O175" i="3" s="1"/>
  <c r="O176" i="3" a="1"/>
  <c r="O176" i="3" s="1"/>
  <c r="O177" i="3" a="1"/>
  <c r="O177" i="3" s="1"/>
  <c r="O178" i="3" a="1"/>
  <c r="O178" i="3" s="1"/>
  <c r="O179" i="3" a="1"/>
  <c r="O179" i="3" s="1"/>
  <c r="O180" i="3" a="1"/>
  <c r="O180" i="3" s="1"/>
  <c r="O181" i="3" a="1"/>
  <c r="O181" i="3" s="1"/>
  <c r="O182" i="3" a="1"/>
  <c r="O182" i="3" s="1"/>
  <c r="O183" i="3" a="1"/>
  <c r="O183" i="3" s="1"/>
  <c r="O184" i="3" a="1"/>
  <c r="O184" i="3" s="1"/>
  <c r="O185" i="3" a="1"/>
  <c r="O185" i="3" s="1"/>
  <c r="O186" i="3" a="1"/>
  <c r="O186" i="3" s="1"/>
  <c r="O187" i="3" a="1"/>
  <c r="O187" i="3" s="1"/>
  <c r="O188" i="3" a="1"/>
  <c r="O188" i="3" s="1"/>
  <c r="O189" i="3" a="1"/>
  <c r="O189" i="3" s="1"/>
  <c r="O190" i="3" a="1"/>
  <c r="O190" i="3" s="1"/>
  <c r="O191" i="3" a="1"/>
  <c r="O191" i="3" s="1"/>
  <c r="O192" i="3" a="1"/>
  <c r="O192" i="3" s="1"/>
  <c r="O193" i="3" a="1"/>
  <c r="O193" i="3" s="1"/>
  <c r="O194" i="3" a="1"/>
  <c r="O194" i="3" s="1"/>
  <c r="O195" i="3" a="1"/>
  <c r="O195" i="3" s="1"/>
  <c r="O196" i="3" a="1"/>
  <c r="O196" i="3" s="1"/>
  <c r="O197" i="3" a="1"/>
  <c r="O197" i="3" s="1"/>
  <c r="O198" i="3" a="1"/>
  <c r="O198" i="3" s="1"/>
  <c r="O199" i="3" a="1"/>
  <c r="O199" i="3" s="1"/>
  <c r="O200" i="3" a="1"/>
  <c r="O200" i="3" s="1"/>
  <c r="O201" i="3" a="1"/>
  <c r="O201" i="3" s="1"/>
  <c r="O202" i="3" a="1"/>
  <c r="O202" i="3" s="1"/>
  <c r="O203" i="3" a="1"/>
  <c r="O203" i="3" s="1"/>
  <c r="O204" i="3" a="1"/>
  <c r="O204" i="3" s="1"/>
  <c r="O205" i="3" a="1"/>
  <c r="O205" i="3" s="1"/>
  <c r="O206" i="3" a="1"/>
  <c r="O206" i="3" s="1"/>
  <c r="O207" i="3" a="1"/>
  <c r="O207" i="3" s="1"/>
  <c r="O208" i="3" a="1"/>
  <c r="O208" i="3" s="1"/>
  <c r="O209" i="3" a="1"/>
  <c r="O209" i="3" s="1"/>
  <c r="O210" i="3" a="1"/>
  <c r="O210" i="3" s="1"/>
  <c r="O211" i="3" a="1"/>
  <c r="O211" i="3" s="1"/>
  <c r="O212" i="3" a="1"/>
  <c r="O212" i="3" s="1"/>
  <c r="O213" i="3" a="1"/>
  <c r="O213" i="3" s="1"/>
  <c r="O214" i="3" a="1"/>
  <c r="O214" i="3" s="1"/>
  <c r="O215" i="3" a="1"/>
  <c r="O215" i="3" s="1"/>
  <c r="O216" i="3" a="1"/>
  <c r="O216" i="3" s="1"/>
  <c r="O217" i="3" a="1"/>
  <c r="O217" i="3" s="1"/>
  <c r="O218" i="3" a="1"/>
  <c r="O218" i="3" s="1"/>
  <c r="O219" i="3" a="1"/>
  <c r="O219" i="3" s="1"/>
  <c r="O220" i="3" a="1"/>
  <c r="O220" i="3" s="1"/>
  <c r="O221" i="3" a="1"/>
  <c r="O221" i="3" s="1"/>
  <c r="O222" i="3" a="1"/>
  <c r="O222" i="3" s="1"/>
  <c r="O223" i="3" a="1"/>
  <c r="O223" i="3" s="1"/>
  <c r="O224" i="3" a="1"/>
  <c r="O224" i="3" s="1"/>
  <c r="O225" i="3" a="1"/>
  <c r="O225" i="3" s="1"/>
  <c r="O226" i="3" a="1"/>
  <c r="O226" i="3" s="1"/>
  <c r="O227" i="3" a="1"/>
  <c r="O227" i="3" s="1"/>
  <c r="O228" i="3" a="1"/>
  <c r="O228" i="3" s="1"/>
  <c r="O229" i="3" a="1"/>
  <c r="O229" i="3" s="1"/>
  <c r="O230" i="3" a="1"/>
  <c r="O230" i="3" s="1"/>
  <c r="O231" i="3" a="1"/>
  <c r="O231" i="3" s="1"/>
  <c r="O232" i="3" a="1"/>
  <c r="O232" i="3" s="1"/>
  <c r="O233" i="3" a="1"/>
  <c r="O233" i="3" s="1"/>
  <c r="O234" i="3" a="1"/>
  <c r="O234" i="3" s="1"/>
  <c r="O235" i="3" a="1"/>
  <c r="O235" i="3" s="1"/>
  <c r="O236" i="3" a="1"/>
  <c r="O236" i="3" s="1"/>
  <c r="O237" i="3" a="1"/>
  <c r="O237" i="3" s="1"/>
  <c r="O238" i="3" a="1"/>
  <c r="O238" i="3" s="1"/>
  <c r="O239" i="3" a="1"/>
  <c r="O239" i="3" s="1"/>
  <c r="O240" i="3" a="1"/>
  <c r="O240" i="3" s="1"/>
  <c r="O241" i="3" a="1"/>
  <c r="O241" i="3" s="1"/>
  <c r="O242" i="3" a="1"/>
  <c r="O242" i="3" s="1"/>
  <c r="O243" i="3" a="1"/>
  <c r="O243" i="3" s="1"/>
  <c r="O244" i="3" a="1"/>
  <c r="O244" i="3" s="1"/>
  <c r="O245" i="3" a="1"/>
  <c r="O245" i="3" s="1"/>
  <c r="O246" i="3" a="1"/>
  <c r="O246" i="3" s="1"/>
  <c r="O247" i="3" a="1"/>
  <c r="O247" i="3" s="1"/>
  <c r="O248" i="3" a="1"/>
  <c r="O248" i="3" s="1"/>
  <c r="O249" i="3" a="1"/>
  <c r="O249" i="3" s="1"/>
  <c r="O250" i="3" a="1"/>
  <c r="O250" i="3" s="1"/>
  <c r="O251" i="3" a="1"/>
  <c r="O251" i="3" s="1"/>
  <c r="O252" i="3" a="1"/>
  <c r="O252" i="3" s="1"/>
  <c r="O253" i="3" a="1"/>
  <c r="O253" i="3" s="1"/>
  <c r="O254" i="3" a="1"/>
  <c r="O254" i="3" s="1"/>
  <c r="O255" i="3" a="1"/>
  <c r="O255" i="3" s="1"/>
  <c r="O256" i="3" a="1"/>
  <c r="O256" i="3" s="1"/>
  <c r="O257" i="3" a="1"/>
  <c r="O257" i="3" s="1"/>
  <c r="O258" i="3" a="1"/>
  <c r="O258" i="3" s="1"/>
  <c r="O259" i="3" a="1"/>
  <c r="O259" i="3" s="1"/>
  <c r="O260" i="3" a="1"/>
  <c r="O260" i="3" s="1"/>
  <c r="O261" i="3" a="1"/>
  <c r="O261" i="3" s="1"/>
  <c r="O262" i="3" a="1"/>
  <c r="O262" i="3" s="1"/>
  <c r="O263" i="3" a="1"/>
  <c r="O263" i="3" s="1"/>
  <c r="O264" i="3" a="1"/>
  <c r="O264" i="3" s="1"/>
  <c r="O265" i="3" a="1"/>
  <c r="O265" i="3" s="1"/>
  <c r="O266" i="3" a="1"/>
  <c r="O266" i="3" s="1"/>
  <c r="O267" i="3" a="1"/>
  <c r="O267" i="3" s="1"/>
  <c r="O268" i="3" a="1"/>
  <c r="O268" i="3" s="1"/>
  <c r="O269" i="3" a="1"/>
  <c r="O269" i="3" s="1"/>
  <c r="O270" i="3" a="1"/>
  <c r="O270" i="3" s="1"/>
  <c r="O271" i="3" a="1"/>
  <c r="O271" i="3" s="1"/>
  <c r="O272" i="3" a="1"/>
  <c r="O272" i="3" s="1"/>
  <c r="O273" i="3" a="1"/>
  <c r="O273" i="3" s="1"/>
  <c r="O274" i="3" a="1"/>
  <c r="O274" i="3" s="1"/>
  <c r="O275" i="3" a="1"/>
  <c r="O275" i="3" s="1"/>
  <c r="O276" i="3" a="1"/>
  <c r="O276" i="3" s="1"/>
  <c r="O277" i="3" a="1"/>
  <c r="O277" i="3" s="1"/>
  <c r="O278" i="3" a="1"/>
  <c r="O278" i="3" s="1"/>
  <c r="O279" i="3" a="1"/>
  <c r="O279" i="3" s="1"/>
  <c r="O280" i="3" a="1"/>
  <c r="O280" i="3" s="1"/>
  <c r="O281" i="3" a="1"/>
  <c r="O281" i="3" s="1"/>
  <c r="O282" i="3" a="1"/>
  <c r="O282" i="3" s="1"/>
  <c r="O283" i="3" a="1"/>
  <c r="O283" i="3" s="1"/>
  <c r="O284" i="3" a="1"/>
  <c r="O284" i="3" s="1"/>
  <c r="O285" i="3" a="1"/>
  <c r="O285" i="3" s="1"/>
  <c r="O286" i="3" a="1"/>
  <c r="O286" i="3" s="1"/>
  <c r="O287" i="3" a="1"/>
  <c r="O287" i="3" s="1"/>
  <c r="O288" i="3" a="1"/>
  <c r="O288" i="3" s="1"/>
  <c r="O289" i="3" a="1"/>
  <c r="O289" i="3" s="1"/>
  <c r="O290" i="3" a="1"/>
  <c r="O290" i="3" s="1"/>
  <c r="O291" i="3" a="1"/>
  <c r="O291" i="3" s="1"/>
  <c r="O292" i="3" a="1"/>
  <c r="O292" i="3" s="1"/>
  <c r="O293" i="3" a="1"/>
  <c r="O293" i="3" s="1"/>
  <c r="O294" i="3" a="1"/>
  <c r="O294" i="3" s="1"/>
  <c r="O295" i="3" a="1"/>
  <c r="O295" i="3" s="1"/>
  <c r="O296" i="3" a="1"/>
  <c r="O296" i="3" s="1"/>
  <c r="O297" i="3" a="1"/>
  <c r="O297" i="3" s="1"/>
  <c r="O298" i="3" a="1"/>
  <c r="O298" i="3" s="1"/>
  <c r="O299" i="3" a="1"/>
  <c r="O299" i="3" s="1"/>
  <c r="O300" i="3" a="1"/>
  <c r="O300" i="3" s="1"/>
  <c r="O301" i="3" a="1"/>
  <c r="O301" i="3" s="1"/>
  <c r="O302" i="3" a="1"/>
  <c r="O302" i="3" s="1"/>
  <c r="O303" i="3" a="1"/>
  <c r="O303" i="3" s="1"/>
  <c r="O304" i="3" a="1"/>
  <c r="O304" i="3" s="1"/>
  <c r="O305" i="3" a="1"/>
  <c r="O305" i="3" s="1"/>
  <c r="O306" i="3" a="1"/>
  <c r="O306" i="3" s="1"/>
  <c r="O307" i="3" a="1"/>
  <c r="O307" i="3" s="1"/>
  <c r="O308" i="3" a="1"/>
  <c r="O308" i="3" s="1"/>
  <c r="O309" i="3" a="1"/>
  <c r="O309" i="3" s="1"/>
  <c r="O310" i="3" a="1"/>
  <c r="O310" i="3" s="1"/>
  <c r="O311" i="3" a="1"/>
  <c r="O311" i="3" s="1"/>
  <c r="O312" i="3" a="1"/>
  <c r="O312" i="3" s="1"/>
  <c r="O313" i="3" a="1"/>
  <c r="O313" i="3" s="1"/>
  <c r="O314" i="3" a="1"/>
  <c r="O314" i="3" s="1"/>
  <c r="O315" i="3" a="1"/>
  <c r="O315" i="3" s="1"/>
  <c r="O316" i="3" a="1"/>
  <c r="O316" i="3" s="1"/>
  <c r="O317" i="3" a="1"/>
  <c r="O317" i="3" s="1"/>
  <c r="O318" i="3" a="1"/>
  <c r="O318" i="3" s="1"/>
  <c r="O319" i="3" a="1"/>
  <c r="O319" i="3" s="1"/>
  <c r="O320" i="3" a="1"/>
  <c r="O320" i="3" s="1"/>
  <c r="O321" i="3" a="1"/>
  <c r="O321" i="3" s="1"/>
  <c r="O322" i="3" a="1"/>
  <c r="O322" i="3" s="1"/>
  <c r="O323" i="3" a="1"/>
  <c r="O323" i="3" s="1"/>
  <c r="O324" i="3" a="1"/>
  <c r="O324" i="3" s="1"/>
  <c r="O325" i="3" a="1"/>
  <c r="O325" i="3" s="1"/>
  <c r="O326" i="3" a="1"/>
  <c r="O326" i="3" s="1"/>
  <c r="O327" i="3" a="1"/>
  <c r="O327" i="3" s="1"/>
  <c r="O328" i="3" a="1"/>
  <c r="O328" i="3" s="1"/>
  <c r="O329" i="3" a="1"/>
  <c r="O329" i="3" s="1"/>
  <c r="O330" i="3" a="1"/>
  <c r="O330" i="3" s="1"/>
  <c r="O331" i="3" a="1"/>
  <c r="O331" i="3" s="1"/>
  <c r="O332" i="3" a="1"/>
  <c r="O332" i="3" s="1"/>
  <c r="O333" i="3" a="1"/>
  <c r="O333" i="3" s="1"/>
  <c r="O334" i="3" a="1"/>
  <c r="O334" i="3" s="1"/>
  <c r="O335" i="3" a="1"/>
  <c r="O335" i="3" s="1"/>
  <c r="O336" i="3" a="1"/>
  <c r="O336" i="3" s="1"/>
  <c r="O337" i="3" a="1"/>
  <c r="O337" i="3" s="1"/>
  <c r="O338" i="3" a="1"/>
  <c r="O338" i="3" s="1"/>
  <c r="O339" i="3" a="1"/>
  <c r="O339" i="3" s="1"/>
  <c r="O340" i="3" a="1"/>
  <c r="O340" i="3" s="1"/>
  <c r="O341" i="3" a="1"/>
  <c r="O341" i="3" s="1"/>
  <c r="O342" i="3" a="1"/>
  <c r="O342" i="3" s="1"/>
  <c r="O343" i="3" a="1"/>
  <c r="O343" i="3" s="1"/>
  <c r="O344" i="3" a="1"/>
  <c r="O344" i="3" s="1"/>
  <c r="O345" i="3" a="1"/>
  <c r="O345" i="3" s="1"/>
  <c r="O346" i="3" a="1"/>
  <c r="O346" i="3" s="1"/>
  <c r="O347" i="3" a="1"/>
  <c r="O347" i="3" s="1"/>
  <c r="O348" i="3" a="1"/>
  <c r="O348" i="3" s="1"/>
  <c r="O349" i="3" a="1"/>
  <c r="O349" i="3" s="1"/>
  <c r="O350" i="3" a="1"/>
  <c r="O350" i="3" s="1"/>
  <c r="O351" i="3" a="1"/>
  <c r="O351" i="3" s="1"/>
  <c r="O352" i="3" a="1"/>
  <c r="O352" i="3" s="1"/>
  <c r="O353" i="3" a="1"/>
  <c r="O353" i="3" s="1"/>
  <c r="O354" i="3" a="1"/>
  <c r="O354" i="3" s="1"/>
  <c r="O355" i="3" a="1"/>
  <c r="O355" i="3" s="1"/>
  <c r="O356" i="3" a="1"/>
  <c r="O356" i="3" s="1"/>
  <c r="O357" i="3" a="1"/>
  <c r="O357" i="3" s="1"/>
  <c r="O358" i="3" a="1"/>
  <c r="O358" i="3" s="1"/>
  <c r="O359" i="3" a="1"/>
  <c r="O359" i="3" s="1"/>
  <c r="O360" i="3" a="1"/>
  <c r="O360" i="3" s="1"/>
  <c r="O361" i="3" a="1"/>
  <c r="O361" i="3" s="1"/>
  <c r="O362" i="3" a="1"/>
  <c r="O362" i="3" s="1"/>
  <c r="O363" i="3" a="1"/>
  <c r="O363" i="3" s="1"/>
  <c r="O364" i="3" a="1"/>
  <c r="O364" i="3" s="1"/>
  <c r="O365" i="3" a="1"/>
  <c r="O365" i="3" s="1"/>
  <c r="O366" i="3" a="1"/>
  <c r="O366" i="3" s="1"/>
  <c r="O367" i="3" a="1"/>
  <c r="O367" i="3" s="1"/>
  <c r="O368" i="3" a="1"/>
  <c r="O368" i="3" s="1"/>
  <c r="O369" i="3" a="1"/>
  <c r="O369" i="3" s="1"/>
  <c r="O370" i="3" a="1"/>
  <c r="O370" i="3" s="1"/>
  <c r="O371" i="3" a="1"/>
  <c r="O371" i="3" s="1"/>
  <c r="O372" i="3" a="1"/>
  <c r="O372" i="3" s="1"/>
  <c r="O373" i="3" a="1"/>
  <c r="O373" i="3" s="1"/>
  <c r="O374" i="3" a="1"/>
  <c r="O374" i="3" s="1"/>
  <c r="O375" i="3" a="1"/>
  <c r="O375" i="3" s="1"/>
  <c r="O376" i="3" a="1"/>
  <c r="O376" i="3" s="1"/>
  <c r="O377" i="3" a="1"/>
  <c r="O377" i="3" s="1"/>
  <c r="O378" i="3" a="1"/>
  <c r="O378" i="3" s="1"/>
  <c r="O379" i="3" a="1"/>
  <c r="O379" i="3" s="1"/>
  <c r="O380" i="3" a="1"/>
  <c r="O380" i="3" s="1"/>
  <c r="O381" i="3" a="1"/>
  <c r="O381" i="3" s="1"/>
  <c r="O382" i="3" a="1"/>
  <c r="O382" i="3" s="1"/>
  <c r="O383" i="3" a="1"/>
  <c r="O383" i="3" s="1"/>
  <c r="O384" i="3" a="1"/>
  <c r="O384" i="3" s="1"/>
  <c r="O385" i="3" a="1"/>
  <c r="O385" i="3" s="1"/>
  <c r="O386" i="3" a="1"/>
  <c r="O386" i="3" s="1"/>
  <c r="O387" i="3" a="1"/>
  <c r="O387" i="3" s="1"/>
  <c r="O388" i="3" a="1"/>
  <c r="O388" i="3" s="1"/>
  <c r="O389" i="3" a="1"/>
  <c r="O389" i="3" s="1"/>
  <c r="O390" i="3" a="1"/>
  <c r="O390" i="3" s="1"/>
  <c r="O391" i="3" a="1"/>
  <c r="O391" i="3" s="1"/>
  <c r="O392" i="3" a="1"/>
  <c r="O392" i="3" s="1"/>
  <c r="O393" i="3" a="1"/>
  <c r="O393" i="3" s="1"/>
  <c r="O394" i="3" a="1"/>
  <c r="O394" i="3" s="1"/>
  <c r="O395" i="3" a="1"/>
  <c r="O395" i="3" s="1"/>
  <c r="O396" i="3" a="1"/>
  <c r="O396" i="3" s="1"/>
  <c r="O397" i="3" a="1"/>
  <c r="O397" i="3" s="1"/>
  <c r="O398" i="3" a="1"/>
  <c r="O398" i="3" s="1"/>
  <c r="O399" i="3" a="1"/>
  <c r="O399" i="3" s="1"/>
  <c r="O400" i="3" a="1"/>
  <c r="O400" i="3" s="1"/>
  <c r="O401" i="3" a="1"/>
  <c r="O401" i="3" s="1"/>
  <c r="O402" i="3" a="1"/>
  <c r="O402" i="3" s="1"/>
  <c r="O403" i="3" a="1"/>
  <c r="O403" i="3" s="1"/>
  <c r="O404" i="3" a="1"/>
  <c r="O404" i="3" s="1"/>
  <c r="O405" i="3" a="1"/>
  <c r="O405" i="3" s="1"/>
  <c r="O406" i="3" a="1"/>
  <c r="O406" i="3" s="1"/>
  <c r="O407" i="3" a="1"/>
  <c r="O407" i="3" s="1"/>
  <c r="O408" i="3" a="1"/>
  <c r="O408" i="3" s="1"/>
  <c r="O409" i="3" a="1"/>
  <c r="O409" i="3" s="1"/>
  <c r="O410" i="3" a="1"/>
  <c r="O410" i="3" s="1"/>
  <c r="O411" i="3" a="1"/>
  <c r="O411" i="3" s="1"/>
  <c r="O412" i="3" a="1"/>
  <c r="O412" i="3" s="1"/>
  <c r="O413" i="3" a="1"/>
  <c r="O413" i="3" s="1"/>
  <c r="O414" i="3" a="1"/>
  <c r="O414" i="3" s="1"/>
  <c r="O415" i="3" a="1"/>
  <c r="O415" i="3" s="1"/>
  <c r="O416" i="3" a="1"/>
  <c r="O416" i="3" s="1"/>
  <c r="O417" i="3" a="1"/>
  <c r="O417" i="3" s="1"/>
  <c r="O418" i="3" a="1"/>
  <c r="O418" i="3" s="1"/>
  <c r="O419" i="3" a="1"/>
  <c r="O419" i="3" s="1"/>
  <c r="O420" i="3" a="1"/>
  <c r="O420" i="3" s="1"/>
  <c r="O421" i="3" a="1"/>
  <c r="O421" i="3" s="1"/>
  <c r="O422" i="3" a="1"/>
  <c r="O422" i="3" s="1"/>
  <c r="O423" i="3" a="1"/>
  <c r="O423" i="3" s="1"/>
  <c r="O424" i="3" a="1"/>
  <c r="O424" i="3" s="1"/>
  <c r="O425" i="3" a="1"/>
  <c r="O425" i="3" s="1"/>
  <c r="O426" i="3" a="1"/>
  <c r="O426" i="3" s="1"/>
  <c r="O427" i="3" a="1"/>
  <c r="O427" i="3" s="1"/>
  <c r="O428" i="3" a="1"/>
  <c r="O428" i="3" s="1"/>
  <c r="O429" i="3" a="1"/>
  <c r="O429" i="3" s="1"/>
  <c r="O430" i="3" a="1"/>
  <c r="O430" i="3" s="1"/>
  <c r="O431" i="3" a="1"/>
  <c r="O431" i="3" s="1"/>
  <c r="O432" i="3" a="1"/>
  <c r="O432" i="3" s="1"/>
  <c r="O433" i="3" a="1"/>
  <c r="O433" i="3" s="1"/>
  <c r="O434" i="3" a="1"/>
  <c r="O434" i="3" s="1"/>
  <c r="O435" i="3" a="1"/>
  <c r="O435" i="3" s="1"/>
  <c r="O436" i="3" a="1"/>
  <c r="O436" i="3" s="1"/>
  <c r="O437" i="3" a="1"/>
  <c r="O437" i="3" s="1"/>
  <c r="O438" i="3" a="1"/>
  <c r="O438" i="3" s="1"/>
  <c r="O439" i="3" a="1"/>
  <c r="O439" i="3" s="1"/>
  <c r="O440" i="3" a="1"/>
  <c r="O440" i="3" s="1"/>
  <c r="O441" i="3" a="1"/>
  <c r="O441" i="3" s="1"/>
  <c r="O442" i="3" a="1"/>
  <c r="O442" i="3" s="1"/>
  <c r="O443" i="3" a="1"/>
  <c r="O443" i="3" s="1"/>
  <c r="O444" i="3" a="1"/>
  <c r="O444" i="3" s="1"/>
  <c r="O445" i="3" a="1"/>
  <c r="O445" i="3" s="1"/>
  <c r="O446" i="3" a="1"/>
  <c r="O446" i="3" s="1"/>
  <c r="O447" i="3" a="1"/>
  <c r="O447" i="3" s="1"/>
  <c r="O448" i="3" a="1"/>
  <c r="O448" i="3" s="1"/>
  <c r="O449" i="3" a="1"/>
  <c r="O449" i="3" s="1"/>
  <c r="O450" i="3" a="1"/>
  <c r="O450" i="3" s="1"/>
  <c r="O451" i="3" a="1"/>
  <c r="O451" i="3" s="1"/>
  <c r="O452" i="3" a="1"/>
  <c r="O452" i="3" s="1"/>
  <c r="O453" i="3" a="1"/>
  <c r="O453" i="3" s="1"/>
  <c r="O454" i="3" a="1"/>
  <c r="O454" i="3" s="1"/>
  <c r="O455" i="3" a="1"/>
  <c r="O455" i="3" s="1"/>
  <c r="O456" i="3" a="1"/>
  <c r="O456" i="3" s="1"/>
  <c r="O457" i="3" a="1"/>
  <c r="O457" i="3" s="1"/>
  <c r="O458" i="3" a="1"/>
  <c r="O458" i="3" s="1"/>
  <c r="O459" i="3" a="1"/>
  <c r="O459" i="3" s="1"/>
  <c r="O460" i="3" a="1"/>
  <c r="O460" i="3" s="1"/>
  <c r="O461" i="3" a="1"/>
  <c r="O461" i="3" s="1"/>
  <c r="O462" i="3" a="1"/>
  <c r="O462" i="3" s="1"/>
  <c r="O463" i="3" a="1"/>
  <c r="O463" i="3" s="1"/>
  <c r="O464" i="3" a="1"/>
  <c r="O464" i="3" s="1"/>
  <c r="O465" i="3" a="1"/>
  <c r="O465" i="3" s="1"/>
  <c r="O466" i="3" a="1"/>
  <c r="O466" i="3" s="1"/>
  <c r="O467" i="3" a="1"/>
  <c r="O467" i="3" s="1"/>
  <c r="O468" i="3" a="1"/>
  <c r="O468" i="3" s="1"/>
  <c r="O469" i="3" a="1"/>
  <c r="O469" i="3" s="1"/>
  <c r="O470" i="3" a="1"/>
  <c r="O470" i="3" s="1"/>
  <c r="O471" i="3" a="1"/>
  <c r="O471" i="3" s="1"/>
  <c r="O472" i="3" a="1"/>
  <c r="O472" i="3" s="1"/>
  <c r="O473" i="3" a="1"/>
  <c r="O473" i="3" s="1"/>
  <c r="O474" i="3" a="1"/>
  <c r="O474" i="3" s="1"/>
  <c r="O475" i="3" a="1"/>
  <c r="O475" i="3" s="1"/>
  <c r="O476" i="3" a="1"/>
  <c r="O476" i="3" s="1"/>
  <c r="O477" i="3" a="1"/>
  <c r="O477" i="3" s="1"/>
  <c r="O478" i="3" a="1"/>
  <c r="O478" i="3" s="1"/>
  <c r="O479" i="3" a="1"/>
  <c r="O479" i="3" s="1"/>
  <c r="O480" i="3" a="1"/>
  <c r="O480" i="3" s="1"/>
  <c r="O481" i="3" a="1"/>
  <c r="O481" i="3" s="1"/>
  <c r="O482" i="3" a="1"/>
  <c r="O482" i="3" s="1"/>
  <c r="O483" i="3" a="1"/>
  <c r="O483" i="3" s="1"/>
  <c r="O484" i="3" a="1"/>
  <c r="O484" i="3" s="1"/>
  <c r="O485" i="3" a="1"/>
  <c r="O485" i="3" s="1"/>
  <c r="O486" i="3" a="1"/>
  <c r="O486" i="3" s="1"/>
  <c r="O487" i="3" a="1"/>
  <c r="O487" i="3" s="1"/>
  <c r="O488" i="3" a="1"/>
  <c r="O488" i="3" s="1"/>
  <c r="O489" i="3" a="1"/>
  <c r="O489" i="3" s="1"/>
  <c r="O490" i="3" a="1"/>
  <c r="O490" i="3" s="1"/>
  <c r="O491" i="3" a="1"/>
  <c r="O491" i="3" s="1"/>
  <c r="O492" i="3" a="1"/>
  <c r="O492" i="3" s="1"/>
  <c r="O493" i="3" a="1"/>
  <c r="O493" i="3" s="1"/>
  <c r="O494" i="3" a="1"/>
  <c r="O494" i="3" s="1"/>
  <c r="O495" i="3" a="1"/>
  <c r="O495" i="3" s="1"/>
  <c r="O496" i="3" a="1"/>
  <c r="O496" i="3" s="1"/>
  <c r="O497" i="3" a="1"/>
  <c r="O497" i="3" s="1"/>
  <c r="O498" i="3" a="1"/>
  <c r="O498" i="3" s="1"/>
  <c r="O499" i="3" a="1"/>
  <c r="O499" i="3" s="1"/>
  <c r="O500" i="3" a="1"/>
  <c r="O500" i="3" s="1"/>
  <c r="O501" i="3" a="1"/>
  <c r="O501" i="3" s="1"/>
  <c r="O502" i="3" a="1"/>
  <c r="O502" i="3" s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P495" i="3" l="1"/>
  <c r="N495" i="3"/>
  <c r="M495" i="3"/>
  <c r="L495" i="3"/>
  <c r="P453" i="3"/>
  <c r="N453" i="3"/>
  <c r="M453" i="3"/>
  <c r="L453" i="3"/>
  <c r="P457" i="3"/>
  <c r="N457" i="3"/>
  <c r="M457" i="3"/>
  <c r="L457" i="3"/>
  <c r="P463" i="3"/>
  <c r="N463" i="3"/>
  <c r="M463" i="3"/>
  <c r="L463" i="3"/>
  <c r="P462" i="3"/>
  <c r="Q462" i="3" s="1"/>
  <c r="V462" i="3" s="1"/>
  <c r="N462" i="3"/>
  <c r="M462" i="3"/>
  <c r="L462" i="3"/>
  <c r="P473" i="3"/>
  <c r="Q473" i="3" s="1"/>
  <c r="V473" i="3" s="1"/>
  <c r="N473" i="3"/>
  <c r="M473" i="3"/>
  <c r="L473" i="3"/>
  <c r="P472" i="3"/>
  <c r="N472" i="3"/>
  <c r="M472" i="3"/>
  <c r="L472" i="3"/>
  <c r="P485" i="3"/>
  <c r="Q485" i="3" s="1"/>
  <c r="V485" i="3" s="1"/>
  <c r="N485" i="3"/>
  <c r="M485" i="3"/>
  <c r="L485" i="3"/>
  <c r="P486" i="3"/>
  <c r="Q486" i="3" s="1"/>
  <c r="V486" i="3" s="1"/>
  <c r="N486" i="3"/>
  <c r="M486" i="3"/>
  <c r="L486" i="3"/>
  <c r="P502" i="3"/>
  <c r="Q502" i="3" s="1"/>
  <c r="V502" i="3" s="1"/>
  <c r="N502" i="3"/>
  <c r="M502" i="3"/>
  <c r="L502" i="3"/>
  <c r="P501" i="3"/>
  <c r="N501" i="3"/>
  <c r="M501" i="3"/>
  <c r="L501" i="3"/>
  <c r="P500" i="3"/>
  <c r="Q500" i="3" s="1"/>
  <c r="V500" i="3" s="1"/>
  <c r="N500" i="3"/>
  <c r="M500" i="3"/>
  <c r="L500" i="3"/>
  <c r="P499" i="3"/>
  <c r="N499" i="3"/>
  <c r="M499" i="3"/>
  <c r="L499" i="3"/>
  <c r="P498" i="3"/>
  <c r="N498" i="3"/>
  <c r="M498" i="3"/>
  <c r="L498" i="3"/>
  <c r="P497" i="3"/>
  <c r="N497" i="3"/>
  <c r="M497" i="3"/>
  <c r="L497" i="3"/>
  <c r="P455" i="3"/>
  <c r="N455" i="3"/>
  <c r="M455" i="3"/>
  <c r="L455" i="3"/>
  <c r="P454" i="3"/>
  <c r="Q454" i="3" s="1"/>
  <c r="V454" i="3" s="1"/>
  <c r="N454" i="3"/>
  <c r="M454" i="3"/>
  <c r="L454" i="3"/>
  <c r="P456" i="3"/>
  <c r="Q456" i="3" s="1"/>
  <c r="V456" i="3" s="1"/>
  <c r="N456" i="3"/>
  <c r="M456" i="3"/>
  <c r="L456" i="3"/>
  <c r="P459" i="3"/>
  <c r="N459" i="3"/>
  <c r="M459" i="3"/>
  <c r="L459" i="3"/>
  <c r="P458" i="3"/>
  <c r="Q458" i="3" s="1"/>
  <c r="V458" i="3" s="1"/>
  <c r="N458" i="3"/>
  <c r="M458" i="3"/>
  <c r="L458" i="3"/>
  <c r="P468" i="3"/>
  <c r="Q468" i="3" s="1"/>
  <c r="V468" i="3" s="1"/>
  <c r="N468" i="3"/>
  <c r="M468" i="3"/>
  <c r="L468" i="3"/>
  <c r="P467" i="3"/>
  <c r="N467" i="3"/>
  <c r="M467" i="3"/>
  <c r="L467" i="3"/>
  <c r="P466" i="3"/>
  <c r="N466" i="3"/>
  <c r="M466" i="3"/>
  <c r="L466" i="3"/>
  <c r="P465" i="3"/>
  <c r="N465" i="3"/>
  <c r="M465" i="3"/>
  <c r="L465" i="3"/>
  <c r="P464" i="3"/>
  <c r="N464" i="3"/>
  <c r="M464" i="3"/>
  <c r="L464" i="3"/>
  <c r="P471" i="3"/>
  <c r="N471" i="3"/>
  <c r="M471" i="3"/>
  <c r="L471" i="3"/>
  <c r="P470" i="3"/>
  <c r="Q470" i="3" s="1"/>
  <c r="V470" i="3" s="1"/>
  <c r="N470" i="3"/>
  <c r="M470" i="3"/>
  <c r="L470" i="3"/>
  <c r="P469" i="3"/>
  <c r="N469" i="3"/>
  <c r="M469" i="3"/>
  <c r="L469" i="3"/>
  <c r="P477" i="3"/>
  <c r="Q477" i="3" s="1"/>
  <c r="V477" i="3" s="1"/>
  <c r="N477" i="3"/>
  <c r="M477" i="3"/>
  <c r="L477" i="3"/>
  <c r="P476" i="3"/>
  <c r="Q476" i="3" s="1"/>
  <c r="V476" i="3" s="1"/>
  <c r="N476" i="3"/>
  <c r="M476" i="3"/>
  <c r="L476" i="3"/>
  <c r="P483" i="3"/>
  <c r="N483" i="3"/>
  <c r="M483" i="3"/>
  <c r="L483" i="3"/>
  <c r="P482" i="3"/>
  <c r="Q482" i="3" s="1"/>
  <c r="V482" i="3" s="1"/>
  <c r="N482" i="3"/>
  <c r="M482" i="3"/>
  <c r="L482" i="3"/>
  <c r="P481" i="3"/>
  <c r="Q481" i="3" s="1"/>
  <c r="V481" i="3" s="1"/>
  <c r="N481" i="3"/>
  <c r="M481" i="3"/>
  <c r="L481" i="3"/>
  <c r="P480" i="3"/>
  <c r="N480" i="3"/>
  <c r="M480" i="3"/>
  <c r="L480" i="3"/>
  <c r="P479" i="3"/>
  <c r="N479" i="3"/>
  <c r="M479" i="3"/>
  <c r="L479" i="3"/>
  <c r="P478" i="3"/>
  <c r="N478" i="3"/>
  <c r="M478" i="3"/>
  <c r="L478" i="3"/>
  <c r="P489" i="3"/>
  <c r="Q489" i="3" s="1"/>
  <c r="V489" i="3" s="1"/>
  <c r="N489" i="3"/>
  <c r="M489" i="3"/>
  <c r="L489" i="3"/>
  <c r="P488" i="3"/>
  <c r="N488" i="3"/>
  <c r="M488" i="3"/>
  <c r="L488" i="3"/>
  <c r="P490" i="3"/>
  <c r="N490" i="3"/>
  <c r="M490" i="3"/>
  <c r="L490" i="3"/>
  <c r="P494" i="3"/>
  <c r="N494" i="3"/>
  <c r="M494" i="3"/>
  <c r="L494" i="3"/>
  <c r="P493" i="3"/>
  <c r="Q493" i="3" s="1"/>
  <c r="V493" i="3" s="1"/>
  <c r="N493" i="3"/>
  <c r="M493" i="3"/>
  <c r="L493" i="3"/>
  <c r="P496" i="3"/>
  <c r="Q496" i="3" s="1"/>
  <c r="V496" i="3" s="1"/>
  <c r="N496" i="3"/>
  <c r="M496" i="3"/>
  <c r="L496" i="3"/>
  <c r="P492" i="3"/>
  <c r="N492" i="3"/>
  <c r="M492" i="3"/>
  <c r="L492" i="3"/>
  <c r="P491" i="3"/>
  <c r="Q491" i="3" s="1"/>
  <c r="V491" i="3" s="1"/>
  <c r="N491" i="3"/>
  <c r="M491" i="3"/>
  <c r="L491" i="3"/>
  <c r="P487" i="3"/>
  <c r="Q487" i="3" s="1"/>
  <c r="V487" i="3" s="1"/>
  <c r="N487" i="3"/>
  <c r="M487" i="3"/>
  <c r="L487" i="3"/>
  <c r="P484" i="3"/>
  <c r="N484" i="3"/>
  <c r="M484" i="3"/>
  <c r="L484" i="3"/>
  <c r="P475" i="3"/>
  <c r="N475" i="3"/>
  <c r="M475" i="3"/>
  <c r="L475" i="3"/>
  <c r="P474" i="3"/>
  <c r="N474" i="3"/>
  <c r="M474" i="3"/>
  <c r="L474" i="3"/>
  <c r="P461" i="3"/>
  <c r="N461" i="3"/>
  <c r="M461" i="3"/>
  <c r="L461" i="3"/>
  <c r="P460" i="3"/>
  <c r="N460" i="3"/>
  <c r="M460" i="3"/>
  <c r="L460" i="3"/>
  <c r="J3" i="1"/>
  <c r="J4" i="1"/>
  <c r="B8" i="5"/>
  <c r="B7" i="5"/>
  <c r="B6" i="5"/>
  <c r="P375" i="3"/>
  <c r="Q375" i="3" s="1"/>
  <c r="V375" i="3" s="1"/>
  <c r="P376" i="3"/>
  <c r="Q376" i="3" s="1"/>
  <c r="V376" i="3" s="1"/>
  <c r="P366" i="3"/>
  <c r="Q366" i="3" s="1"/>
  <c r="V366" i="3" s="1"/>
  <c r="P367" i="3"/>
  <c r="Q367" i="3" s="1"/>
  <c r="V367" i="3" s="1"/>
  <c r="P361" i="3"/>
  <c r="Q361" i="3" s="1"/>
  <c r="V361" i="3" s="1"/>
  <c r="P354" i="3"/>
  <c r="Q354" i="3" s="1"/>
  <c r="V354" i="3" s="1"/>
  <c r="P309" i="3"/>
  <c r="P395" i="3"/>
  <c r="P396" i="3"/>
  <c r="P409" i="3"/>
  <c r="P410" i="3"/>
  <c r="P419" i="3"/>
  <c r="P422" i="3"/>
  <c r="Q422" i="3" s="1"/>
  <c r="V422" i="3" s="1"/>
  <c r="P426" i="3"/>
  <c r="Q426" i="3" s="1"/>
  <c r="V426" i="3" s="1"/>
  <c r="P427" i="3"/>
  <c r="Q427" i="3" s="1"/>
  <c r="V427" i="3" s="1"/>
  <c r="P431" i="3"/>
  <c r="Q431" i="3" s="1"/>
  <c r="V431" i="3" s="1"/>
  <c r="P428" i="3"/>
  <c r="Q428" i="3" s="1"/>
  <c r="V428" i="3" s="1"/>
  <c r="P429" i="3"/>
  <c r="Q429" i="3" s="1"/>
  <c r="V429" i="3" s="1"/>
  <c r="P425" i="3"/>
  <c r="Q425" i="3" s="1"/>
  <c r="V425" i="3" s="1"/>
  <c r="P423" i="3"/>
  <c r="Q423" i="3" s="1"/>
  <c r="V423" i="3" s="1"/>
  <c r="P424" i="3"/>
  <c r="Q424" i="3" s="1"/>
  <c r="V424" i="3" s="1"/>
  <c r="P413" i="3"/>
  <c r="Q413" i="3" s="1"/>
  <c r="V413" i="3" s="1"/>
  <c r="P414" i="3"/>
  <c r="Q414" i="3" s="1"/>
  <c r="V414" i="3" s="1"/>
  <c r="P415" i="3"/>
  <c r="Q415" i="3" s="1"/>
  <c r="V415" i="3" s="1"/>
  <c r="P416" i="3"/>
  <c r="Q416" i="3" s="1"/>
  <c r="V416" i="3" s="1"/>
  <c r="P417" i="3"/>
  <c r="Q417" i="3" s="1"/>
  <c r="V417" i="3" s="1"/>
  <c r="P418" i="3"/>
  <c r="Q418" i="3" s="1"/>
  <c r="V418" i="3" s="1"/>
  <c r="P411" i="3"/>
  <c r="Q411" i="3" s="1"/>
  <c r="V411" i="3" s="1"/>
  <c r="P412" i="3"/>
  <c r="Q412" i="3" s="1"/>
  <c r="V412" i="3" s="1"/>
  <c r="P404" i="3"/>
  <c r="Q404" i="3" s="1"/>
  <c r="V404" i="3" s="1"/>
  <c r="P405" i="3"/>
  <c r="Q405" i="3" s="1"/>
  <c r="V405" i="3" s="1"/>
  <c r="P406" i="3"/>
  <c r="Q406" i="3" s="1"/>
  <c r="V406" i="3" s="1"/>
  <c r="P399" i="3"/>
  <c r="Q399" i="3" s="1"/>
  <c r="V399" i="3" s="1"/>
  <c r="P400" i="3"/>
  <c r="Q400" i="3" s="1"/>
  <c r="V400" i="3" s="1"/>
  <c r="P401" i="3"/>
  <c r="Q401" i="3" s="1"/>
  <c r="V401" i="3" s="1"/>
  <c r="P402" i="3"/>
  <c r="Q402" i="3" s="1"/>
  <c r="V402" i="3" s="1"/>
  <c r="P403" i="3"/>
  <c r="Q403" i="3" s="1"/>
  <c r="V403" i="3" s="1"/>
  <c r="P393" i="3"/>
  <c r="Q393" i="3" s="1"/>
  <c r="V393" i="3" s="1"/>
  <c r="P394" i="3"/>
  <c r="Q394" i="3" s="1"/>
  <c r="V394" i="3" s="1"/>
  <c r="P391" i="3"/>
  <c r="Q391" i="3" s="1"/>
  <c r="V391" i="3" s="1"/>
  <c r="P389" i="3"/>
  <c r="Q389" i="3" s="1"/>
  <c r="V389" i="3" s="1"/>
  <c r="P390" i="3"/>
  <c r="Q390" i="3" s="1"/>
  <c r="V390" i="3" s="1"/>
  <c r="P382" i="3"/>
  <c r="Q382" i="3" s="1"/>
  <c r="V382" i="3" s="1"/>
  <c r="P383" i="3"/>
  <c r="Q383" i="3" s="1"/>
  <c r="V383" i="3" s="1"/>
  <c r="P384" i="3"/>
  <c r="Q384" i="3" s="1"/>
  <c r="V384" i="3" s="1"/>
  <c r="P385" i="3"/>
  <c r="Q385" i="3" s="1"/>
  <c r="V385" i="3" s="1"/>
  <c r="P386" i="3"/>
  <c r="Q386" i="3" s="1"/>
  <c r="V386" i="3" s="1"/>
  <c r="P387" i="3"/>
  <c r="Q387" i="3" s="1"/>
  <c r="V387" i="3" s="1"/>
  <c r="P377" i="3"/>
  <c r="Q377" i="3" s="1"/>
  <c r="V377" i="3" s="1"/>
  <c r="P378" i="3"/>
  <c r="Q378" i="3" s="1"/>
  <c r="V378" i="3" s="1"/>
  <c r="P379" i="3"/>
  <c r="Q379" i="3" s="1"/>
  <c r="V379" i="3" s="1"/>
  <c r="P368" i="3"/>
  <c r="Q368" i="3" s="1"/>
  <c r="V368" i="3" s="1"/>
  <c r="P369" i="3"/>
  <c r="Q369" i="3" s="1"/>
  <c r="V369" i="3" s="1"/>
  <c r="P370" i="3"/>
  <c r="Q370" i="3" s="1"/>
  <c r="V370" i="3" s="1"/>
  <c r="P363" i="3"/>
  <c r="Q363" i="3" s="1"/>
  <c r="V363" i="3" s="1"/>
  <c r="P364" i="3"/>
  <c r="Q364" i="3" s="1"/>
  <c r="V364" i="3" s="1"/>
  <c r="P365" i="3"/>
  <c r="Q365" i="3" s="1"/>
  <c r="V365" i="3" s="1"/>
  <c r="P358" i="3"/>
  <c r="Q358" i="3" s="1"/>
  <c r="V358" i="3" s="1"/>
  <c r="P353" i="3"/>
  <c r="Q353" i="3" s="1"/>
  <c r="V353" i="3" s="1"/>
  <c r="P350" i="3"/>
  <c r="Q350" i="3" s="1"/>
  <c r="V350" i="3" s="1"/>
  <c r="P351" i="3"/>
  <c r="Q351" i="3" s="1"/>
  <c r="V351" i="3" s="1"/>
  <c r="P352" i="3"/>
  <c r="Q352" i="3" s="1"/>
  <c r="V352" i="3" s="1"/>
  <c r="P345" i="3"/>
  <c r="Q345" i="3" s="1"/>
  <c r="V345" i="3" s="1"/>
  <c r="P346" i="3"/>
  <c r="Q346" i="3" s="1"/>
  <c r="V346" i="3" s="1"/>
  <c r="P347" i="3"/>
  <c r="Q347" i="3" s="1"/>
  <c r="V347" i="3" s="1"/>
  <c r="P344" i="3"/>
  <c r="Q344" i="3" s="1"/>
  <c r="V344" i="3" s="1"/>
  <c r="P340" i="3"/>
  <c r="Q340" i="3" s="1"/>
  <c r="V340" i="3" s="1"/>
  <c r="P330" i="3"/>
  <c r="Q330" i="3" s="1"/>
  <c r="V330" i="3" s="1"/>
  <c r="P325" i="3"/>
  <c r="Q325" i="3" s="1"/>
  <c r="V325" i="3" s="1"/>
  <c r="P326" i="3"/>
  <c r="Q326" i="3" s="1"/>
  <c r="V326" i="3" s="1"/>
  <c r="P327" i="3"/>
  <c r="Q327" i="3" s="1"/>
  <c r="V327" i="3" s="1"/>
  <c r="P328" i="3"/>
  <c r="Q328" i="3" s="1"/>
  <c r="V328" i="3" s="1"/>
  <c r="P329" i="3"/>
  <c r="Q329" i="3" s="1"/>
  <c r="V329" i="3" s="1"/>
  <c r="P324" i="3"/>
  <c r="Q324" i="3" s="1"/>
  <c r="V324" i="3" s="1"/>
  <c r="P323" i="3"/>
  <c r="Q323" i="3" s="1"/>
  <c r="V323" i="3" s="1"/>
  <c r="P322" i="3"/>
  <c r="Q322" i="3" s="1"/>
  <c r="V322" i="3" s="1"/>
  <c r="P321" i="3"/>
  <c r="Q321" i="3" s="1"/>
  <c r="V321" i="3" s="1"/>
  <c r="P319" i="3"/>
  <c r="Q319" i="3" s="1"/>
  <c r="V319" i="3" s="1"/>
  <c r="P320" i="3"/>
  <c r="Q320" i="3" s="1"/>
  <c r="V320" i="3" s="1"/>
  <c r="P317" i="3"/>
  <c r="P318" i="3"/>
  <c r="Q318" i="3" s="1"/>
  <c r="V318" i="3" s="1"/>
  <c r="P311" i="3"/>
  <c r="Q311" i="3" s="1"/>
  <c r="V311" i="3" s="1"/>
  <c r="P312" i="3"/>
  <c r="Q312" i="3" s="1"/>
  <c r="V312" i="3" s="1"/>
  <c r="P313" i="3"/>
  <c r="Q313" i="3" s="1"/>
  <c r="V313" i="3" s="1"/>
  <c r="P314" i="3"/>
  <c r="Q314" i="3" s="1"/>
  <c r="V314" i="3" s="1"/>
  <c r="P315" i="3"/>
  <c r="Q315" i="3" s="1"/>
  <c r="V315" i="3" s="1"/>
  <c r="P316" i="3"/>
  <c r="Q316" i="3" s="1"/>
  <c r="V316" i="3" s="1"/>
  <c r="P310" i="3"/>
  <c r="Q310" i="3" s="1"/>
  <c r="V310" i="3" s="1"/>
  <c r="P308" i="3"/>
  <c r="Q308" i="3" s="1"/>
  <c r="V308" i="3" s="1"/>
  <c r="P307" i="3"/>
  <c r="Q307" i="3" s="1"/>
  <c r="V307" i="3" s="1"/>
  <c r="P302" i="3"/>
  <c r="Q302" i="3" s="1"/>
  <c r="V302" i="3" s="1"/>
  <c r="P303" i="3"/>
  <c r="Q303" i="3" s="1"/>
  <c r="V303" i="3" s="1"/>
  <c r="P304" i="3"/>
  <c r="Q304" i="3" s="1"/>
  <c r="V304" i="3" s="1"/>
  <c r="P305" i="3"/>
  <c r="Q305" i="3" s="1"/>
  <c r="V305" i="3" s="1"/>
  <c r="P306" i="3"/>
  <c r="Q306" i="3" s="1"/>
  <c r="V306" i="3" s="1"/>
  <c r="P301" i="3"/>
  <c r="Q301" i="3" s="1"/>
  <c r="V301" i="3" s="1"/>
  <c r="P298" i="3"/>
  <c r="Q298" i="3" s="1"/>
  <c r="V298" i="3" s="1"/>
  <c r="P299" i="3"/>
  <c r="Q299" i="3" s="1"/>
  <c r="V299" i="3" s="1"/>
  <c r="P300" i="3"/>
  <c r="Q300" i="3" s="1"/>
  <c r="V300" i="3" s="1"/>
  <c r="P297" i="3"/>
  <c r="Q297" i="3" s="1"/>
  <c r="V297" i="3" s="1"/>
  <c r="P295" i="3"/>
  <c r="Q295" i="3" s="1"/>
  <c r="V295" i="3" s="1"/>
  <c r="P296" i="3"/>
  <c r="Q296" i="3" s="1"/>
  <c r="V296" i="3" s="1"/>
  <c r="P290" i="3"/>
  <c r="Q290" i="3" s="1"/>
  <c r="V290" i="3" s="1"/>
  <c r="P291" i="3"/>
  <c r="Q291" i="3" s="1"/>
  <c r="V291" i="3" s="1"/>
  <c r="P292" i="3"/>
  <c r="Q292" i="3" s="1"/>
  <c r="V292" i="3" s="1"/>
  <c r="P293" i="3"/>
  <c r="Q293" i="3" s="1"/>
  <c r="V293" i="3" s="1"/>
  <c r="P294" i="3"/>
  <c r="Q294" i="3" s="1"/>
  <c r="V294" i="3" s="1"/>
  <c r="P289" i="3"/>
  <c r="Q289" i="3" s="1"/>
  <c r="V289" i="3" s="1"/>
  <c r="P287" i="3"/>
  <c r="Q287" i="3" s="1"/>
  <c r="V287" i="3" s="1"/>
  <c r="P288" i="3"/>
  <c r="Q288" i="3" s="1"/>
  <c r="V288" i="3" s="1"/>
  <c r="P286" i="3"/>
  <c r="Q286" i="3" s="1"/>
  <c r="V286" i="3" s="1"/>
  <c r="P285" i="3"/>
  <c r="Q285" i="3" s="1"/>
  <c r="V285" i="3" s="1"/>
  <c r="P282" i="3"/>
  <c r="Q282" i="3" s="1"/>
  <c r="V282" i="3" s="1"/>
  <c r="P283" i="3"/>
  <c r="Q283" i="3" s="1"/>
  <c r="V283" i="3" s="1"/>
  <c r="P284" i="3"/>
  <c r="Q284" i="3" s="1"/>
  <c r="V284" i="3" s="1"/>
  <c r="P281" i="3"/>
  <c r="Q281" i="3" s="1"/>
  <c r="V281" i="3" s="1"/>
  <c r="P280" i="3"/>
  <c r="Q280" i="3" s="1"/>
  <c r="V280" i="3" s="1"/>
  <c r="P279" i="3"/>
  <c r="P275" i="3"/>
  <c r="P276" i="3"/>
  <c r="Q276" i="3" s="1"/>
  <c r="V276" i="3" s="1"/>
  <c r="P277" i="3"/>
  <c r="Q277" i="3" s="1"/>
  <c r="V277" i="3" s="1"/>
  <c r="P278" i="3"/>
  <c r="Q278" i="3" s="1"/>
  <c r="V278" i="3" s="1"/>
  <c r="P274" i="3"/>
  <c r="Q274" i="3" s="1"/>
  <c r="V274" i="3" s="1"/>
  <c r="P271" i="3"/>
  <c r="Q271" i="3" s="1"/>
  <c r="V271" i="3" s="1"/>
  <c r="P272" i="3"/>
  <c r="Q272" i="3" s="1"/>
  <c r="V272" i="3" s="1"/>
  <c r="P273" i="3"/>
  <c r="Q273" i="3" s="1"/>
  <c r="V273" i="3" s="1"/>
  <c r="P269" i="3"/>
  <c r="Q269" i="3" s="1"/>
  <c r="V269" i="3" s="1"/>
  <c r="P270" i="3"/>
  <c r="Q270" i="3" s="1"/>
  <c r="V270" i="3" s="1"/>
  <c r="P268" i="3"/>
  <c r="Q268" i="3" s="1"/>
  <c r="V268" i="3" s="1"/>
  <c r="P267" i="3"/>
  <c r="Q267" i="3" s="1"/>
  <c r="V267" i="3" s="1"/>
  <c r="P265" i="3"/>
  <c r="Q265" i="3" s="1"/>
  <c r="V265" i="3" s="1"/>
  <c r="P266" i="3"/>
  <c r="Q266" i="3" s="1"/>
  <c r="V266" i="3" s="1"/>
  <c r="P264" i="3"/>
  <c r="Q264" i="3" s="1"/>
  <c r="V264" i="3" s="1"/>
  <c r="P261" i="3"/>
  <c r="Q261" i="3" s="1"/>
  <c r="V261" i="3" s="1"/>
  <c r="P262" i="3"/>
  <c r="Q262" i="3" s="1"/>
  <c r="V262" i="3" s="1"/>
  <c r="P263" i="3"/>
  <c r="Q263" i="3" s="1"/>
  <c r="V263" i="3" s="1"/>
  <c r="P259" i="3"/>
  <c r="Q259" i="3" s="1"/>
  <c r="V259" i="3" s="1"/>
  <c r="P260" i="3"/>
  <c r="Q260" i="3" s="1"/>
  <c r="V260" i="3" s="1"/>
  <c r="P257" i="3"/>
  <c r="Q257" i="3" s="1"/>
  <c r="V257" i="3" s="1"/>
  <c r="P258" i="3"/>
  <c r="Q258" i="3" s="1"/>
  <c r="V258" i="3" s="1"/>
  <c r="P253" i="3"/>
  <c r="Q253" i="3" s="1"/>
  <c r="V253" i="3" s="1"/>
  <c r="P254" i="3"/>
  <c r="Q254" i="3" s="1"/>
  <c r="V254" i="3" s="1"/>
  <c r="P255" i="3"/>
  <c r="Q255" i="3" s="1"/>
  <c r="V255" i="3" s="1"/>
  <c r="P256" i="3"/>
  <c r="Q256" i="3" s="1"/>
  <c r="V256" i="3" s="1"/>
  <c r="P249" i="3"/>
  <c r="Q249" i="3" s="1"/>
  <c r="V249" i="3" s="1"/>
  <c r="P250" i="3"/>
  <c r="Q250" i="3" s="1"/>
  <c r="V250" i="3" s="1"/>
  <c r="P251" i="3"/>
  <c r="Q251" i="3" s="1"/>
  <c r="V251" i="3" s="1"/>
  <c r="P252" i="3"/>
  <c r="Q252" i="3" s="1"/>
  <c r="V252" i="3" s="1"/>
  <c r="P244" i="3"/>
  <c r="Q244" i="3" s="1"/>
  <c r="V244" i="3" s="1"/>
  <c r="P245" i="3"/>
  <c r="Q245" i="3" s="1"/>
  <c r="V245" i="3" s="1"/>
  <c r="P246" i="3"/>
  <c r="Q246" i="3" s="1"/>
  <c r="V246" i="3" s="1"/>
  <c r="P247" i="3"/>
  <c r="Q247" i="3" s="1"/>
  <c r="V247" i="3" s="1"/>
  <c r="P248" i="3"/>
  <c r="Q248" i="3" s="1"/>
  <c r="V248" i="3" s="1"/>
  <c r="P243" i="3"/>
  <c r="Q243" i="3" s="1"/>
  <c r="V243" i="3" s="1"/>
  <c r="P241" i="3"/>
  <c r="Q241" i="3" s="1"/>
  <c r="V241" i="3" s="1"/>
  <c r="P242" i="3"/>
  <c r="Q242" i="3" s="1"/>
  <c r="V242" i="3" s="1"/>
  <c r="P240" i="3"/>
  <c r="Q240" i="3" s="1"/>
  <c r="V240" i="3" s="1"/>
  <c r="P238" i="3"/>
  <c r="Q238" i="3" s="1"/>
  <c r="V238" i="3" s="1"/>
  <c r="P239" i="3"/>
  <c r="Q239" i="3" s="1"/>
  <c r="V239" i="3" s="1"/>
  <c r="P235" i="3"/>
  <c r="Q235" i="3" s="1"/>
  <c r="V235" i="3" s="1"/>
  <c r="P236" i="3"/>
  <c r="Q236" i="3" s="1"/>
  <c r="V236" i="3" s="1"/>
  <c r="P237" i="3"/>
  <c r="Q237" i="3" s="1"/>
  <c r="V237" i="3" s="1"/>
  <c r="P229" i="3"/>
  <c r="Q229" i="3" s="1"/>
  <c r="V229" i="3" s="1"/>
  <c r="P230" i="3"/>
  <c r="Q230" i="3" s="1"/>
  <c r="V230" i="3" s="1"/>
  <c r="P231" i="3"/>
  <c r="Q231" i="3" s="1"/>
  <c r="V231" i="3" s="1"/>
  <c r="P232" i="3"/>
  <c r="Q232" i="3" s="1"/>
  <c r="V232" i="3" s="1"/>
  <c r="P233" i="3"/>
  <c r="Q233" i="3" s="1"/>
  <c r="V233" i="3" s="1"/>
  <c r="P234" i="3"/>
  <c r="Q234" i="3" s="1"/>
  <c r="V234" i="3" s="1"/>
  <c r="P228" i="3"/>
  <c r="Q228" i="3" s="1"/>
  <c r="V228" i="3" s="1"/>
  <c r="P225" i="3"/>
  <c r="Q225" i="3" s="1"/>
  <c r="V225" i="3" s="1"/>
  <c r="P226" i="3"/>
  <c r="Q226" i="3" s="1"/>
  <c r="V226" i="3" s="1"/>
  <c r="P227" i="3"/>
  <c r="Q227" i="3" s="1"/>
  <c r="V227" i="3" s="1"/>
  <c r="P224" i="3"/>
  <c r="Q224" i="3" s="1"/>
  <c r="V224" i="3" s="1"/>
  <c r="P222" i="3"/>
  <c r="Q222" i="3" s="1"/>
  <c r="V222" i="3" s="1"/>
  <c r="P223" i="3"/>
  <c r="Q223" i="3" s="1"/>
  <c r="V223" i="3" s="1"/>
  <c r="P220" i="3"/>
  <c r="Q220" i="3" s="1"/>
  <c r="V220" i="3" s="1"/>
  <c r="P221" i="3"/>
  <c r="Q221" i="3" s="1"/>
  <c r="V221" i="3" s="1"/>
  <c r="P214" i="3"/>
  <c r="Q214" i="3" s="1"/>
  <c r="V214" i="3" s="1"/>
  <c r="P215" i="3"/>
  <c r="Q215" i="3" s="1"/>
  <c r="V215" i="3" s="1"/>
  <c r="P216" i="3"/>
  <c r="Q216" i="3" s="1"/>
  <c r="V216" i="3" s="1"/>
  <c r="P217" i="3"/>
  <c r="Q217" i="3" s="1"/>
  <c r="V217" i="3" s="1"/>
  <c r="P218" i="3"/>
  <c r="Q218" i="3" s="1"/>
  <c r="V218" i="3" s="1"/>
  <c r="P219" i="3"/>
  <c r="Q219" i="3" s="1"/>
  <c r="V219" i="3" s="1"/>
  <c r="P213" i="3"/>
  <c r="Q213" i="3" s="1"/>
  <c r="V213" i="3" s="1"/>
  <c r="P208" i="3"/>
  <c r="Q208" i="3" s="1"/>
  <c r="V208" i="3" s="1"/>
  <c r="P209" i="3"/>
  <c r="Q209" i="3" s="1"/>
  <c r="V209" i="3" s="1"/>
  <c r="P210" i="3"/>
  <c r="Q210" i="3" s="1"/>
  <c r="V210" i="3" s="1"/>
  <c r="P211" i="3"/>
  <c r="Q211" i="3" s="1"/>
  <c r="V211" i="3" s="1"/>
  <c r="P212" i="3"/>
  <c r="Q212" i="3" s="1"/>
  <c r="V212" i="3" s="1"/>
  <c r="P207" i="3"/>
  <c r="Q207" i="3" s="1"/>
  <c r="V207" i="3" s="1"/>
  <c r="P205" i="3"/>
  <c r="Q205" i="3" s="1"/>
  <c r="V205" i="3" s="1"/>
  <c r="P206" i="3"/>
  <c r="Q206" i="3" s="1"/>
  <c r="V206" i="3" s="1"/>
  <c r="P204" i="3"/>
  <c r="Q204" i="3" s="1"/>
  <c r="V204" i="3" s="1"/>
  <c r="P203" i="3"/>
  <c r="Q203" i="3" s="1"/>
  <c r="V203" i="3" s="1"/>
  <c r="P201" i="3"/>
  <c r="Q201" i="3" s="1"/>
  <c r="V201" i="3" s="1"/>
  <c r="P202" i="3"/>
  <c r="Q202" i="3" s="1"/>
  <c r="V202" i="3" s="1"/>
  <c r="P199" i="3"/>
  <c r="Q199" i="3" s="1"/>
  <c r="V199" i="3" s="1"/>
  <c r="P200" i="3"/>
  <c r="Q200" i="3" s="1"/>
  <c r="V200" i="3" s="1"/>
  <c r="P198" i="3"/>
  <c r="Q198" i="3" s="1"/>
  <c r="V198" i="3" s="1"/>
  <c r="P197" i="3"/>
  <c r="Q197" i="3" s="1"/>
  <c r="V197" i="3" s="1"/>
  <c r="P195" i="3"/>
  <c r="Q195" i="3" s="1"/>
  <c r="V195" i="3" s="1"/>
  <c r="P196" i="3"/>
  <c r="Q196" i="3" s="1"/>
  <c r="V196" i="3" s="1"/>
  <c r="P193" i="3"/>
  <c r="Q193" i="3" s="1"/>
  <c r="V193" i="3" s="1"/>
  <c r="P194" i="3"/>
  <c r="Q194" i="3" s="1"/>
  <c r="V194" i="3" s="1"/>
  <c r="P191" i="3"/>
  <c r="Q191" i="3" s="1"/>
  <c r="V191" i="3" s="1"/>
  <c r="P192" i="3"/>
  <c r="Q192" i="3" s="1"/>
  <c r="V192" i="3" s="1"/>
  <c r="P189" i="3"/>
  <c r="Q189" i="3" s="1"/>
  <c r="V189" i="3" s="1"/>
  <c r="P190" i="3"/>
  <c r="Q190" i="3" s="1"/>
  <c r="V190" i="3" s="1"/>
  <c r="P186" i="3"/>
  <c r="Q186" i="3" s="1"/>
  <c r="V186" i="3" s="1"/>
  <c r="P187" i="3"/>
  <c r="Q187" i="3" s="1"/>
  <c r="V187" i="3" s="1"/>
  <c r="P188" i="3"/>
  <c r="Q188" i="3" s="1"/>
  <c r="V188" i="3" s="1"/>
  <c r="P184" i="3"/>
  <c r="Q184" i="3" s="1"/>
  <c r="V184" i="3" s="1"/>
  <c r="P185" i="3"/>
  <c r="Q185" i="3" s="1"/>
  <c r="V185" i="3" s="1"/>
  <c r="P183" i="3"/>
  <c r="Q183" i="3" s="1"/>
  <c r="V183" i="3" s="1"/>
  <c r="P182" i="3"/>
  <c r="Q182" i="3" s="1"/>
  <c r="V182" i="3" s="1"/>
  <c r="P180" i="3"/>
  <c r="Q180" i="3" s="1"/>
  <c r="V180" i="3" s="1"/>
  <c r="P181" i="3"/>
  <c r="Q181" i="3" s="1"/>
  <c r="V181" i="3" s="1"/>
  <c r="P178" i="3"/>
  <c r="Q178" i="3" s="1"/>
  <c r="V178" i="3" s="1"/>
  <c r="P179" i="3"/>
  <c r="Q179" i="3" s="1"/>
  <c r="V179" i="3" s="1"/>
  <c r="P176" i="3"/>
  <c r="Q176" i="3" s="1"/>
  <c r="V176" i="3" s="1"/>
  <c r="P177" i="3"/>
  <c r="Q177" i="3" s="1"/>
  <c r="V177" i="3" s="1"/>
  <c r="P174" i="3"/>
  <c r="Q174" i="3" s="1"/>
  <c r="V174" i="3" s="1"/>
  <c r="P175" i="3"/>
  <c r="Q175" i="3" s="1"/>
  <c r="V175" i="3" s="1"/>
  <c r="P173" i="3"/>
  <c r="Q173" i="3" s="1"/>
  <c r="V173" i="3" s="1"/>
  <c r="P172" i="3"/>
  <c r="Q172" i="3" s="1"/>
  <c r="V172" i="3" s="1"/>
  <c r="P170" i="3"/>
  <c r="Q170" i="3" s="1"/>
  <c r="V170" i="3" s="1"/>
  <c r="P171" i="3"/>
  <c r="Q171" i="3" s="1"/>
  <c r="V171" i="3" s="1"/>
  <c r="P165" i="3"/>
  <c r="Q165" i="3" s="1"/>
  <c r="V165" i="3" s="1"/>
  <c r="P166" i="3"/>
  <c r="Q166" i="3" s="1"/>
  <c r="V166" i="3" s="1"/>
  <c r="P167" i="3"/>
  <c r="Q167" i="3" s="1"/>
  <c r="V167" i="3" s="1"/>
  <c r="P168" i="3"/>
  <c r="Q168" i="3" s="1"/>
  <c r="V168" i="3" s="1"/>
  <c r="P169" i="3"/>
  <c r="Q169" i="3" s="1"/>
  <c r="V169" i="3" s="1"/>
  <c r="P164" i="3"/>
  <c r="Q164" i="3" s="1"/>
  <c r="V164" i="3" s="1"/>
  <c r="P163" i="3"/>
  <c r="Q163" i="3" s="1"/>
  <c r="V163" i="3" s="1"/>
  <c r="P159" i="3"/>
  <c r="P160" i="3"/>
  <c r="Q160" i="3" s="1"/>
  <c r="V160" i="3" s="1"/>
  <c r="P161" i="3"/>
  <c r="Q161" i="3" s="1"/>
  <c r="V161" i="3" s="1"/>
  <c r="P162" i="3"/>
  <c r="Q162" i="3" s="1"/>
  <c r="V162" i="3" s="1"/>
  <c r="P157" i="3"/>
  <c r="Q157" i="3" s="1"/>
  <c r="V157" i="3" s="1"/>
  <c r="P158" i="3"/>
  <c r="Q158" i="3" s="1"/>
  <c r="V158" i="3" s="1"/>
  <c r="P156" i="3"/>
  <c r="Q156" i="3" s="1"/>
  <c r="V156" i="3" s="1"/>
  <c r="P154" i="3"/>
  <c r="Q154" i="3" s="1"/>
  <c r="V154" i="3" s="1"/>
  <c r="P155" i="3"/>
  <c r="Q155" i="3" s="1"/>
  <c r="V155" i="3" s="1"/>
  <c r="P151" i="3"/>
  <c r="Q151" i="3" s="1"/>
  <c r="V151" i="3" s="1"/>
  <c r="P152" i="3"/>
  <c r="Q152" i="3" s="1"/>
  <c r="V152" i="3" s="1"/>
  <c r="P153" i="3"/>
  <c r="Q153" i="3" s="1"/>
  <c r="V153" i="3" s="1"/>
  <c r="P149" i="3"/>
  <c r="Q149" i="3" s="1"/>
  <c r="V149" i="3" s="1"/>
  <c r="P150" i="3"/>
  <c r="Q150" i="3" s="1"/>
  <c r="V150" i="3" s="1"/>
  <c r="P147" i="3"/>
  <c r="Q147" i="3" s="1"/>
  <c r="V147" i="3" s="1"/>
  <c r="P148" i="3"/>
  <c r="Q148" i="3" s="1"/>
  <c r="V148" i="3" s="1"/>
  <c r="P145" i="3"/>
  <c r="Q145" i="3" s="1"/>
  <c r="V145" i="3" s="1"/>
  <c r="P146" i="3"/>
  <c r="Q146" i="3" s="1"/>
  <c r="V146" i="3" s="1"/>
  <c r="P144" i="3"/>
  <c r="Q144" i="3" s="1"/>
  <c r="V144" i="3" s="1"/>
  <c r="P142" i="3"/>
  <c r="Q142" i="3" s="1"/>
  <c r="V142" i="3" s="1"/>
  <c r="P143" i="3"/>
  <c r="Q143" i="3" s="1"/>
  <c r="V143" i="3" s="1"/>
  <c r="P139" i="3"/>
  <c r="Q139" i="3" s="1"/>
  <c r="V139" i="3" s="1"/>
  <c r="P140" i="3"/>
  <c r="Q140" i="3" s="1"/>
  <c r="V140" i="3" s="1"/>
  <c r="P141" i="3"/>
  <c r="Q141" i="3" s="1"/>
  <c r="V141" i="3" s="1"/>
  <c r="P138" i="3"/>
  <c r="Q138" i="3" s="1"/>
  <c r="V138" i="3" s="1"/>
  <c r="P137" i="3"/>
  <c r="Q137" i="3" s="1"/>
  <c r="V137" i="3" s="1"/>
  <c r="P136" i="3"/>
  <c r="Q136" i="3" s="1"/>
  <c r="V136" i="3" s="1"/>
  <c r="P135" i="3"/>
  <c r="Q135" i="3" s="1"/>
  <c r="V135" i="3" s="1"/>
  <c r="P134" i="3"/>
  <c r="Q134" i="3" s="1"/>
  <c r="V134" i="3" s="1"/>
  <c r="P133" i="3"/>
  <c r="Q133" i="3" s="1"/>
  <c r="V133" i="3" s="1"/>
  <c r="P131" i="3"/>
  <c r="Q131" i="3" s="1"/>
  <c r="V131" i="3" s="1"/>
  <c r="P132" i="3"/>
  <c r="Q132" i="3" s="1"/>
  <c r="V132" i="3" s="1"/>
  <c r="P128" i="3"/>
  <c r="Q128" i="3" s="1"/>
  <c r="V128" i="3" s="1"/>
  <c r="P129" i="3"/>
  <c r="Q129" i="3" s="1"/>
  <c r="V129" i="3" s="1"/>
  <c r="P130" i="3"/>
  <c r="Q130" i="3" s="1"/>
  <c r="V130" i="3" s="1"/>
  <c r="P124" i="3"/>
  <c r="Q124" i="3" s="1"/>
  <c r="V124" i="3" s="1"/>
  <c r="P125" i="3"/>
  <c r="Q125" i="3" s="1"/>
  <c r="V125" i="3" s="1"/>
  <c r="P126" i="3"/>
  <c r="Q126" i="3" s="1"/>
  <c r="V126" i="3" s="1"/>
  <c r="P127" i="3"/>
  <c r="Q127" i="3" s="1"/>
  <c r="V127" i="3" s="1"/>
  <c r="P123" i="3"/>
  <c r="Q123" i="3" s="1"/>
  <c r="V123" i="3" s="1"/>
  <c r="P122" i="3"/>
  <c r="Q122" i="3" s="1"/>
  <c r="V122" i="3" s="1"/>
  <c r="P118" i="3"/>
  <c r="Q118" i="3" s="1"/>
  <c r="V118" i="3" s="1"/>
  <c r="P119" i="3"/>
  <c r="Q119" i="3" s="1"/>
  <c r="V119" i="3" s="1"/>
  <c r="P120" i="3"/>
  <c r="Q120" i="3" s="1"/>
  <c r="V120" i="3" s="1"/>
  <c r="P121" i="3"/>
  <c r="Q121" i="3" s="1"/>
  <c r="V121" i="3" s="1"/>
  <c r="P117" i="3"/>
  <c r="Q117" i="3" s="1"/>
  <c r="V117" i="3" s="1"/>
  <c r="P116" i="3"/>
  <c r="Q116" i="3" s="1"/>
  <c r="V116" i="3" s="1"/>
  <c r="P114" i="3"/>
  <c r="Q114" i="3" s="1"/>
  <c r="V114" i="3" s="1"/>
  <c r="P115" i="3"/>
  <c r="Q115" i="3" s="1"/>
  <c r="V115" i="3" s="1"/>
  <c r="P113" i="3"/>
  <c r="Q113" i="3" s="1"/>
  <c r="V113" i="3" s="1"/>
  <c r="P112" i="3"/>
  <c r="Q112" i="3" s="1"/>
  <c r="V112" i="3" s="1"/>
  <c r="P109" i="3"/>
  <c r="Q109" i="3" s="1"/>
  <c r="V109" i="3" s="1"/>
  <c r="P110" i="3"/>
  <c r="Q110" i="3" s="1"/>
  <c r="V110" i="3" s="1"/>
  <c r="P111" i="3"/>
  <c r="Q111" i="3" s="1"/>
  <c r="V111" i="3" s="1"/>
  <c r="P108" i="3"/>
  <c r="Q108" i="3" s="1"/>
  <c r="V108" i="3" s="1"/>
  <c r="P106" i="3"/>
  <c r="Q106" i="3" s="1"/>
  <c r="V106" i="3" s="1"/>
  <c r="P107" i="3"/>
  <c r="Q107" i="3" s="1"/>
  <c r="V107" i="3" s="1"/>
  <c r="P104" i="3"/>
  <c r="Q104" i="3" s="1"/>
  <c r="V104" i="3" s="1"/>
  <c r="P105" i="3"/>
  <c r="Q105" i="3" s="1"/>
  <c r="V105" i="3" s="1"/>
  <c r="P103" i="3"/>
  <c r="Q103" i="3" s="1"/>
  <c r="V103" i="3" s="1"/>
  <c r="P101" i="3"/>
  <c r="Q101" i="3" s="1"/>
  <c r="V101" i="3" s="1"/>
  <c r="P102" i="3"/>
  <c r="Q102" i="3" s="1"/>
  <c r="V102" i="3" s="1"/>
  <c r="P99" i="3"/>
  <c r="Q99" i="3" s="1"/>
  <c r="V99" i="3" s="1"/>
  <c r="P100" i="3"/>
  <c r="Q100" i="3" s="1"/>
  <c r="V100" i="3" s="1"/>
  <c r="P91" i="3"/>
  <c r="Q91" i="3" s="1"/>
  <c r="V91" i="3" s="1"/>
  <c r="P92" i="3"/>
  <c r="Q92" i="3" s="1"/>
  <c r="V92" i="3" s="1"/>
  <c r="P93" i="3"/>
  <c r="Q93" i="3" s="1"/>
  <c r="V93" i="3" s="1"/>
  <c r="P94" i="3"/>
  <c r="Q94" i="3" s="1"/>
  <c r="V94" i="3" s="1"/>
  <c r="P95" i="3"/>
  <c r="Q95" i="3" s="1"/>
  <c r="V95" i="3" s="1"/>
  <c r="P96" i="3"/>
  <c r="Q96" i="3" s="1"/>
  <c r="V96" i="3" s="1"/>
  <c r="P97" i="3"/>
  <c r="Q97" i="3" s="1"/>
  <c r="V97" i="3" s="1"/>
  <c r="P98" i="3"/>
  <c r="Q98" i="3" s="1"/>
  <c r="V98" i="3" s="1"/>
  <c r="P90" i="3"/>
  <c r="Q90" i="3" s="1"/>
  <c r="V90" i="3" s="1"/>
  <c r="P89" i="3"/>
  <c r="Q89" i="3" s="1"/>
  <c r="V89" i="3" s="1"/>
  <c r="P88" i="3"/>
  <c r="Q88" i="3" s="1"/>
  <c r="V88" i="3" s="1"/>
  <c r="P82" i="3"/>
  <c r="Q82" i="3" s="1"/>
  <c r="V82" i="3" s="1"/>
  <c r="P83" i="3"/>
  <c r="Q83" i="3" s="1"/>
  <c r="V83" i="3" s="1"/>
  <c r="P84" i="3"/>
  <c r="Q84" i="3" s="1"/>
  <c r="V84" i="3" s="1"/>
  <c r="P85" i="3"/>
  <c r="Q85" i="3" s="1"/>
  <c r="V85" i="3" s="1"/>
  <c r="P86" i="3"/>
  <c r="Q86" i="3" s="1"/>
  <c r="V86" i="3" s="1"/>
  <c r="P87" i="3"/>
  <c r="Q87" i="3" s="1"/>
  <c r="V87" i="3" s="1"/>
  <c r="P80" i="3"/>
  <c r="Q80" i="3" s="1"/>
  <c r="V80" i="3" s="1"/>
  <c r="P81" i="3"/>
  <c r="Q81" i="3" s="1"/>
  <c r="V81" i="3" s="1"/>
  <c r="P78" i="3"/>
  <c r="Q78" i="3" s="1"/>
  <c r="V78" i="3" s="1"/>
  <c r="P79" i="3"/>
  <c r="Q79" i="3" s="1"/>
  <c r="V79" i="3" s="1"/>
  <c r="P77" i="3"/>
  <c r="Q77" i="3" s="1"/>
  <c r="V77" i="3" s="1"/>
  <c r="P76" i="3"/>
  <c r="Q76" i="3" s="1"/>
  <c r="V76" i="3" s="1"/>
  <c r="P66" i="3"/>
  <c r="Q66" i="3" s="1"/>
  <c r="V66" i="3" s="1"/>
  <c r="P67" i="3"/>
  <c r="Q67" i="3" s="1"/>
  <c r="V67" i="3" s="1"/>
  <c r="P68" i="3"/>
  <c r="Q68" i="3" s="1"/>
  <c r="V68" i="3" s="1"/>
  <c r="P69" i="3"/>
  <c r="Q69" i="3" s="1"/>
  <c r="V69" i="3" s="1"/>
  <c r="P70" i="3"/>
  <c r="Q70" i="3" s="1"/>
  <c r="V70" i="3" s="1"/>
  <c r="P71" i="3"/>
  <c r="Q71" i="3" s="1"/>
  <c r="V71" i="3" s="1"/>
  <c r="P72" i="3"/>
  <c r="Q72" i="3" s="1"/>
  <c r="V72" i="3" s="1"/>
  <c r="P73" i="3"/>
  <c r="Q73" i="3" s="1"/>
  <c r="V73" i="3" s="1"/>
  <c r="P74" i="3"/>
  <c r="Q74" i="3" s="1"/>
  <c r="V74" i="3" s="1"/>
  <c r="P75" i="3"/>
  <c r="Q75" i="3" s="1"/>
  <c r="V75" i="3" s="1"/>
  <c r="P60" i="3"/>
  <c r="Q60" i="3" s="1"/>
  <c r="V60" i="3" s="1"/>
  <c r="P61" i="3"/>
  <c r="Q61" i="3" s="1"/>
  <c r="V61" i="3" s="1"/>
  <c r="P62" i="3"/>
  <c r="Q62" i="3" s="1"/>
  <c r="V62" i="3" s="1"/>
  <c r="P63" i="3"/>
  <c r="Q63" i="3" s="1"/>
  <c r="V63" i="3" s="1"/>
  <c r="P64" i="3"/>
  <c r="Q64" i="3" s="1"/>
  <c r="V64" i="3" s="1"/>
  <c r="P65" i="3"/>
  <c r="Q65" i="3" s="1"/>
  <c r="V65" i="3" s="1"/>
  <c r="P58" i="3"/>
  <c r="Q58" i="3" s="1"/>
  <c r="V58" i="3" s="1"/>
  <c r="P59" i="3"/>
  <c r="Q59" i="3" s="1"/>
  <c r="V59" i="3" s="1"/>
  <c r="P51" i="3"/>
  <c r="Q51" i="3" s="1"/>
  <c r="V51" i="3" s="1"/>
  <c r="P52" i="3"/>
  <c r="Q52" i="3" s="1"/>
  <c r="V52" i="3" s="1"/>
  <c r="P53" i="3"/>
  <c r="Q53" i="3" s="1"/>
  <c r="V53" i="3" s="1"/>
  <c r="P54" i="3"/>
  <c r="Q54" i="3" s="1"/>
  <c r="V54" i="3" s="1"/>
  <c r="P55" i="3"/>
  <c r="Q55" i="3" s="1"/>
  <c r="V55" i="3" s="1"/>
  <c r="P56" i="3"/>
  <c r="Q56" i="3" s="1"/>
  <c r="V56" i="3" s="1"/>
  <c r="P57" i="3"/>
  <c r="Q57" i="3" s="1"/>
  <c r="V57" i="3" s="1"/>
  <c r="P49" i="3"/>
  <c r="Q49" i="3" s="1"/>
  <c r="V49" i="3" s="1"/>
  <c r="P50" i="3"/>
  <c r="Q50" i="3" s="1"/>
  <c r="V50" i="3" s="1"/>
  <c r="P46" i="3"/>
  <c r="Q46" i="3" s="1"/>
  <c r="V46" i="3" s="1"/>
  <c r="P47" i="3"/>
  <c r="Q47" i="3" s="1"/>
  <c r="V47" i="3" s="1"/>
  <c r="P48" i="3"/>
  <c r="Q48" i="3" s="1"/>
  <c r="V48" i="3" s="1"/>
  <c r="P44" i="3"/>
  <c r="Q44" i="3" s="1"/>
  <c r="V44" i="3" s="1"/>
  <c r="P45" i="3"/>
  <c r="Q45" i="3" s="1"/>
  <c r="V45" i="3" s="1"/>
  <c r="P37" i="3"/>
  <c r="Q37" i="3" s="1"/>
  <c r="V37" i="3" s="1"/>
  <c r="P38" i="3"/>
  <c r="Q38" i="3" s="1"/>
  <c r="V38" i="3" s="1"/>
  <c r="P39" i="3"/>
  <c r="Q39" i="3" s="1"/>
  <c r="V39" i="3" s="1"/>
  <c r="P40" i="3"/>
  <c r="Q40" i="3" s="1"/>
  <c r="V40" i="3" s="1"/>
  <c r="P41" i="3"/>
  <c r="Q41" i="3" s="1"/>
  <c r="V41" i="3" s="1"/>
  <c r="P42" i="3"/>
  <c r="Q42" i="3" s="1"/>
  <c r="V42" i="3" s="1"/>
  <c r="P43" i="3"/>
  <c r="Q43" i="3" s="1"/>
  <c r="V43" i="3" s="1"/>
  <c r="P35" i="3"/>
  <c r="Q35" i="3" s="1"/>
  <c r="V35" i="3" s="1"/>
  <c r="P36" i="3"/>
  <c r="Q36" i="3" s="1"/>
  <c r="V36" i="3" s="1"/>
  <c r="P30" i="3"/>
  <c r="Q30" i="3" s="1"/>
  <c r="V30" i="3" s="1"/>
  <c r="P31" i="3"/>
  <c r="Q31" i="3" s="1"/>
  <c r="V31" i="3" s="1"/>
  <c r="P32" i="3"/>
  <c r="Q32" i="3" s="1"/>
  <c r="V32" i="3" s="1"/>
  <c r="P33" i="3"/>
  <c r="Q33" i="3" s="1"/>
  <c r="V33" i="3" s="1"/>
  <c r="P34" i="3"/>
  <c r="Q34" i="3" s="1"/>
  <c r="V34" i="3" s="1"/>
  <c r="P27" i="3"/>
  <c r="Q27" i="3" s="1"/>
  <c r="V27" i="3" s="1"/>
  <c r="P28" i="3"/>
  <c r="Q28" i="3" s="1"/>
  <c r="V28" i="3" s="1"/>
  <c r="P29" i="3"/>
  <c r="Q29" i="3" s="1"/>
  <c r="V29" i="3" s="1"/>
  <c r="P24" i="3"/>
  <c r="Q24" i="3" s="1"/>
  <c r="V24" i="3" s="1"/>
  <c r="P25" i="3"/>
  <c r="Q25" i="3" s="1"/>
  <c r="V25" i="3" s="1"/>
  <c r="P26" i="3"/>
  <c r="Q26" i="3" s="1"/>
  <c r="V26" i="3" s="1"/>
  <c r="P18" i="3"/>
  <c r="Q18" i="3" s="1"/>
  <c r="V18" i="3" s="1"/>
  <c r="P19" i="3"/>
  <c r="Q19" i="3" s="1"/>
  <c r="V19" i="3" s="1"/>
  <c r="P20" i="3"/>
  <c r="Q20" i="3" s="1"/>
  <c r="V20" i="3" s="1"/>
  <c r="P21" i="3"/>
  <c r="Q21" i="3" s="1"/>
  <c r="V21" i="3" s="1"/>
  <c r="P22" i="3"/>
  <c r="Q22" i="3" s="1"/>
  <c r="V22" i="3" s="1"/>
  <c r="P23" i="3"/>
  <c r="Q23" i="3" s="1"/>
  <c r="V23" i="3" s="1"/>
  <c r="P16" i="3"/>
  <c r="Q16" i="3" s="1"/>
  <c r="V16" i="3" s="1"/>
  <c r="P17" i="3"/>
  <c r="Q17" i="3" s="1"/>
  <c r="V17" i="3" s="1"/>
  <c r="P13" i="3"/>
  <c r="Q13" i="3" s="1"/>
  <c r="V13" i="3" s="1"/>
  <c r="P14" i="3"/>
  <c r="Q14" i="3" s="1"/>
  <c r="V14" i="3" s="1"/>
  <c r="P15" i="3"/>
  <c r="Q15" i="3" s="1"/>
  <c r="V15" i="3" s="1"/>
  <c r="P11" i="3"/>
  <c r="Q11" i="3" s="1"/>
  <c r="V11" i="3" s="1"/>
  <c r="P12" i="3"/>
  <c r="Q12" i="3" s="1"/>
  <c r="V12" i="3" s="1"/>
  <c r="P2" i="3"/>
  <c r="Q2" i="3" s="1"/>
  <c r="P3" i="3"/>
  <c r="Q3" i="3" s="1"/>
  <c r="V3" i="3" s="1"/>
  <c r="P4" i="3"/>
  <c r="Q4" i="3" s="1"/>
  <c r="V4" i="3" s="1"/>
  <c r="P5" i="3"/>
  <c r="Q5" i="3" s="1"/>
  <c r="V5" i="3" s="1"/>
  <c r="P6" i="3"/>
  <c r="Q6" i="3" s="1"/>
  <c r="V6" i="3" s="1"/>
  <c r="P7" i="3"/>
  <c r="Q7" i="3" s="1"/>
  <c r="V7" i="3" s="1"/>
  <c r="P8" i="3"/>
  <c r="Q8" i="3" s="1"/>
  <c r="V8" i="3" s="1"/>
  <c r="P9" i="3"/>
  <c r="Q9" i="3" s="1"/>
  <c r="V9" i="3" s="1"/>
  <c r="P10" i="3"/>
  <c r="Q10" i="3" s="1"/>
  <c r="V10" i="3" s="1"/>
  <c r="P432" i="3"/>
  <c r="Q432" i="3" s="1"/>
  <c r="V432" i="3" s="1"/>
  <c r="P433" i="3"/>
  <c r="Q433" i="3" s="1"/>
  <c r="V433" i="3" s="1"/>
  <c r="P434" i="3"/>
  <c r="P435" i="3"/>
  <c r="Q435" i="3" s="1"/>
  <c r="V435" i="3" s="1"/>
  <c r="P436" i="3"/>
  <c r="Q436" i="3" s="1"/>
  <c r="V436" i="3" s="1"/>
  <c r="P437" i="3"/>
  <c r="Q437" i="3" s="1"/>
  <c r="V437" i="3" s="1"/>
  <c r="P440" i="3"/>
  <c r="Q440" i="3" s="1"/>
  <c r="V440" i="3" s="1"/>
  <c r="P441" i="3"/>
  <c r="Q441" i="3" s="1"/>
  <c r="V441" i="3" s="1"/>
  <c r="P442" i="3"/>
  <c r="Q442" i="3" s="1"/>
  <c r="V442" i="3" s="1"/>
  <c r="P443" i="3"/>
  <c r="Q443" i="3" s="1"/>
  <c r="V443" i="3" s="1"/>
  <c r="P444" i="3"/>
  <c r="Q444" i="3" s="1"/>
  <c r="V444" i="3" s="1"/>
  <c r="P445" i="3"/>
  <c r="Q445" i="3" s="1"/>
  <c r="V445" i="3" s="1"/>
  <c r="P446" i="3"/>
  <c r="Q446" i="3" s="1"/>
  <c r="V446" i="3" s="1"/>
  <c r="P448" i="3"/>
  <c r="Q448" i="3" s="1"/>
  <c r="V448" i="3" s="1"/>
  <c r="P449" i="3"/>
  <c r="Q449" i="3" s="1"/>
  <c r="V449" i="3" s="1"/>
  <c r="P450" i="3"/>
  <c r="Q450" i="3" s="1"/>
  <c r="V450" i="3" s="1"/>
  <c r="P452" i="3"/>
  <c r="Q452" i="3" s="1"/>
  <c r="V452" i="3" s="1"/>
  <c r="P421" i="3"/>
  <c r="Q421" i="3" s="1"/>
  <c r="V421" i="3" s="1"/>
  <c r="P420" i="3"/>
  <c r="Q420" i="3" s="1"/>
  <c r="V420" i="3" s="1"/>
  <c r="P407" i="3"/>
  <c r="Q407" i="3" s="1"/>
  <c r="V407" i="3" s="1"/>
  <c r="P408" i="3"/>
  <c r="Q408" i="3" s="1"/>
  <c r="V408" i="3" s="1"/>
  <c r="P397" i="3"/>
  <c r="Q397" i="3" s="1"/>
  <c r="V397" i="3" s="1"/>
  <c r="P398" i="3"/>
  <c r="Q398" i="3" s="1"/>
  <c r="V398" i="3" s="1"/>
  <c r="P392" i="3"/>
  <c r="Q392" i="3" s="1"/>
  <c r="V392" i="3" s="1"/>
  <c r="P388" i="3"/>
  <c r="Q388" i="3" s="1"/>
  <c r="V388" i="3" s="1"/>
  <c r="P381" i="3"/>
  <c r="Q381" i="3" s="1"/>
  <c r="V381" i="3" s="1"/>
  <c r="P380" i="3"/>
  <c r="Q380" i="3" s="1"/>
  <c r="V380" i="3" s="1"/>
  <c r="P373" i="3"/>
  <c r="Q373" i="3" s="1"/>
  <c r="V373" i="3" s="1"/>
  <c r="P374" i="3"/>
  <c r="Q374" i="3" s="1"/>
  <c r="V374" i="3" s="1"/>
  <c r="P371" i="3"/>
  <c r="Q371" i="3" s="1"/>
  <c r="V371" i="3" s="1"/>
  <c r="P372" i="3"/>
  <c r="Q372" i="3" s="1"/>
  <c r="V372" i="3" s="1"/>
  <c r="P362" i="3"/>
  <c r="Q362" i="3" s="1"/>
  <c r="V362" i="3" s="1"/>
  <c r="P359" i="3"/>
  <c r="Q359" i="3" s="1"/>
  <c r="V359" i="3" s="1"/>
  <c r="P360" i="3"/>
  <c r="Q360" i="3" s="1"/>
  <c r="V360" i="3" s="1"/>
  <c r="P356" i="3"/>
  <c r="Q356" i="3" s="1"/>
  <c r="V356" i="3" s="1"/>
  <c r="P357" i="3"/>
  <c r="Q357" i="3" s="1"/>
  <c r="V357" i="3" s="1"/>
  <c r="P355" i="3"/>
  <c r="Q355" i="3" s="1"/>
  <c r="V355" i="3" s="1"/>
  <c r="P348" i="3"/>
  <c r="Q348" i="3" s="1"/>
  <c r="V348" i="3" s="1"/>
  <c r="P349" i="3"/>
  <c r="Q349" i="3" s="1"/>
  <c r="V349" i="3" s="1"/>
  <c r="P341" i="3"/>
  <c r="Q341" i="3" s="1"/>
  <c r="V341" i="3" s="1"/>
  <c r="P342" i="3"/>
  <c r="Q342" i="3" s="1"/>
  <c r="V342" i="3" s="1"/>
  <c r="P343" i="3"/>
  <c r="P337" i="3"/>
  <c r="Q337" i="3" s="1"/>
  <c r="V337" i="3" s="1"/>
  <c r="P338" i="3"/>
  <c r="Q338" i="3" s="1"/>
  <c r="V338" i="3" s="1"/>
  <c r="P339" i="3"/>
  <c r="Q339" i="3" s="1"/>
  <c r="V339" i="3" s="1"/>
  <c r="P335" i="3"/>
  <c r="Q335" i="3" s="1"/>
  <c r="V335" i="3" s="1"/>
  <c r="P336" i="3"/>
  <c r="Q336" i="3" s="1"/>
  <c r="V336" i="3" s="1"/>
  <c r="P331" i="3"/>
  <c r="Q331" i="3" s="1"/>
  <c r="V331" i="3" s="1"/>
  <c r="P332" i="3"/>
  <c r="Q332" i="3" s="1"/>
  <c r="V332" i="3" s="1"/>
  <c r="P333" i="3"/>
  <c r="Q333" i="3" s="1"/>
  <c r="V333" i="3" s="1"/>
  <c r="P334" i="3"/>
  <c r="Q334" i="3" s="1"/>
  <c r="V334" i="3" s="1"/>
  <c r="P430" i="3"/>
  <c r="Q430" i="3" s="1"/>
  <c r="V430" i="3" s="1"/>
  <c r="P438" i="3"/>
  <c r="Q438" i="3" s="1"/>
  <c r="V438" i="3" s="1"/>
  <c r="P439" i="3"/>
  <c r="Q439" i="3" s="1"/>
  <c r="V439" i="3" s="1"/>
  <c r="P447" i="3"/>
  <c r="Q447" i="3" s="1"/>
  <c r="V447" i="3" s="1"/>
  <c r="P451" i="3"/>
  <c r="Q451" i="3" s="1"/>
  <c r="V451" i="3" s="1"/>
  <c r="N375" i="3"/>
  <c r="N376" i="3"/>
  <c r="N366" i="3"/>
  <c r="N367" i="3"/>
  <c r="N361" i="3"/>
  <c r="N354" i="3"/>
  <c r="N309" i="3"/>
  <c r="N395" i="3"/>
  <c r="N396" i="3"/>
  <c r="N409" i="3"/>
  <c r="N410" i="3"/>
  <c r="N419" i="3"/>
  <c r="N422" i="3"/>
  <c r="N426" i="3"/>
  <c r="N427" i="3"/>
  <c r="N431" i="3"/>
  <c r="N428" i="3"/>
  <c r="N429" i="3"/>
  <c r="N425" i="3"/>
  <c r="N423" i="3"/>
  <c r="N424" i="3"/>
  <c r="N413" i="3"/>
  <c r="N414" i="3"/>
  <c r="N415" i="3"/>
  <c r="N416" i="3"/>
  <c r="N417" i="3"/>
  <c r="N418" i="3"/>
  <c r="N411" i="3"/>
  <c r="N412" i="3"/>
  <c r="N404" i="3"/>
  <c r="N405" i="3"/>
  <c r="N406" i="3"/>
  <c r="N399" i="3"/>
  <c r="N400" i="3"/>
  <c r="N401" i="3"/>
  <c r="N402" i="3"/>
  <c r="N403" i="3"/>
  <c r="N393" i="3"/>
  <c r="N394" i="3"/>
  <c r="N391" i="3"/>
  <c r="N389" i="3"/>
  <c r="N390" i="3"/>
  <c r="N382" i="3"/>
  <c r="N383" i="3"/>
  <c r="N384" i="3"/>
  <c r="N385" i="3"/>
  <c r="N386" i="3"/>
  <c r="N387" i="3"/>
  <c r="N377" i="3"/>
  <c r="N378" i="3"/>
  <c r="N379" i="3"/>
  <c r="N368" i="3"/>
  <c r="N369" i="3"/>
  <c r="N370" i="3"/>
  <c r="N363" i="3"/>
  <c r="N364" i="3"/>
  <c r="N365" i="3"/>
  <c r="N358" i="3"/>
  <c r="N353" i="3"/>
  <c r="N350" i="3"/>
  <c r="N351" i="3"/>
  <c r="N352" i="3"/>
  <c r="N345" i="3"/>
  <c r="N346" i="3"/>
  <c r="N347" i="3"/>
  <c r="N344" i="3"/>
  <c r="N340" i="3"/>
  <c r="N330" i="3"/>
  <c r="N325" i="3"/>
  <c r="N326" i="3"/>
  <c r="N327" i="3"/>
  <c r="N328" i="3"/>
  <c r="N329" i="3"/>
  <c r="N324" i="3"/>
  <c r="N323" i="3"/>
  <c r="N322" i="3"/>
  <c r="N321" i="3"/>
  <c r="N319" i="3"/>
  <c r="N320" i="3"/>
  <c r="N317" i="3"/>
  <c r="N318" i="3"/>
  <c r="N311" i="3"/>
  <c r="N312" i="3"/>
  <c r="N313" i="3"/>
  <c r="N314" i="3"/>
  <c r="N315" i="3"/>
  <c r="N316" i="3"/>
  <c r="N310" i="3"/>
  <c r="N308" i="3"/>
  <c r="N307" i="3"/>
  <c r="N302" i="3"/>
  <c r="N303" i="3"/>
  <c r="N304" i="3"/>
  <c r="N305" i="3"/>
  <c r="N306" i="3"/>
  <c r="N301" i="3"/>
  <c r="N298" i="3"/>
  <c r="N299" i="3"/>
  <c r="N300" i="3"/>
  <c r="N297" i="3"/>
  <c r="N295" i="3"/>
  <c r="N296" i="3"/>
  <c r="N290" i="3"/>
  <c r="N291" i="3"/>
  <c r="N292" i="3"/>
  <c r="N293" i="3"/>
  <c r="N294" i="3"/>
  <c r="N289" i="3"/>
  <c r="N287" i="3"/>
  <c r="N288" i="3"/>
  <c r="N286" i="3"/>
  <c r="N285" i="3"/>
  <c r="N282" i="3"/>
  <c r="N283" i="3"/>
  <c r="N284" i="3"/>
  <c r="N281" i="3"/>
  <c r="N280" i="3"/>
  <c r="N279" i="3"/>
  <c r="N275" i="3"/>
  <c r="N276" i="3"/>
  <c r="N277" i="3"/>
  <c r="N278" i="3"/>
  <c r="N274" i="3"/>
  <c r="N271" i="3"/>
  <c r="N272" i="3"/>
  <c r="N273" i="3"/>
  <c r="N269" i="3"/>
  <c r="N270" i="3"/>
  <c r="N268" i="3"/>
  <c r="N267" i="3"/>
  <c r="N265" i="3"/>
  <c r="N266" i="3"/>
  <c r="N264" i="3"/>
  <c r="N261" i="3"/>
  <c r="N262" i="3"/>
  <c r="N263" i="3"/>
  <c r="N259" i="3"/>
  <c r="N260" i="3"/>
  <c r="N257" i="3"/>
  <c r="N258" i="3"/>
  <c r="N253" i="3"/>
  <c r="N254" i="3"/>
  <c r="N255" i="3"/>
  <c r="N256" i="3"/>
  <c r="N249" i="3"/>
  <c r="N250" i="3"/>
  <c r="N251" i="3"/>
  <c r="N252" i="3"/>
  <c r="N244" i="3"/>
  <c r="N245" i="3"/>
  <c r="N246" i="3"/>
  <c r="N247" i="3"/>
  <c r="N248" i="3"/>
  <c r="N243" i="3"/>
  <c r="N241" i="3"/>
  <c r="N242" i="3"/>
  <c r="N240" i="3"/>
  <c r="N238" i="3"/>
  <c r="N239" i="3"/>
  <c r="N235" i="3"/>
  <c r="N236" i="3"/>
  <c r="N237" i="3"/>
  <c r="N229" i="3"/>
  <c r="N230" i="3"/>
  <c r="N231" i="3"/>
  <c r="N232" i="3"/>
  <c r="N233" i="3"/>
  <c r="N234" i="3"/>
  <c r="N228" i="3"/>
  <c r="N225" i="3"/>
  <c r="N226" i="3"/>
  <c r="N227" i="3"/>
  <c r="N224" i="3"/>
  <c r="N222" i="3"/>
  <c r="N223" i="3"/>
  <c r="N220" i="3"/>
  <c r="N221" i="3"/>
  <c r="N214" i="3"/>
  <c r="N215" i="3"/>
  <c r="N216" i="3"/>
  <c r="N217" i="3"/>
  <c r="N218" i="3"/>
  <c r="N219" i="3"/>
  <c r="N213" i="3"/>
  <c r="N208" i="3"/>
  <c r="N209" i="3"/>
  <c r="N210" i="3"/>
  <c r="N211" i="3"/>
  <c r="N212" i="3"/>
  <c r="N207" i="3"/>
  <c r="N205" i="3"/>
  <c r="N206" i="3"/>
  <c r="N204" i="3"/>
  <c r="N203" i="3"/>
  <c r="N201" i="3"/>
  <c r="N202" i="3"/>
  <c r="N199" i="3"/>
  <c r="N200" i="3"/>
  <c r="N198" i="3"/>
  <c r="N197" i="3"/>
  <c r="N195" i="3"/>
  <c r="N196" i="3"/>
  <c r="N193" i="3"/>
  <c r="N194" i="3"/>
  <c r="N191" i="3"/>
  <c r="N192" i="3"/>
  <c r="N189" i="3"/>
  <c r="N190" i="3"/>
  <c r="N186" i="3"/>
  <c r="N187" i="3"/>
  <c r="N188" i="3"/>
  <c r="N184" i="3"/>
  <c r="N185" i="3"/>
  <c r="N183" i="3"/>
  <c r="N182" i="3"/>
  <c r="N180" i="3"/>
  <c r="N181" i="3"/>
  <c r="N178" i="3"/>
  <c r="N179" i="3"/>
  <c r="N176" i="3"/>
  <c r="N177" i="3"/>
  <c r="N174" i="3"/>
  <c r="N175" i="3"/>
  <c r="N173" i="3"/>
  <c r="N172" i="3"/>
  <c r="N170" i="3"/>
  <c r="N171" i="3"/>
  <c r="N165" i="3"/>
  <c r="N166" i="3"/>
  <c r="N167" i="3"/>
  <c r="N168" i="3"/>
  <c r="N169" i="3"/>
  <c r="N164" i="3"/>
  <c r="N163" i="3"/>
  <c r="N159" i="3"/>
  <c r="N160" i="3"/>
  <c r="N161" i="3"/>
  <c r="N162" i="3"/>
  <c r="N157" i="3"/>
  <c r="N158" i="3"/>
  <c r="N156" i="3"/>
  <c r="N154" i="3"/>
  <c r="N155" i="3"/>
  <c r="N151" i="3"/>
  <c r="N152" i="3"/>
  <c r="N153" i="3"/>
  <c r="N149" i="3"/>
  <c r="N150" i="3"/>
  <c r="N147" i="3"/>
  <c r="N148" i="3"/>
  <c r="N145" i="3"/>
  <c r="N146" i="3"/>
  <c r="N144" i="3"/>
  <c r="N142" i="3"/>
  <c r="N143" i="3"/>
  <c r="N139" i="3"/>
  <c r="N140" i="3"/>
  <c r="N141" i="3"/>
  <c r="N138" i="3"/>
  <c r="N137" i="3"/>
  <c r="N136" i="3"/>
  <c r="N135" i="3"/>
  <c r="N134" i="3"/>
  <c r="N133" i="3"/>
  <c r="N131" i="3"/>
  <c r="N132" i="3"/>
  <c r="N128" i="3"/>
  <c r="N129" i="3"/>
  <c r="N130" i="3"/>
  <c r="N124" i="3"/>
  <c r="N125" i="3"/>
  <c r="N126" i="3"/>
  <c r="N127" i="3"/>
  <c r="N123" i="3"/>
  <c r="N122" i="3"/>
  <c r="N118" i="3"/>
  <c r="N119" i="3"/>
  <c r="N120" i="3"/>
  <c r="N121" i="3"/>
  <c r="N117" i="3"/>
  <c r="N116" i="3"/>
  <c r="N114" i="3"/>
  <c r="N115" i="3"/>
  <c r="N113" i="3"/>
  <c r="N112" i="3"/>
  <c r="N109" i="3"/>
  <c r="N110" i="3"/>
  <c r="N111" i="3"/>
  <c r="N108" i="3"/>
  <c r="N106" i="3"/>
  <c r="N107" i="3"/>
  <c r="N104" i="3"/>
  <c r="N105" i="3"/>
  <c r="N103" i="3"/>
  <c r="N101" i="3"/>
  <c r="N102" i="3"/>
  <c r="N99" i="3"/>
  <c r="N100" i="3"/>
  <c r="N91" i="3"/>
  <c r="N92" i="3"/>
  <c r="N93" i="3"/>
  <c r="N94" i="3"/>
  <c r="N95" i="3"/>
  <c r="N96" i="3"/>
  <c r="N97" i="3"/>
  <c r="N98" i="3"/>
  <c r="N90" i="3"/>
  <c r="N89" i="3"/>
  <c r="N88" i="3"/>
  <c r="N82" i="3"/>
  <c r="N83" i="3"/>
  <c r="N84" i="3"/>
  <c r="N85" i="3"/>
  <c r="N86" i="3"/>
  <c r="N87" i="3"/>
  <c r="N80" i="3"/>
  <c r="N81" i="3"/>
  <c r="N78" i="3"/>
  <c r="N79" i="3"/>
  <c r="N77" i="3"/>
  <c r="N76" i="3"/>
  <c r="N66" i="3"/>
  <c r="N67" i="3"/>
  <c r="N68" i="3"/>
  <c r="N69" i="3"/>
  <c r="N70" i="3"/>
  <c r="N71" i="3"/>
  <c r="N72" i="3"/>
  <c r="N73" i="3"/>
  <c r="N74" i="3"/>
  <c r="N75" i="3"/>
  <c r="N60" i="3"/>
  <c r="N61" i="3"/>
  <c r="N62" i="3"/>
  <c r="N63" i="3"/>
  <c r="N64" i="3"/>
  <c r="N65" i="3"/>
  <c r="N58" i="3"/>
  <c r="N59" i="3"/>
  <c r="N51" i="3"/>
  <c r="N52" i="3"/>
  <c r="N53" i="3"/>
  <c r="N54" i="3"/>
  <c r="N55" i="3"/>
  <c r="N56" i="3"/>
  <c r="N57" i="3"/>
  <c r="N49" i="3"/>
  <c r="N50" i="3"/>
  <c r="N46" i="3"/>
  <c r="N47" i="3"/>
  <c r="N48" i="3"/>
  <c r="N44" i="3"/>
  <c r="N45" i="3"/>
  <c r="N37" i="3"/>
  <c r="N38" i="3"/>
  <c r="N39" i="3"/>
  <c r="N40" i="3"/>
  <c r="N41" i="3"/>
  <c r="N42" i="3"/>
  <c r="N43" i="3"/>
  <c r="N35" i="3"/>
  <c r="N36" i="3"/>
  <c r="N30" i="3"/>
  <c r="N31" i="3"/>
  <c r="N32" i="3"/>
  <c r="N33" i="3"/>
  <c r="N34" i="3"/>
  <c r="N27" i="3"/>
  <c r="N28" i="3"/>
  <c r="N29" i="3"/>
  <c r="N24" i="3"/>
  <c r="N25" i="3"/>
  <c r="N26" i="3"/>
  <c r="N18" i="3"/>
  <c r="N19" i="3"/>
  <c r="N20" i="3"/>
  <c r="N21" i="3"/>
  <c r="N22" i="3"/>
  <c r="N23" i="3"/>
  <c r="N16" i="3"/>
  <c r="N17" i="3"/>
  <c r="N13" i="3"/>
  <c r="N14" i="3"/>
  <c r="N15" i="3"/>
  <c r="N11" i="3"/>
  <c r="N12" i="3"/>
  <c r="N2" i="3"/>
  <c r="N3" i="3"/>
  <c r="N4" i="3"/>
  <c r="N5" i="3"/>
  <c r="N6" i="3"/>
  <c r="N7" i="3"/>
  <c r="N8" i="3"/>
  <c r="N9" i="3"/>
  <c r="N10" i="3"/>
  <c r="N432" i="3"/>
  <c r="N433" i="3"/>
  <c r="N434" i="3"/>
  <c r="N435" i="3"/>
  <c r="N436" i="3"/>
  <c r="N437" i="3"/>
  <c r="N440" i="3"/>
  <c r="N441" i="3"/>
  <c r="N442" i="3"/>
  <c r="N443" i="3"/>
  <c r="N444" i="3"/>
  <c r="N445" i="3"/>
  <c r="N446" i="3"/>
  <c r="N448" i="3"/>
  <c r="N449" i="3"/>
  <c r="N450" i="3"/>
  <c r="N452" i="3"/>
  <c r="N421" i="3"/>
  <c r="N420" i="3"/>
  <c r="N407" i="3"/>
  <c r="N408" i="3"/>
  <c r="N397" i="3"/>
  <c r="N398" i="3"/>
  <c r="N392" i="3"/>
  <c r="N388" i="3"/>
  <c r="N381" i="3"/>
  <c r="N380" i="3"/>
  <c r="N373" i="3"/>
  <c r="N374" i="3"/>
  <c r="N371" i="3"/>
  <c r="N372" i="3"/>
  <c r="N362" i="3"/>
  <c r="N359" i="3"/>
  <c r="N360" i="3"/>
  <c r="N356" i="3"/>
  <c r="N357" i="3"/>
  <c r="N355" i="3"/>
  <c r="N348" i="3"/>
  <c r="N349" i="3"/>
  <c r="N341" i="3"/>
  <c r="N342" i="3"/>
  <c r="N343" i="3"/>
  <c r="N337" i="3"/>
  <c r="N338" i="3"/>
  <c r="N339" i="3"/>
  <c r="N335" i="3"/>
  <c r="N336" i="3"/>
  <c r="N331" i="3"/>
  <c r="N332" i="3"/>
  <c r="N333" i="3"/>
  <c r="N334" i="3"/>
  <c r="N430" i="3"/>
  <c r="N438" i="3"/>
  <c r="N439" i="3"/>
  <c r="N447" i="3"/>
  <c r="N451" i="3"/>
  <c r="M375" i="3"/>
  <c r="M376" i="3"/>
  <c r="M366" i="3"/>
  <c r="M367" i="3"/>
  <c r="M361" i="3"/>
  <c r="M354" i="3"/>
  <c r="M309" i="3"/>
  <c r="M395" i="3"/>
  <c r="M396" i="3"/>
  <c r="M409" i="3"/>
  <c r="M410" i="3"/>
  <c r="M419" i="3"/>
  <c r="M422" i="3"/>
  <c r="M426" i="3"/>
  <c r="M427" i="3"/>
  <c r="M431" i="3"/>
  <c r="M428" i="3"/>
  <c r="M429" i="3"/>
  <c r="M425" i="3"/>
  <c r="M423" i="3"/>
  <c r="M424" i="3"/>
  <c r="M413" i="3"/>
  <c r="M414" i="3"/>
  <c r="M415" i="3"/>
  <c r="M416" i="3"/>
  <c r="M417" i="3"/>
  <c r="M418" i="3"/>
  <c r="M411" i="3"/>
  <c r="M412" i="3"/>
  <c r="M404" i="3"/>
  <c r="M405" i="3"/>
  <c r="M406" i="3"/>
  <c r="M399" i="3"/>
  <c r="M400" i="3"/>
  <c r="M401" i="3"/>
  <c r="M402" i="3"/>
  <c r="M403" i="3"/>
  <c r="M393" i="3"/>
  <c r="M394" i="3"/>
  <c r="M391" i="3"/>
  <c r="M389" i="3"/>
  <c r="M390" i="3"/>
  <c r="M382" i="3"/>
  <c r="M383" i="3"/>
  <c r="M384" i="3"/>
  <c r="M385" i="3"/>
  <c r="M386" i="3"/>
  <c r="M387" i="3"/>
  <c r="M377" i="3"/>
  <c r="M378" i="3"/>
  <c r="M379" i="3"/>
  <c r="M368" i="3"/>
  <c r="M369" i="3"/>
  <c r="M370" i="3"/>
  <c r="M363" i="3"/>
  <c r="M364" i="3"/>
  <c r="M365" i="3"/>
  <c r="M358" i="3"/>
  <c r="M353" i="3"/>
  <c r="M350" i="3"/>
  <c r="M351" i="3"/>
  <c r="M352" i="3"/>
  <c r="M345" i="3"/>
  <c r="M346" i="3"/>
  <c r="M347" i="3"/>
  <c r="M344" i="3"/>
  <c r="M340" i="3"/>
  <c r="M330" i="3"/>
  <c r="M325" i="3"/>
  <c r="M326" i="3"/>
  <c r="M327" i="3"/>
  <c r="M328" i="3"/>
  <c r="M329" i="3"/>
  <c r="M324" i="3"/>
  <c r="M323" i="3"/>
  <c r="M322" i="3"/>
  <c r="M321" i="3"/>
  <c r="M319" i="3"/>
  <c r="M320" i="3"/>
  <c r="M317" i="3"/>
  <c r="M318" i="3"/>
  <c r="M311" i="3"/>
  <c r="M312" i="3"/>
  <c r="M313" i="3"/>
  <c r="M314" i="3"/>
  <c r="M315" i="3"/>
  <c r="M316" i="3"/>
  <c r="M310" i="3"/>
  <c r="M308" i="3"/>
  <c r="M307" i="3"/>
  <c r="M302" i="3"/>
  <c r="M303" i="3"/>
  <c r="M304" i="3"/>
  <c r="M305" i="3"/>
  <c r="M306" i="3"/>
  <c r="M301" i="3"/>
  <c r="M298" i="3"/>
  <c r="M299" i="3"/>
  <c r="M300" i="3"/>
  <c r="M297" i="3"/>
  <c r="M295" i="3"/>
  <c r="M296" i="3"/>
  <c r="M290" i="3"/>
  <c r="M291" i="3"/>
  <c r="M292" i="3"/>
  <c r="M293" i="3"/>
  <c r="M294" i="3"/>
  <c r="M289" i="3"/>
  <c r="M287" i="3"/>
  <c r="M288" i="3"/>
  <c r="M286" i="3"/>
  <c r="M285" i="3"/>
  <c r="M282" i="3"/>
  <c r="M283" i="3"/>
  <c r="M284" i="3"/>
  <c r="M281" i="3"/>
  <c r="M280" i="3"/>
  <c r="M279" i="3"/>
  <c r="M275" i="3"/>
  <c r="M276" i="3"/>
  <c r="M277" i="3"/>
  <c r="M278" i="3"/>
  <c r="M274" i="3"/>
  <c r="M271" i="3"/>
  <c r="M272" i="3"/>
  <c r="M273" i="3"/>
  <c r="M269" i="3"/>
  <c r="M270" i="3"/>
  <c r="M268" i="3"/>
  <c r="M267" i="3"/>
  <c r="M265" i="3"/>
  <c r="M266" i="3"/>
  <c r="M264" i="3"/>
  <c r="M261" i="3"/>
  <c r="M262" i="3"/>
  <c r="M263" i="3"/>
  <c r="M259" i="3"/>
  <c r="M260" i="3"/>
  <c r="M257" i="3"/>
  <c r="M258" i="3"/>
  <c r="M253" i="3"/>
  <c r="M254" i="3"/>
  <c r="M255" i="3"/>
  <c r="M256" i="3"/>
  <c r="M249" i="3"/>
  <c r="M250" i="3"/>
  <c r="M251" i="3"/>
  <c r="M252" i="3"/>
  <c r="M244" i="3"/>
  <c r="M245" i="3"/>
  <c r="M246" i="3"/>
  <c r="M247" i="3"/>
  <c r="M248" i="3"/>
  <c r="M243" i="3"/>
  <c r="M241" i="3"/>
  <c r="M242" i="3"/>
  <c r="M240" i="3"/>
  <c r="M238" i="3"/>
  <c r="M239" i="3"/>
  <c r="M235" i="3"/>
  <c r="M236" i="3"/>
  <c r="M237" i="3"/>
  <c r="M229" i="3"/>
  <c r="M230" i="3"/>
  <c r="M231" i="3"/>
  <c r="M232" i="3"/>
  <c r="M233" i="3"/>
  <c r="M234" i="3"/>
  <c r="M228" i="3"/>
  <c r="M225" i="3"/>
  <c r="M226" i="3"/>
  <c r="M227" i="3"/>
  <c r="M224" i="3"/>
  <c r="M222" i="3"/>
  <c r="M223" i="3"/>
  <c r="M220" i="3"/>
  <c r="M221" i="3"/>
  <c r="M214" i="3"/>
  <c r="M215" i="3"/>
  <c r="M216" i="3"/>
  <c r="M217" i="3"/>
  <c r="M218" i="3"/>
  <c r="M219" i="3"/>
  <c r="M213" i="3"/>
  <c r="M208" i="3"/>
  <c r="M209" i="3"/>
  <c r="M210" i="3"/>
  <c r="M211" i="3"/>
  <c r="M212" i="3"/>
  <c r="M207" i="3"/>
  <c r="M205" i="3"/>
  <c r="M206" i="3"/>
  <c r="M204" i="3"/>
  <c r="M203" i="3"/>
  <c r="M201" i="3"/>
  <c r="M202" i="3"/>
  <c r="M199" i="3"/>
  <c r="M200" i="3"/>
  <c r="M198" i="3"/>
  <c r="M197" i="3"/>
  <c r="M195" i="3"/>
  <c r="M196" i="3"/>
  <c r="M193" i="3"/>
  <c r="M194" i="3"/>
  <c r="M191" i="3"/>
  <c r="M192" i="3"/>
  <c r="M189" i="3"/>
  <c r="M190" i="3"/>
  <c r="M186" i="3"/>
  <c r="M187" i="3"/>
  <c r="M188" i="3"/>
  <c r="M184" i="3"/>
  <c r="M185" i="3"/>
  <c r="M183" i="3"/>
  <c r="M182" i="3"/>
  <c r="M180" i="3"/>
  <c r="M181" i="3"/>
  <c r="M178" i="3"/>
  <c r="M179" i="3"/>
  <c r="M176" i="3"/>
  <c r="M177" i="3"/>
  <c r="M174" i="3"/>
  <c r="M175" i="3"/>
  <c r="M173" i="3"/>
  <c r="M172" i="3"/>
  <c r="M170" i="3"/>
  <c r="M171" i="3"/>
  <c r="M165" i="3"/>
  <c r="M166" i="3"/>
  <c r="M167" i="3"/>
  <c r="M168" i="3"/>
  <c r="M169" i="3"/>
  <c r="M164" i="3"/>
  <c r="M163" i="3"/>
  <c r="M159" i="3"/>
  <c r="M160" i="3"/>
  <c r="M161" i="3"/>
  <c r="M162" i="3"/>
  <c r="M157" i="3"/>
  <c r="M158" i="3"/>
  <c r="M156" i="3"/>
  <c r="M154" i="3"/>
  <c r="M155" i="3"/>
  <c r="M151" i="3"/>
  <c r="M152" i="3"/>
  <c r="M153" i="3"/>
  <c r="M149" i="3"/>
  <c r="M150" i="3"/>
  <c r="M147" i="3"/>
  <c r="M148" i="3"/>
  <c r="M145" i="3"/>
  <c r="M146" i="3"/>
  <c r="M144" i="3"/>
  <c r="M142" i="3"/>
  <c r="M143" i="3"/>
  <c r="M139" i="3"/>
  <c r="M140" i="3"/>
  <c r="M141" i="3"/>
  <c r="M138" i="3"/>
  <c r="M137" i="3"/>
  <c r="M136" i="3"/>
  <c r="M135" i="3"/>
  <c r="M134" i="3"/>
  <c r="M133" i="3"/>
  <c r="M131" i="3"/>
  <c r="M132" i="3"/>
  <c r="M128" i="3"/>
  <c r="M129" i="3"/>
  <c r="M130" i="3"/>
  <c r="M124" i="3"/>
  <c r="M125" i="3"/>
  <c r="M126" i="3"/>
  <c r="M127" i="3"/>
  <c r="M123" i="3"/>
  <c r="M122" i="3"/>
  <c r="M118" i="3"/>
  <c r="M119" i="3"/>
  <c r="M120" i="3"/>
  <c r="M121" i="3"/>
  <c r="M117" i="3"/>
  <c r="M116" i="3"/>
  <c r="M114" i="3"/>
  <c r="M115" i="3"/>
  <c r="M113" i="3"/>
  <c r="M112" i="3"/>
  <c r="M109" i="3"/>
  <c r="M110" i="3"/>
  <c r="M111" i="3"/>
  <c r="M108" i="3"/>
  <c r="M106" i="3"/>
  <c r="M107" i="3"/>
  <c r="M104" i="3"/>
  <c r="M105" i="3"/>
  <c r="M103" i="3"/>
  <c r="M101" i="3"/>
  <c r="M102" i="3"/>
  <c r="M99" i="3"/>
  <c r="M100" i="3"/>
  <c r="M91" i="3"/>
  <c r="M92" i="3"/>
  <c r="M93" i="3"/>
  <c r="M94" i="3"/>
  <c r="M95" i="3"/>
  <c r="M96" i="3"/>
  <c r="M97" i="3"/>
  <c r="M98" i="3"/>
  <c r="M90" i="3"/>
  <c r="M89" i="3"/>
  <c r="M88" i="3"/>
  <c r="M82" i="3"/>
  <c r="M83" i="3"/>
  <c r="M84" i="3"/>
  <c r="M85" i="3"/>
  <c r="M86" i="3"/>
  <c r="M87" i="3"/>
  <c r="M80" i="3"/>
  <c r="M81" i="3"/>
  <c r="M78" i="3"/>
  <c r="M79" i="3"/>
  <c r="M77" i="3"/>
  <c r="M76" i="3"/>
  <c r="M66" i="3"/>
  <c r="M67" i="3"/>
  <c r="M68" i="3"/>
  <c r="M69" i="3"/>
  <c r="M70" i="3"/>
  <c r="M71" i="3"/>
  <c r="M72" i="3"/>
  <c r="M73" i="3"/>
  <c r="M74" i="3"/>
  <c r="M75" i="3"/>
  <c r="M60" i="3"/>
  <c r="M61" i="3"/>
  <c r="M62" i="3"/>
  <c r="M63" i="3"/>
  <c r="M64" i="3"/>
  <c r="M65" i="3"/>
  <c r="M58" i="3"/>
  <c r="M59" i="3"/>
  <c r="M51" i="3"/>
  <c r="M52" i="3"/>
  <c r="M53" i="3"/>
  <c r="M54" i="3"/>
  <c r="M55" i="3"/>
  <c r="M56" i="3"/>
  <c r="M57" i="3"/>
  <c r="M49" i="3"/>
  <c r="M50" i="3"/>
  <c r="M46" i="3"/>
  <c r="M47" i="3"/>
  <c r="M48" i="3"/>
  <c r="M44" i="3"/>
  <c r="M45" i="3"/>
  <c r="M37" i="3"/>
  <c r="M38" i="3"/>
  <c r="M39" i="3"/>
  <c r="M40" i="3"/>
  <c r="M41" i="3"/>
  <c r="M42" i="3"/>
  <c r="M43" i="3"/>
  <c r="M35" i="3"/>
  <c r="M36" i="3"/>
  <c r="M30" i="3"/>
  <c r="M31" i="3"/>
  <c r="M32" i="3"/>
  <c r="M33" i="3"/>
  <c r="M34" i="3"/>
  <c r="M27" i="3"/>
  <c r="M28" i="3"/>
  <c r="M29" i="3"/>
  <c r="M24" i="3"/>
  <c r="M25" i="3"/>
  <c r="M26" i="3"/>
  <c r="M18" i="3"/>
  <c r="M19" i="3"/>
  <c r="M20" i="3"/>
  <c r="M21" i="3"/>
  <c r="M22" i="3"/>
  <c r="M23" i="3"/>
  <c r="M16" i="3"/>
  <c r="M17" i="3"/>
  <c r="M13" i="3"/>
  <c r="M14" i="3"/>
  <c r="M15" i="3"/>
  <c r="M11" i="3"/>
  <c r="M12" i="3"/>
  <c r="M2" i="3"/>
  <c r="M3" i="3"/>
  <c r="M4" i="3"/>
  <c r="M5" i="3"/>
  <c r="M6" i="3"/>
  <c r="M7" i="3"/>
  <c r="M8" i="3"/>
  <c r="M9" i="3"/>
  <c r="M10" i="3"/>
  <c r="M432" i="3"/>
  <c r="M433" i="3"/>
  <c r="M434" i="3"/>
  <c r="M435" i="3"/>
  <c r="M436" i="3"/>
  <c r="M437" i="3"/>
  <c r="M440" i="3"/>
  <c r="M441" i="3"/>
  <c r="M442" i="3"/>
  <c r="M443" i="3"/>
  <c r="M444" i="3"/>
  <c r="M445" i="3"/>
  <c r="M446" i="3"/>
  <c r="M448" i="3"/>
  <c r="M449" i="3"/>
  <c r="M450" i="3"/>
  <c r="M452" i="3"/>
  <c r="M421" i="3"/>
  <c r="M420" i="3"/>
  <c r="M407" i="3"/>
  <c r="M408" i="3"/>
  <c r="M397" i="3"/>
  <c r="M398" i="3"/>
  <c r="M392" i="3"/>
  <c r="M388" i="3"/>
  <c r="M381" i="3"/>
  <c r="M380" i="3"/>
  <c r="M373" i="3"/>
  <c r="M374" i="3"/>
  <c r="M371" i="3"/>
  <c r="M372" i="3"/>
  <c r="M362" i="3"/>
  <c r="M359" i="3"/>
  <c r="M360" i="3"/>
  <c r="M356" i="3"/>
  <c r="M357" i="3"/>
  <c r="M355" i="3"/>
  <c r="M348" i="3"/>
  <c r="M349" i="3"/>
  <c r="M341" i="3"/>
  <c r="M342" i="3"/>
  <c r="M343" i="3"/>
  <c r="M337" i="3"/>
  <c r="M338" i="3"/>
  <c r="M339" i="3"/>
  <c r="M335" i="3"/>
  <c r="M336" i="3"/>
  <c r="M331" i="3"/>
  <c r="M332" i="3"/>
  <c r="M333" i="3"/>
  <c r="M334" i="3"/>
  <c r="M430" i="3"/>
  <c r="M438" i="3"/>
  <c r="M439" i="3"/>
  <c r="M447" i="3"/>
  <c r="M451" i="3"/>
  <c r="L375" i="3"/>
  <c r="L376" i="3"/>
  <c r="L366" i="3"/>
  <c r="L367" i="3"/>
  <c r="L361" i="3"/>
  <c r="L354" i="3"/>
  <c r="L309" i="3"/>
  <c r="L395" i="3"/>
  <c r="L396" i="3"/>
  <c r="L409" i="3"/>
  <c r="L410" i="3"/>
  <c r="L419" i="3"/>
  <c r="L422" i="3"/>
  <c r="L426" i="3"/>
  <c r="L427" i="3"/>
  <c r="L431" i="3"/>
  <c r="L428" i="3"/>
  <c r="L429" i="3"/>
  <c r="L425" i="3"/>
  <c r="L423" i="3"/>
  <c r="L424" i="3"/>
  <c r="L413" i="3"/>
  <c r="L414" i="3"/>
  <c r="L415" i="3"/>
  <c r="L416" i="3"/>
  <c r="L417" i="3"/>
  <c r="L418" i="3"/>
  <c r="L411" i="3"/>
  <c r="L412" i="3"/>
  <c r="L404" i="3"/>
  <c r="L405" i="3"/>
  <c r="L406" i="3"/>
  <c r="L399" i="3"/>
  <c r="L400" i="3"/>
  <c r="L401" i="3"/>
  <c r="L402" i="3"/>
  <c r="L403" i="3"/>
  <c r="L393" i="3"/>
  <c r="L394" i="3"/>
  <c r="L391" i="3"/>
  <c r="L389" i="3"/>
  <c r="L390" i="3"/>
  <c r="L382" i="3"/>
  <c r="L383" i="3"/>
  <c r="L384" i="3"/>
  <c r="L385" i="3"/>
  <c r="L386" i="3"/>
  <c r="L387" i="3"/>
  <c r="L377" i="3"/>
  <c r="L378" i="3"/>
  <c r="L379" i="3"/>
  <c r="L368" i="3"/>
  <c r="L369" i="3"/>
  <c r="L370" i="3"/>
  <c r="L363" i="3"/>
  <c r="L364" i="3"/>
  <c r="L365" i="3"/>
  <c r="L358" i="3"/>
  <c r="L353" i="3"/>
  <c r="L350" i="3"/>
  <c r="L351" i="3"/>
  <c r="L352" i="3"/>
  <c r="L345" i="3"/>
  <c r="L346" i="3"/>
  <c r="L347" i="3"/>
  <c r="L344" i="3"/>
  <c r="L340" i="3"/>
  <c r="L330" i="3"/>
  <c r="L325" i="3"/>
  <c r="L326" i="3"/>
  <c r="L327" i="3"/>
  <c r="L328" i="3"/>
  <c r="L329" i="3"/>
  <c r="L324" i="3"/>
  <c r="L323" i="3"/>
  <c r="L322" i="3"/>
  <c r="L321" i="3"/>
  <c r="L319" i="3"/>
  <c r="L320" i="3"/>
  <c r="L317" i="3"/>
  <c r="L318" i="3"/>
  <c r="L311" i="3"/>
  <c r="L312" i="3"/>
  <c r="L313" i="3"/>
  <c r="L314" i="3"/>
  <c r="L315" i="3"/>
  <c r="L316" i="3"/>
  <c r="L310" i="3"/>
  <c r="L308" i="3"/>
  <c r="L307" i="3"/>
  <c r="L302" i="3"/>
  <c r="L303" i="3"/>
  <c r="L304" i="3"/>
  <c r="L305" i="3"/>
  <c r="L306" i="3"/>
  <c r="L301" i="3"/>
  <c r="L298" i="3"/>
  <c r="L299" i="3"/>
  <c r="L300" i="3"/>
  <c r="L297" i="3"/>
  <c r="L295" i="3"/>
  <c r="L296" i="3"/>
  <c r="L290" i="3"/>
  <c r="L291" i="3"/>
  <c r="L292" i="3"/>
  <c r="L293" i="3"/>
  <c r="L294" i="3"/>
  <c r="L289" i="3"/>
  <c r="L287" i="3"/>
  <c r="L288" i="3"/>
  <c r="L286" i="3"/>
  <c r="L285" i="3"/>
  <c r="L282" i="3"/>
  <c r="L283" i="3"/>
  <c r="L284" i="3"/>
  <c r="L281" i="3"/>
  <c r="L280" i="3"/>
  <c r="L279" i="3"/>
  <c r="L275" i="3"/>
  <c r="L276" i="3"/>
  <c r="L277" i="3"/>
  <c r="L278" i="3"/>
  <c r="L274" i="3"/>
  <c r="L271" i="3"/>
  <c r="L272" i="3"/>
  <c r="L273" i="3"/>
  <c r="L269" i="3"/>
  <c r="L270" i="3"/>
  <c r="L268" i="3"/>
  <c r="L267" i="3"/>
  <c r="L265" i="3"/>
  <c r="L266" i="3"/>
  <c r="L264" i="3"/>
  <c r="L261" i="3"/>
  <c r="L262" i="3"/>
  <c r="L263" i="3"/>
  <c r="L259" i="3"/>
  <c r="L260" i="3"/>
  <c r="L257" i="3"/>
  <c r="L258" i="3"/>
  <c r="L253" i="3"/>
  <c r="L254" i="3"/>
  <c r="L255" i="3"/>
  <c r="L256" i="3"/>
  <c r="L249" i="3"/>
  <c r="L250" i="3"/>
  <c r="L251" i="3"/>
  <c r="L252" i="3"/>
  <c r="L244" i="3"/>
  <c r="L245" i="3"/>
  <c r="L246" i="3"/>
  <c r="L247" i="3"/>
  <c r="L248" i="3"/>
  <c r="L243" i="3"/>
  <c r="L241" i="3"/>
  <c r="L242" i="3"/>
  <c r="L240" i="3"/>
  <c r="L238" i="3"/>
  <c r="L239" i="3"/>
  <c r="L235" i="3"/>
  <c r="L236" i="3"/>
  <c r="L237" i="3"/>
  <c r="L229" i="3"/>
  <c r="L230" i="3"/>
  <c r="L231" i="3"/>
  <c r="L232" i="3"/>
  <c r="L233" i="3"/>
  <c r="L234" i="3"/>
  <c r="L228" i="3"/>
  <c r="L225" i="3"/>
  <c r="L226" i="3"/>
  <c r="L227" i="3"/>
  <c r="L224" i="3"/>
  <c r="L222" i="3"/>
  <c r="L223" i="3"/>
  <c r="L220" i="3"/>
  <c r="L221" i="3"/>
  <c r="L214" i="3"/>
  <c r="L215" i="3"/>
  <c r="L216" i="3"/>
  <c r="L217" i="3"/>
  <c r="L218" i="3"/>
  <c r="L219" i="3"/>
  <c r="L213" i="3"/>
  <c r="L208" i="3"/>
  <c r="L209" i="3"/>
  <c r="L210" i="3"/>
  <c r="L211" i="3"/>
  <c r="L212" i="3"/>
  <c r="L207" i="3"/>
  <c r="L205" i="3"/>
  <c r="L206" i="3"/>
  <c r="L204" i="3"/>
  <c r="L203" i="3"/>
  <c r="L201" i="3"/>
  <c r="L202" i="3"/>
  <c r="L199" i="3"/>
  <c r="L200" i="3"/>
  <c r="L198" i="3"/>
  <c r="L197" i="3"/>
  <c r="L195" i="3"/>
  <c r="L196" i="3"/>
  <c r="L193" i="3"/>
  <c r="L194" i="3"/>
  <c r="L191" i="3"/>
  <c r="L192" i="3"/>
  <c r="L189" i="3"/>
  <c r="L190" i="3"/>
  <c r="L186" i="3"/>
  <c r="L187" i="3"/>
  <c r="L188" i="3"/>
  <c r="L184" i="3"/>
  <c r="L185" i="3"/>
  <c r="L183" i="3"/>
  <c r="L182" i="3"/>
  <c r="L180" i="3"/>
  <c r="L181" i="3"/>
  <c r="L178" i="3"/>
  <c r="L179" i="3"/>
  <c r="L176" i="3"/>
  <c r="L177" i="3"/>
  <c r="L174" i="3"/>
  <c r="L175" i="3"/>
  <c r="L173" i="3"/>
  <c r="L172" i="3"/>
  <c r="L170" i="3"/>
  <c r="L171" i="3"/>
  <c r="L165" i="3"/>
  <c r="L166" i="3"/>
  <c r="L167" i="3"/>
  <c r="L168" i="3"/>
  <c r="L169" i="3"/>
  <c r="L164" i="3"/>
  <c r="L163" i="3"/>
  <c r="L159" i="3"/>
  <c r="L160" i="3"/>
  <c r="L161" i="3"/>
  <c r="L162" i="3"/>
  <c r="L157" i="3"/>
  <c r="L158" i="3"/>
  <c r="L156" i="3"/>
  <c r="L154" i="3"/>
  <c r="L155" i="3"/>
  <c r="L151" i="3"/>
  <c r="L152" i="3"/>
  <c r="L153" i="3"/>
  <c r="L149" i="3"/>
  <c r="L150" i="3"/>
  <c r="L147" i="3"/>
  <c r="L148" i="3"/>
  <c r="L145" i="3"/>
  <c r="L146" i="3"/>
  <c r="L144" i="3"/>
  <c r="L142" i="3"/>
  <c r="L143" i="3"/>
  <c r="L139" i="3"/>
  <c r="L140" i="3"/>
  <c r="L141" i="3"/>
  <c r="L138" i="3"/>
  <c r="L137" i="3"/>
  <c r="L136" i="3"/>
  <c r="L135" i="3"/>
  <c r="L134" i="3"/>
  <c r="L133" i="3"/>
  <c r="L131" i="3"/>
  <c r="L132" i="3"/>
  <c r="L128" i="3"/>
  <c r="L129" i="3"/>
  <c r="L130" i="3"/>
  <c r="L124" i="3"/>
  <c r="L125" i="3"/>
  <c r="L126" i="3"/>
  <c r="L127" i="3"/>
  <c r="L123" i="3"/>
  <c r="L122" i="3"/>
  <c r="L118" i="3"/>
  <c r="L119" i="3"/>
  <c r="L120" i="3"/>
  <c r="L121" i="3"/>
  <c r="L117" i="3"/>
  <c r="L116" i="3"/>
  <c r="L114" i="3"/>
  <c r="L115" i="3"/>
  <c r="L113" i="3"/>
  <c r="L112" i="3"/>
  <c r="L109" i="3"/>
  <c r="L110" i="3"/>
  <c r="L111" i="3"/>
  <c r="L108" i="3"/>
  <c r="L106" i="3"/>
  <c r="L107" i="3"/>
  <c r="L104" i="3"/>
  <c r="L105" i="3"/>
  <c r="L103" i="3"/>
  <c r="L101" i="3"/>
  <c r="L102" i="3"/>
  <c r="L99" i="3"/>
  <c r="L100" i="3"/>
  <c r="L91" i="3"/>
  <c r="L92" i="3"/>
  <c r="L93" i="3"/>
  <c r="L94" i="3"/>
  <c r="L95" i="3"/>
  <c r="L96" i="3"/>
  <c r="L97" i="3"/>
  <c r="L98" i="3"/>
  <c r="L90" i="3"/>
  <c r="L89" i="3"/>
  <c r="L88" i="3"/>
  <c r="L82" i="3"/>
  <c r="L83" i="3"/>
  <c r="L84" i="3"/>
  <c r="L85" i="3"/>
  <c r="L86" i="3"/>
  <c r="L87" i="3"/>
  <c r="L80" i="3"/>
  <c r="L81" i="3"/>
  <c r="L78" i="3"/>
  <c r="L79" i="3"/>
  <c r="L77" i="3"/>
  <c r="L76" i="3"/>
  <c r="L66" i="3"/>
  <c r="L67" i="3"/>
  <c r="L68" i="3"/>
  <c r="L69" i="3"/>
  <c r="L70" i="3"/>
  <c r="L71" i="3"/>
  <c r="L72" i="3"/>
  <c r="L73" i="3"/>
  <c r="L74" i="3"/>
  <c r="L75" i="3"/>
  <c r="L60" i="3"/>
  <c r="L61" i="3"/>
  <c r="L62" i="3"/>
  <c r="L63" i="3"/>
  <c r="L64" i="3"/>
  <c r="L65" i="3"/>
  <c r="L58" i="3"/>
  <c r="L59" i="3"/>
  <c r="L51" i="3"/>
  <c r="L52" i="3"/>
  <c r="L53" i="3"/>
  <c r="L54" i="3"/>
  <c r="L55" i="3"/>
  <c r="L56" i="3"/>
  <c r="L57" i="3"/>
  <c r="L49" i="3"/>
  <c r="L50" i="3"/>
  <c r="L46" i="3"/>
  <c r="L47" i="3"/>
  <c r="L48" i="3"/>
  <c r="L44" i="3"/>
  <c r="L45" i="3"/>
  <c r="L37" i="3"/>
  <c r="L38" i="3"/>
  <c r="L39" i="3"/>
  <c r="L40" i="3"/>
  <c r="L41" i="3"/>
  <c r="L42" i="3"/>
  <c r="L43" i="3"/>
  <c r="L35" i="3"/>
  <c r="L36" i="3"/>
  <c r="L30" i="3"/>
  <c r="L31" i="3"/>
  <c r="L32" i="3"/>
  <c r="L33" i="3"/>
  <c r="L34" i="3"/>
  <c r="L27" i="3"/>
  <c r="L28" i="3"/>
  <c r="L29" i="3"/>
  <c r="L24" i="3"/>
  <c r="L25" i="3"/>
  <c r="L26" i="3"/>
  <c r="L18" i="3"/>
  <c r="L19" i="3"/>
  <c r="L20" i="3"/>
  <c r="L21" i="3"/>
  <c r="L22" i="3"/>
  <c r="L23" i="3"/>
  <c r="L16" i="3"/>
  <c r="L17" i="3"/>
  <c r="L13" i="3"/>
  <c r="L14" i="3"/>
  <c r="L15" i="3"/>
  <c r="L11" i="3"/>
  <c r="L12" i="3"/>
  <c r="L2" i="3"/>
  <c r="L3" i="3"/>
  <c r="L4" i="3"/>
  <c r="L5" i="3"/>
  <c r="L6" i="3"/>
  <c r="L7" i="3"/>
  <c r="L8" i="3"/>
  <c r="L9" i="3"/>
  <c r="L10" i="3"/>
  <c r="L432" i="3"/>
  <c r="L433" i="3"/>
  <c r="L434" i="3"/>
  <c r="L435" i="3"/>
  <c r="L436" i="3"/>
  <c r="L437" i="3"/>
  <c r="L440" i="3"/>
  <c r="L441" i="3"/>
  <c r="L442" i="3"/>
  <c r="L443" i="3"/>
  <c r="L444" i="3"/>
  <c r="L445" i="3"/>
  <c r="L446" i="3"/>
  <c r="L448" i="3"/>
  <c r="L449" i="3"/>
  <c r="L450" i="3"/>
  <c r="L452" i="3"/>
  <c r="L421" i="3"/>
  <c r="L420" i="3"/>
  <c r="L407" i="3"/>
  <c r="L408" i="3"/>
  <c r="L397" i="3"/>
  <c r="L398" i="3"/>
  <c r="L392" i="3"/>
  <c r="L388" i="3"/>
  <c r="L381" i="3"/>
  <c r="L380" i="3"/>
  <c r="L373" i="3"/>
  <c r="L374" i="3"/>
  <c r="L371" i="3"/>
  <c r="L372" i="3"/>
  <c r="L362" i="3"/>
  <c r="L359" i="3"/>
  <c r="L360" i="3"/>
  <c r="L356" i="3"/>
  <c r="L357" i="3"/>
  <c r="L355" i="3"/>
  <c r="L348" i="3"/>
  <c r="L349" i="3"/>
  <c r="L341" i="3"/>
  <c r="L342" i="3"/>
  <c r="L343" i="3"/>
  <c r="L337" i="3"/>
  <c r="L338" i="3"/>
  <c r="L339" i="3"/>
  <c r="L335" i="3"/>
  <c r="L336" i="3"/>
  <c r="L331" i="3"/>
  <c r="L332" i="3"/>
  <c r="L333" i="3"/>
  <c r="L334" i="3"/>
  <c r="L430" i="3"/>
  <c r="L438" i="3"/>
  <c r="L439" i="3"/>
  <c r="L447" i="3"/>
  <c r="L451" i="3"/>
  <c r="V2" i="3" l="1"/>
  <c r="U355" i="3"/>
  <c r="R480" i="3"/>
  <c r="R475" i="3"/>
  <c r="R467" i="3"/>
  <c r="R484" i="3"/>
  <c r="R461" i="3"/>
  <c r="R486" i="3"/>
  <c r="R491" i="3"/>
  <c r="R485" i="3"/>
  <c r="R499" i="3"/>
  <c r="R494" i="3"/>
  <c r="R481" i="3"/>
  <c r="R468" i="3"/>
  <c r="Q475" i="3"/>
  <c r="V475" i="3" s="1"/>
  <c r="Q480" i="3"/>
  <c r="V480" i="3" s="1"/>
  <c r="Q467" i="3"/>
  <c r="V467" i="3" s="1"/>
  <c r="R493" i="3"/>
  <c r="R482" i="3"/>
  <c r="R458" i="3"/>
  <c r="R497" i="3"/>
  <c r="R453" i="3"/>
  <c r="R496" i="3"/>
  <c r="R479" i="3"/>
  <c r="R464" i="3"/>
  <c r="R466" i="3"/>
  <c r="Q484" i="3"/>
  <c r="V484" i="3" s="1"/>
  <c r="R472" i="3"/>
  <c r="Q472" i="3"/>
  <c r="V472" i="3" s="1"/>
  <c r="R502" i="3"/>
  <c r="Q478" i="3"/>
  <c r="V478" i="3" s="1"/>
  <c r="R478" i="3"/>
  <c r="R483" i="3"/>
  <c r="Q483" i="3"/>
  <c r="V483" i="3" s="1"/>
  <c r="R465" i="3"/>
  <c r="Q465" i="3"/>
  <c r="V465" i="3" s="1"/>
  <c r="R459" i="3"/>
  <c r="Q459" i="3"/>
  <c r="V459" i="3" s="1"/>
  <c r="R487" i="3"/>
  <c r="R490" i="3"/>
  <c r="R460" i="3"/>
  <c r="R477" i="3"/>
  <c r="R454" i="3"/>
  <c r="R501" i="3"/>
  <c r="Q501" i="3"/>
  <c r="V501" i="3" s="1"/>
  <c r="R463" i="3"/>
  <c r="R474" i="3"/>
  <c r="Q474" i="3"/>
  <c r="V474" i="3" s="1"/>
  <c r="R476" i="3"/>
  <c r="R492" i="3"/>
  <c r="Q479" i="3"/>
  <c r="V479" i="3" s="1"/>
  <c r="Q466" i="3"/>
  <c r="V466" i="3" s="1"/>
  <c r="Q492" i="3"/>
  <c r="V492" i="3" s="1"/>
  <c r="R488" i="3"/>
  <c r="R469" i="3"/>
  <c r="R471" i="3"/>
  <c r="R455" i="3"/>
  <c r="R498" i="3"/>
  <c r="R462" i="3"/>
  <c r="R457" i="3"/>
  <c r="R495" i="3"/>
  <c r="R456" i="3"/>
  <c r="R473" i="3"/>
  <c r="Q461" i="3"/>
  <c r="V461" i="3" s="1"/>
  <c r="Q499" i="3"/>
  <c r="V499" i="3" s="1"/>
  <c r="R500" i="3"/>
  <c r="Q488" i="3"/>
  <c r="V488" i="3" s="1"/>
  <c r="R489" i="3"/>
  <c r="Q498" i="3"/>
  <c r="V498" i="3" s="1"/>
  <c r="Q453" i="3"/>
  <c r="Q490" i="3"/>
  <c r="V490" i="3" s="1"/>
  <c r="Q497" i="3"/>
  <c r="V497" i="3" s="1"/>
  <c r="Q457" i="3"/>
  <c r="V457" i="3" s="1"/>
  <c r="Q494" i="3"/>
  <c r="V494" i="3" s="1"/>
  <c r="Q469" i="3"/>
  <c r="V469" i="3" s="1"/>
  <c r="R470" i="3"/>
  <c r="Q455" i="3"/>
  <c r="V455" i="3" s="1"/>
  <c r="Q463" i="3"/>
  <c r="V463" i="3" s="1"/>
  <c r="Q464" i="3"/>
  <c r="V464" i="3" s="1"/>
  <c r="Q495" i="3"/>
  <c r="V495" i="3" s="1"/>
  <c r="Q460" i="3"/>
  <c r="V460" i="3" s="1"/>
  <c r="Q471" i="3"/>
  <c r="V471" i="3" s="1"/>
  <c r="R337" i="3"/>
  <c r="R338" i="3"/>
  <c r="R279" i="3"/>
  <c r="Q279" i="3"/>
  <c r="V279" i="3" s="1"/>
  <c r="R275" i="3"/>
  <c r="Q275" i="3"/>
  <c r="V275" i="3" s="1"/>
  <c r="R433" i="3"/>
  <c r="Q419" i="3"/>
  <c r="V419" i="3" s="1"/>
  <c r="R343" i="3"/>
  <c r="Q343" i="3"/>
  <c r="V343" i="3" s="1"/>
  <c r="R243" i="3"/>
  <c r="Q409" i="3"/>
  <c r="V409" i="3" s="1"/>
  <c r="R159" i="3"/>
  <c r="Q159" i="3"/>
  <c r="V159" i="3" s="1"/>
  <c r="R121" i="3"/>
  <c r="Q396" i="3"/>
  <c r="V396" i="3" s="1"/>
  <c r="R434" i="3"/>
  <c r="R317" i="3"/>
  <c r="R120" i="3"/>
  <c r="Q395" i="3"/>
  <c r="V395" i="3" s="1"/>
  <c r="Q434" i="3"/>
  <c r="V434" i="3" s="1"/>
  <c r="Q309" i="3"/>
  <c r="V309" i="3" s="1"/>
  <c r="Q317" i="3"/>
  <c r="V317" i="3" s="1"/>
  <c r="Q410" i="3"/>
  <c r="V410" i="3" s="1"/>
  <c r="R223" i="3"/>
  <c r="R86" i="3"/>
  <c r="R117" i="3"/>
  <c r="R190" i="3"/>
  <c r="R199" i="3"/>
  <c r="R320" i="3"/>
  <c r="R5" i="3"/>
  <c r="R382" i="3"/>
  <c r="R30" i="3"/>
  <c r="R276" i="3"/>
  <c r="R168" i="3"/>
  <c r="R36" i="3"/>
  <c r="R448" i="3"/>
  <c r="R70" i="3"/>
  <c r="R142" i="3"/>
  <c r="R332" i="3"/>
  <c r="R355" i="3"/>
  <c r="R388" i="3"/>
  <c r="R432" i="3"/>
  <c r="R35" i="3"/>
  <c r="R46" i="3"/>
  <c r="R65" i="3"/>
  <c r="R69" i="3"/>
  <c r="R85" i="3"/>
  <c r="R93" i="3"/>
  <c r="R108" i="3"/>
  <c r="R119" i="3"/>
  <c r="R131" i="3"/>
  <c r="R144" i="3"/>
  <c r="R156" i="3"/>
  <c r="R167" i="3"/>
  <c r="R178" i="3"/>
  <c r="R192" i="3"/>
  <c r="R202" i="3"/>
  <c r="R213" i="3"/>
  <c r="R224" i="3"/>
  <c r="R236" i="3"/>
  <c r="R244" i="3"/>
  <c r="R259" i="3"/>
  <c r="R272" i="3"/>
  <c r="R282" i="3"/>
  <c r="R296" i="3"/>
  <c r="R307" i="3"/>
  <c r="R319" i="3"/>
  <c r="R344" i="3"/>
  <c r="R370" i="3"/>
  <c r="R390" i="3"/>
  <c r="R404" i="3"/>
  <c r="R429" i="3"/>
  <c r="R354" i="3"/>
  <c r="R4" i="3"/>
  <c r="R327" i="3"/>
  <c r="R333" i="3"/>
  <c r="R381" i="3"/>
  <c r="R58" i="3"/>
  <c r="R106" i="3"/>
  <c r="R179" i="3"/>
  <c r="R237" i="3"/>
  <c r="R260" i="3"/>
  <c r="R340" i="3"/>
  <c r="R26" i="3"/>
  <c r="R428" i="3"/>
  <c r="R398" i="3"/>
  <c r="R348" i="3"/>
  <c r="R12" i="3"/>
  <c r="R47" i="3"/>
  <c r="R94" i="3"/>
  <c r="R132" i="3"/>
  <c r="R189" i="3"/>
  <c r="R222" i="3"/>
  <c r="R245" i="3"/>
  <c r="R273" i="3"/>
  <c r="R302" i="3"/>
  <c r="R363" i="3"/>
  <c r="R405" i="3"/>
  <c r="R425" i="3"/>
  <c r="R446" i="3"/>
  <c r="R331" i="3"/>
  <c r="R392" i="3"/>
  <c r="R10" i="3"/>
  <c r="R15" i="3"/>
  <c r="R43" i="3"/>
  <c r="R64" i="3"/>
  <c r="R68" i="3"/>
  <c r="R92" i="3"/>
  <c r="R118" i="3"/>
  <c r="R133" i="3"/>
  <c r="R158" i="3"/>
  <c r="R181" i="3"/>
  <c r="R191" i="3"/>
  <c r="R219" i="3"/>
  <c r="R227" i="3"/>
  <c r="R252" i="3"/>
  <c r="R271" i="3"/>
  <c r="R285" i="3"/>
  <c r="R308" i="3"/>
  <c r="R321" i="3"/>
  <c r="R347" i="3"/>
  <c r="R369" i="3"/>
  <c r="R412" i="3"/>
  <c r="R361" i="3"/>
  <c r="R375" i="3"/>
  <c r="R403" i="3"/>
  <c r="R329" i="3"/>
  <c r="R289" i="3"/>
  <c r="R256" i="3"/>
  <c r="R215" i="3"/>
  <c r="R185" i="3"/>
  <c r="R150" i="3"/>
  <c r="R113" i="3"/>
  <c r="R77" i="3"/>
  <c r="R39" i="3"/>
  <c r="R7" i="3"/>
  <c r="R362" i="3"/>
  <c r="R376" i="3"/>
  <c r="R393" i="3"/>
  <c r="R324" i="3"/>
  <c r="R287" i="3"/>
  <c r="R249" i="3"/>
  <c r="R216" i="3"/>
  <c r="R183" i="3"/>
  <c r="R147" i="3"/>
  <c r="R112" i="3"/>
  <c r="R76" i="3"/>
  <c r="R40" i="3"/>
  <c r="R359" i="3"/>
  <c r="R416" i="3"/>
  <c r="R351" i="3"/>
  <c r="R298" i="3"/>
  <c r="R266" i="3"/>
  <c r="R234" i="3"/>
  <c r="R195" i="3"/>
  <c r="R160" i="3"/>
  <c r="R126" i="3"/>
  <c r="R89" i="3"/>
  <c r="R55" i="3"/>
  <c r="R16" i="3"/>
  <c r="R407" i="3"/>
  <c r="R451" i="3"/>
  <c r="R309" i="3"/>
  <c r="R314" i="3"/>
  <c r="R205" i="3"/>
  <c r="R102" i="3"/>
  <c r="R441" i="3"/>
  <c r="R352" i="3"/>
  <c r="R315" i="3"/>
  <c r="R228" i="3"/>
  <c r="R206" i="3"/>
  <c r="R127" i="3"/>
  <c r="R99" i="3"/>
  <c r="R17" i="3"/>
  <c r="R442" i="3"/>
  <c r="R385" i="3"/>
  <c r="R311" i="3"/>
  <c r="R277" i="3"/>
  <c r="R240" i="3"/>
  <c r="R196" i="3"/>
  <c r="R161" i="3"/>
  <c r="R116" i="3"/>
  <c r="R81" i="3"/>
  <c r="R32" i="3"/>
  <c r="R436" i="3"/>
  <c r="R339" i="3"/>
  <c r="R426" i="3"/>
  <c r="R408" i="3"/>
  <c r="R415" i="3"/>
  <c r="R410" i="3"/>
  <c r="R386" i="3"/>
  <c r="R153" i="3"/>
  <c r="R114" i="3"/>
  <c r="R74" i="3"/>
  <c r="R33" i="3"/>
  <c r="R377" i="3"/>
  <c r="R301" i="3"/>
  <c r="R220" i="3"/>
  <c r="R143" i="3"/>
  <c r="R60" i="3"/>
  <c r="R420" i="3"/>
  <c r="R299" i="3"/>
  <c r="R221" i="3"/>
  <c r="R187" i="3"/>
  <c r="R105" i="3"/>
  <c r="R28" i="3"/>
  <c r="R291" i="3"/>
  <c r="R209" i="3"/>
  <c r="R137" i="3"/>
  <c r="R54" i="3"/>
  <c r="R373" i="3"/>
  <c r="R417" i="3"/>
  <c r="R248" i="3"/>
  <c r="R170" i="3"/>
  <c r="R88" i="3"/>
  <c r="R419" i="3"/>
  <c r="R387" i="3"/>
  <c r="R306" i="3"/>
  <c r="R267" i="3"/>
  <c r="R75" i="3"/>
  <c r="R34" i="3"/>
  <c r="R421" i="3"/>
  <c r="R439" i="3"/>
  <c r="R422" i="3"/>
  <c r="R265" i="3"/>
  <c r="R186" i="3"/>
  <c r="R107" i="3"/>
  <c r="R27" i="3"/>
  <c r="R447" i="3"/>
  <c r="R378" i="3"/>
  <c r="R264" i="3"/>
  <c r="R140" i="3"/>
  <c r="R61" i="3"/>
  <c r="R325" i="3"/>
  <c r="R246" i="3"/>
  <c r="R172" i="3"/>
  <c r="R90" i="3"/>
  <c r="R3" i="3"/>
  <c r="R292" i="3"/>
  <c r="R211" i="3"/>
  <c r="R136" i="3"/>
  <c r="R56" i="3"/>
  <c r="R374" i="3"/>
  <c r="R254" i="3"/>
  <c r="R175" i="3"/>
  <c r="R141" i="3"/>
  <c r="R414" i="3"/>
  <c r="R330" i="3"/>
  <c r="R290" i="3"/>
  <c r="R173" i="3"/>
  <c r="R138" i="3"/>
  <c r="R98" i="3"/>
  <c r="R53" i="3"/>
  <c r="R2" i="3"/>
  <c r="R380" i="3"/>
  <c r="R326" i="3"/>
  <c r="R336" i="3"/>
  <c r="R356" i="3"/>
  <c r="R444" i="3"/>
  <c r="R37" i="3"/>
  <c r="R80" i="3"/>
  <c r="R242" i="3"/>
  <c r="R401" i="3"/>
  <c r="R18" i="3"/>
  <c r="R154" i="3"/>
  <c r="R208" i="3"/>
  <c r="R283" i="3"/>
  <c r="R163" i="3"/>
  <c r="R11" i="3"/>
  <c r="R357" i="3"/>
  <c r="R445" i="3"/>
  <c r="R25" i="3"/>
  <c r="R50" i="3"/>
  <c r="R84" i="3"/>
  <c r="R111" i="3"/>
  <c r="R146" i="3"/>
  <c r="R166" i="3"/>
  <c r="R201" i="3"/>
  <c r="R235" i="3"/>
  <c r="R263" i="3"/>
  <c r="R295" i="3"/>
  <c r="R389" i="3"/>
  <c r="R197" i="3"/>
  <c r="R383" i="3"/>
  <c r="R87" i="3"/>
  <c r="R241" i="3"/>
  <c r="R366" i="3"/>
  <c r="R440" i="3"/>
  <c r="R125" i="3"/>
  <c r="R350" i="3"/>
  <c r="R437" i="3"/>
  <c r="R22" i="3"/>
  <c r="R124" i="3"/>
  <c r="R188" i="3"/>
  <c r="R293" i="3"/>
  <c r="R353" i="3"/>
  <c r="R342" i="3"/>
  <c r="R45" i="3"/>
  <c r="R73" i="3"/>
  <c r="R152" i="3"/>
  <c r="R174" i="3"/>
  <c r="R253" i="3"/>
  <c r="R280" i="3"/>
  <c r="R400" i="3"/>
  <c r="R409" i="3"/>
  <c r="R207" i="3"/>
  <c r="R313" i="3"/>
  <c r="R371" i="3"/>
  <c r="R78" i="3"/>
  <c r="R103" i="3"/>
  <c r="R212" i="3"/>
  <c r="R232" i="3"/>
  <c r="R312" i="3"/>
  <c r="R44" i="3"/>
  <c r="R151" i="3"/>
  <c r="R258" i="3"/>
  <c r="R399" i="3"/>
  <c r="R23" i="3"/>
  <c r="R101" i="3"/>
  <c r="R233" i="3"/>
  <c r="R334" i="3"/>
  <c r="R349" i="3"/>
  <c r="R449" i="3"/>
  <c r="R19" i="3"/>
  <c r="R48" i="3"/>
  <c r="R59" i="3"/>
  <c r="R71" i="3"/>
  <c r="R95" i="3"/>
  <c r="R128" i="3"/>
  <c r="R155" i="3"/>
  <c r="R169" i="3"/>
  <c r="R176" i="3"/>
  <c r="R200" i="3"/>
  <c r="R229" i="3"/>
  <c r="R257" i="3"/>
  <c r="R269" i="3"/>
  <c r="R284" i="3"/>
  <c r="R303" i="3"/>
  <c r="R364" i="3"/>
  <c r="R406" i="3"/>
  <c r="R423" i="3"/>
  <c r="R395" i="3"/>
  <c r="R372" i="3"/>
  <c r="R6" i="3"/>
  <c r="R38" i="3"/>
  <c r="R79" i="3"/>
  <c r="R115" i="3"/>
  <c r="R149" i="3"/>
  <c r="R184" i="3"/>
  <c r="R214" i="3"/>
  <c r="R255" i="3"/>
  <c r="R294" i="3"/>
  <c r="R328" i="3"/>
  <c r="R402" i="3"/>
  <c r="R438" i="3"/>
  <c r="R452" i="3"/>
  <c r="R21" i="3"/>
  <c r="R52" i="3"/>
  <c r="R97" i="3"/>
  <c r="R130" i="3"/>
  <c r="R164" i="3"/>
  <c r="R198" i="3"/>
  <c r="R231" i="3"/>
  <c r="R268" i="3"/>
  <c r="R305" i="3"/>
  <c r="R358" i="3"/>
  <c r="R413" i="3"/>
  <c r="R430" i="3"/>
  <c r="R341" i="3"/>
  <c r="R450" i="3"/>
  <c r="R435" i="3"/>
  <c r="R20" i="3"/>
  <c r="R31" i="3"/>
  <c r="R51" i="3"/>
  <c r="R72" i="3"/>
  <c r="R96" i="3"/>
  <c r="R104" i="3"/>
  <c r="R129" i="3"/>
  <c r="R139" i="3"/>
  <c r="R177" i="3"/>
  <c r="R210" i="3"/>
  <c r="R230" i="3"/>
  <c r="R247" i="3"/>
  <c r="R270" i="3"/>
  <c r="R281" i="3"/>
  <c r="R304" i="3"/>
  <c r="R318" i="3"/>
  <c r="R365" i="3"/>
  <c r="R384" i="3"/>
  <c r="R424" i="3"/>
  <c r="R396" i="3"/>
  <c r="R9" i="3"/>
  <c r="R14" i="3"/>
  <c r="R24" i="3"/>
  <c r="R42" i="3"/>
  <c r="R49" i="3"/>
  <c r="R63" i="3"/>
  <c r="R67" i="3"/>
  <c r="R83" i="3"/>
  <c r="R91" i="3"/>
  <c r="R110" i="3"/>
  <c r="R122" i="3"/>
  <c r="R134" i="3"/>
  <c r="R145" i="3"/>
  <c r="R157" i="3"/>
  <c r="R165" i="3"/>
  <c r="R180" i="3"/>
  <c r="R194" i="3"/>
  <c r="R203" i="3"/>
  <c r="R218" i="3"/>
  <c r="R226" i="3"/>
  <c r="R239" i="3"/>
  <c r="R251" i="3"/>
  <c r="R262" i="3"/>
  <c r="R274" i="3"/>
  <c r="R286" i="3"/>
  <c r="R297" i="3"/>
  <c r="R310" i="3"/>
  <c r="R322" i="3"/>
  <c r="R346" i="3"/>
  <c r="R368" i="3"/>
  <c r="R391" i="3"/>
  <c r="R411" i="3"/>
  <c r="R431" i="3"/>
  <c r="R367" i="3"/>
  <c r="R335" i="3"/>
  <c r="R360" i="3"/>
  <c r="R397" i="3"/>
  <c r="R443" i="3"/>
  <c r="R8" i="3"/>
  <c r="R13" i="3"/>
  <c r="R29" i="3"/>
  <c r="R41" i="3"/>
  <c r="R57" i="3"/>
  <c r="R62" i="3"/>
  <c r="R66" i="3"/>
  <c r="R82" i="3"/>
  <c r="R100" i="3"/>
  <c r="R109" i="3"/>
  <c r="R123" i="3"/>
  <c r="R135" i="3"/>
  <c r="R148" i="3"/>
  <c r="R162" i="3"/>
  <c r="R171" i="3"/>
  <c r="R182" i="3"/>
  <c r="R193" i="3"/>
  <c r="R204" i="3"/>
  <c r="R217" i="3"/>
  <c r="R225" i="3"/>
  <c r="R238" i="3"/>
  <c r="R250" i="3"/>
  <c r="R261" i="3"/>
  <c r="R278" i="3"/>
  <c r="R288" i="3"/>
  <c r="R300" i="3"/>
  <c r="R316" i="3"/>
  <c r="R323" i="3"/>
  <c r="R345" i="3"/>
  <c r="R379" i="3"/>
  <c r="R394" i="3"/>
  <c r="R418" i="3"/>
  <c r="R427" i="3"/>
  <c r="D5" i="1" l="1" a="1"/>
  <c r="D5" i="1" s="1"/>
  <c r="E5" i="1" s="1"/>
  <c r="V453" i="3"/>
  <c r="D1" i="5" a="1"/>
  <c r="D1" i="5" s="1"/>
  <c r="T457" i="3"/>
  <c r="T471" i="3"/>
  <c r="T496" i="3"/>
  <c r="T492" i="3"/>
  <c r="T462" i="3"/>
  <c r="T497" i="3"/>
  <c r="T466" i="3"/>
  <c r="T490" i="3"/>
  <c r="T479" i="3"/>
  <c r="T472" i="3"/>
  <c r="T477" i="3"/>
  <c r="T502" i="3"/>
  <c r="T458" i="3"/>
  <c r="T460" i="3"/>
  <c r="T491" i="3"/>
  <c r="T500" i="3"/>
  <c r="T459" i="3"/>
  <c r="T456" i="3"/>
  <c r="T495" i="3"/>
  <c r="T482" i="3"/>
  <c r="T464" i="3"/>
  <c r="T474" i="3"/>
  <c r="T480" i="3"/>
  <c r="T463" i="3"/>
  <c r="T475" i="3"/>
  <c r="T499" i="3"/>
  <c r="T476" i="3"/>
  <c r="T501" i="3"/>
  <c r="T469" i="3"/>
  <c r="T468" i="3"/>
  <c r="T486" i="3"/>
  <c r="T453" i="3"/>
  <c r="T487" i="3"/>
  <c r="T454" i="3"/>
  <c r="T498" i="3"/>
  <c r="T489" i="3"/>
  <c r="T484" i="3"/>
  <c r="T467" i="3"/>
  <c r="T493" i="3"/>
  <c r="T488" i="3"/>
  <c r="T465" i="3"/>
  <c r="T455" i="3"/>
  <c r="T483" i="3"/>
  <c r="T485" i="3"/>
  <c r="T461" i="3"/>
  <c r="T494" i="3"/>
  <c r="T481" i="3"/>
  <c r="T478" i="3"/>
  <c r="T473" i="3"/>
  <c r="T470" i="3"/>
  <c r="T277" i="3"/>
  <c r="T222" i="3"/>
  <c r="T380" i="3"/>
  <c r="T437" i="3"/>
  <c r="T357" i="3"/>
  <c r="T391" i="3"/>
  <c r="T229" i="3"/>
  <c r="T308" i="3"/>
  <c r="T269" i="3"/>
  <c r="T406" i="3"/>
  <c r="T302" i="3"/>
  <c r="T361" i="3"/>
  <c r="T294" i="3"/>
  <c r="T285" i="3"/>
  <c r="T245" i="3"/>
  <c r="T334" i="3"/>
  <c r="T368" i="3"/>
  <c r="T331" i="3"/>
  <c r="T320" i="3"/>
  <c r="T350" i="3"/>
  <c r="T292" i="3"/>
  <c r="T228" i="3"/>
  <c r="T418" i="3"/>
  <c r="T199" i="3"/>
  <c r="T297" i="3"/>
  <c r="T385" i="3"/>
  <c r="T315" i="3"/>
  <c r="T169" i="3"/>
  <c r="T337" i="3"/>
  <c r="T187" i="3"/>
  <c r="T314" i="3"/>
  <c r="T356" i="3"/>
  <c r="T386" i="3"/>
  <c r="T388" i="3"/>
  <c r="T284" i="3"/>
  <c r="T312" i="3"/>
  <c r="T244" i="3"/>
  <c r="T329" i="3"/>
  <c r="T451" i="3"/>
  <c r="T359" i="3"/>
  <c r="T322" i="3"/>
  <c r="T413" i="3"/>
  <c r="T225" i="3"/>
  <c r="T429" i="3"/>
  <c r="T286" i="3"/>
  <c r="T425" i="3"/>
  <c r="T291" i="3"/>
  <c r="T390" i="3"/>
  <c r="T365" i="3"/>
  <c r="T280" i="3"/>
  <c r="T448" i="3"/>
  <c r="T403" i="3"/>
  <c r="T231" i="3"/>
  <c r="T381" i="3"/>
  <c r="T351" i="3"/>
  <c r="T332" i="3"/>
  <c r="T296" i="3"/>
  <c r="T343" i="3"/>
  <c r="T407" i="3"/>
  <c r="T121" i="3"/>
  <c r="T72" i="3"/>
  <c r="T415" i="3"/>
  <c r="T355" i="3"/>
  <c r="T254" i="3"/>
  <c r="T102" i="3"/>
  <c r="T352" i="3"/>
  <c r="T335" i="3"/>
  <c r="T220" i="3"/>
  <c r="T377" i="3"/>
  <c r="T236" i="3"/>
  <c r="T354" i="3"/>
  <c r="T257" i="3"/>
  <c r="T360" i="3"/>
  <c r="T384" i="3"/>
  <c r="T253" i="3"/>
  <c r="T226" i="3"/>
  <c r="T342" i="3"/>
  <c r="T344" i="3"/>
  <c r="T247" i="3"/>
  <c r="T444" i="3"/>
  <c r="T259" i="3"/>
  <c r="T452" i="3"/>
  <c r="T242" i="3"/>
  <c r="T307" i="3"/>
  <c r="T330" i="3"/>
  <c r="T230" i="3"/>
  <c r="T398" i="3"/>
  <c r="T232" i="3"/>
  <c r="T438" i="3"/>
  <c r="T362" i="3"/>
  <c r="T341" i="3"/>
  <c r="T321" i="3"/>
  <c r="T340" i="3"/>
  <c r="T87" i="3"/>
  <c r="T445" i="3"/>
  <c r="T235" i="3"/>
  <c r="T313" i="3"/>
  <c r="T419" i="3"/>
  <c r="T374" i="3"/>
  <c r="T378" i="3"/>
  <c r="T442" i="3"/>
  <c r="T117" i="3"/>
  <c r="T50" i="3"/>
  <c r="T96" i="3"/>
  <c r="T450" i="3"/>
  <c r="T15" i="3"/>
  <c r="T432" i="3"/>
  <c r="T120" i="3"/>
  <c r="T89" i="3"/>
  <c r="T298" i="3"/>
  <c r="T179" i="3"/>
  <c r="T392" i="3"/>
  <c r="T446" i="3"/>
  <c r="T333" i="3"/>
  <c r="T262" i="3"/>
  <c r="T153" i="3"/>
  <c r="T127" i="3"/>
  <c r="T293" i="3"/>
  <c r="T266" i="3"/>
  <c r="T417" i="3"/>
  <c r="T203" i="3"/>
  <c r="T143" i="3"/>
  <c r="T104" i="3"/>
  <c r="T263" i="3"/>
  <c r="T316" i="3"/>
  <c r="T371" i="3"/>
  <c r="T205" i="3"/>
  <c r="T56" i="3"/>
  <c r="T182" i="3"/>
  <c r="T64" i="3"/>
  <c r="T185" i="3"/>
  <c r="T163" i="3"/>
  <c r="T194" i="3"/>
  <c r="T278" i="3"/>
  <c r="T148" i="3"/>
  <c r="T217" i="3"/>
  <c r="T68" i="3"/>
  <c r="T317" i="3"/>
  <c r="T367" i="3"/>
  <c r="T246" i="3"/>
  <c r="T42" i="3"/>
  <c r="T301" i="3"/>
  <c r="T271" i="3"/>
  <c r="T65" i="3"/>
  <c r="T324" i="3"/>
  <c r="T261" i="3"/>
  <c r="T339" i="3"/>
  <c r="T109" i="3"/>
  <c r="T75" i="3"/>
  <c r="T162" i="3"/>
  <c r="T71" i="3"/>
  <c r="T103" i="3"/>
  <c r="T275" i="3"/>
  <c r="T311" i="3"/>
  <c r="T168" i="3"/>
  <c r="T25" i="3"/>
  <c r="T255" i="3"/>
  <c r="T256" i="3"/>
  <c r="T82" i="3"/>
  <c r="T114" i="3"/>
  <c r="T49" i="3"/>
  <c r="T43" i="3"/>
  <c r="T128" i="3"/>
  <c r="T60" i="3"/>
  <c r="T264" i="3"/>
  <c r="T348" i="3"/>
  <c r="T90" i="3"/>
  <c r="T159" i="3"/>
  <c r="T54" i="3"/>
  <c r="T180" i="3"/>
  <c r="T193" i="3"/>
  <c r="T38" i="3"/>
  <c r="T129" i="3"/>
  <c r="T31" i="3"/>
  <c r="T412" i="3"/>
  <c r="T449" i="3"/>
  <c r="T408" i="3"/>
  <c r="T439" i="3"/>
  <c r="T373" i="3"/>
  <c r="T421" i="3"/>
  <c r="T336" i="3"/>
  <c r="T372" i="3"/>
  <c r="T420" i="3"/>
  <c r="T430" i="3"/>
  <c r="T389" i="3"/>
  <c r="T160" i="3"/>
  <c r="T363" i="3"/>
  <c r="T369" i="3"/>
  <c r="T51" i="3"/>
  <c r="T260" i="3"/>
  <c r="T346" i="3"/>
  <c r="T347" i="3"/>
  <c r="T20" i="3"/>
  <c r="T310" i="3"/>
  <c r="T24" i="3"/>
  <c r="T92" i="3"/>
  <c r="T186" i="3"/>
  <c r="T267" i="3"/>
  <c r="T34" i="3"/>
  <c r="T141" i="3"/>
  <c r="T306" i="3"/>
  <c r="T17" i="3"/>
  <c r="T223" i="3"/>
  <c r="T196" i="3"/>
  <c r="T272" i="3"/>
  <c r="T9" i="3"/>
  <c r="T106" i="3"/>
  <c r="T434" i="3"/>
  <c r="T396" i="3"/>
  <c r="T14" i="3"/>
  <c r="T93" i="3"/>
  <c r="T80" i="3"/>
  <c r="T52" i="3"/>
  <c r="T55" i="3"/>
  <c r="T147" i="3"/>
  <c r="T409" i="3"/>
  <c r="T213" i="3"/>
  <c r="T290" i="3"/>
  <c r="T18" i="3"/>
  <c r="T283" i="3"/>
  <c r="T135" i="3"/>
  <c r="T149" i="3"/>
  <c r="T274" i="3"/>
  <c r="T85" i="3"/>
  <c r="T16" i="3"/>
  <c r="T126" i="3"/>
  <c r="T305" i="3"/>
  <c r="T145" i="3"/>
  <c r="T30" i="3"/>
  <c r="T282" i="3"/>
  <c r="T370" i="3"/>
  <c r="T325" i="3"/>
  <c r="T62" i="3"/>
  <c r="T195" i="3"/>
  <c r="T204" i="3"/>
  <c r="T318" i="3"/>
  <c r="T214" i="3"/>
  <c r="T435" i="3"/>
  <c r="T47" i="3"/>
  <c r="T107" i="3"/>
  <c r="T165" i="3"/>
  <c r="T243" i="3"/>
  <c r="T157" i="3"/>
  <c r="T58" i="3"/>
  <c r="T4" i="3"/>
  <c r="T94" i="3"/>
  <c r="T349" i="3"/>
  <c r="T191" i="3"/>
  <c r="T155" i="3"/>
  <c r="T136" i="3"/>
  <c r="T300" i="3"/>
  <c r="T309" i="3"/>
  <c r="T433" i="3"/>
  <c r="T427" i="3"/>
  <c r="T376" i="3"/>
  <c r="T5" i="3"/>
  <c r="T119" i="3"/>
  <c r="T86" i="3"/>
  <c r="T424" i="3"/>
  <c r="T258" i="3"/>
  <c r="T151" i="3"/>
  <c r="T95" i="3"/>
  <c r="T211" i="3"/>
  <c r="T364" i="3"/>
  <c r="T175" i="3"/>
  <c r="T99" i="3"/>
  <c r="T134" i="3"/>
  <c r="T200" i="3"/>
  <c r="T295" i="3"/>
  <c r="T132" i="3"/>
  <c r="T161" i="3"/>
  <c r="T98" i="3"/>
  <c r="T172" i="3"/>
  <c r="T202" i="3"/>
  <c r="T12" i="3"/>
  <c r="T395" i="3"/>
  <c r="T281" i="3"/>
  <c r="T122" i="3"/>
  <c r="T176" i="3"/>
  <c r="T164" i="3"/>
  <c r="T188" i="3"/>
  <c r="T156" i="3"/>
  <c r="T190" i="3"/>
  <c r="T414" i="3"/>
  <c r="T3" i="3"/>
  <c r="T400" i="3"/>
  <c r="T209" i="3"/>
  <c r="T375" i="3"/>
  <c r="T112" i="3"/>
  <c r="T100" i="3"/>
  <c r="T118" i="3"/>
  <c r="T74" i="3"/>
  <c r="T19" i="3"/>
  <c r="T113" i="3"/>
  <c r="T394" i="3"/>
  <c r="T8" i="3"/>
  <c r="T387" i="3"/>
  <c r="T6" i="3"/>
  <c r="T426" i="3"/>
  <c r="T84" i="3"/>
  <c r="T137" i="3"/>
  <c r="T410" i="3"/>
  <c r="T219" i="3"/>
  <c r="T178" i="3"/>
  <c r="T208" i="3"/>
  <c r="T270" i="3"/>
  <c r="T251" i="3"/>
  <c r="T110" i="3"/>
  <c r="T78" i="3"/>
  <c r="T48" i="3"/>
  <c r="T152" i="3"/>
  <c r="T37" i="3"/>
  <c r="T241" i="3"/>
  <c r="T108" i="3"/>
  <c r="T33" i="3"/>
  <c r="T212" i="3"/>
  <c r="T326" i="3"/>
  <c r="T416" i="3"/>
  <c r="T88" i="3"/>
  <c r="T66" i="3"/>
  <c r="T35" i="3"/>
  <c r="T53" i="3"/>
  <c r="T77" i="3"/>
  <c r="T345" i="3"/>
  <c r="T397" i="3"/>
  <c r="T328" i="3"/>
  <c r="T215" i="3"/>
  <c r="T287" i="3"/>
  <c r="T7" i="3"/>
  <c r="T240" i="3"/>
  <c r="T91" i="3"/>
  <c r="T252" i="3"/>
  <c r="T130" i="3"/>
  <c r="T207" i="3"/>
  <c r="T399" i="3"/>
  <c r="T192" i="3"/>
  <c r="T268" i="3"/>
  <c r="T279" i="3"/>
  <c r="T233" i="3"/>
  <c r="T237" i="3"/>
  <c r="T221" i="3"/>
  <c r="T59" i="3"/>
  <c r="T26" i="3"/>
  <c r="T61" i="3"/>
  <c r="T57" i="3"/>
  <c r="T22" i="3"/>
  <c r="T27" i="3"/>
  <c r="T299" i="3"/>
  <c r="T323" i="3"/>
  <c r="T173" i="3"/>
  <c r="T265" i="3"/>
  <c r="T150" i="3"/>
  <c r="T170" i="3"/>
  <c r="T171" i="3"/>
  <c r="T10" i="3"/>
  <c r="T36" i="3"/>
  <c r="T198" i="3"/>
  <c r="T319" i="3"/>
  <c r="T273" i="3"/>
  <c r="T29" i="3"/>
  <c r="T23" i="3"/>
  <c r="T201" i="3"/>
  <c r="T144" i="3"/>
  <c r="T239" i="3"/>
  <c r="T382" i="3"/>
  <c r="T181" i="3"/>
  <c r="T69" i="3"/>
  <c r="T189" i="3"/>
  <c r="T431" i="3"/>
  <c r="T83" i="3"/>
  <c r="T227" i="3"/>
  <c r="T2" i="3"/>
  <c r="T105" i="3"/>
  <c r="T184" i="3"/>
  <c r="T111" i="3"/>
  <c r="T174" i="3"/>
  <c r="T197" i="3"/>
  <c r="T393" i="3"/>
  <c r="T140" i="3"/>
  <c r="T289" i="3"/>
  <c r="T338" i="3"/>
  <c r="T40" i="3"/>
  <c r="T13" i="3"/>
  <c r="T422" i="3"/>
  <c r="T441" i="3"/>
  <c r="T249" i="3"/>
  <c r="T288" i="3"/>
  <c r="T138" i="3"/>
  <c r="T39" i="3"/>
  <c r="T76" i="3"/>
  <c r="T443" i="3"/>
  <c r="T166" i="3"/>
  <c r="T46" i="3"/>
  <c r="T154" i="3"/>
  <c r="T224" i="3"/>
  <c r="T210" i="3"/>
  <c r="T411" i="3"/>
  <c r="T218" i="3"/>
  <c r="T67" i="3"/>
  <c r="T158" i="3"/>
  <c r="T405" i="3"/>
  <c r="T45" i="3"/>
  <c r="T401" i="3"/>
  <c r="T125" i="3"/>
  <c r="T139" i="3"/>
  <c r="T304" i="3"/>
  <c r="T32" i="3"/>
  <c r="T79" i="3"/>
  <c r="T97" i="3"/>
  <c r="T276" i="3"/>
  <c r="T353" i="3"/>
  <c r="T216" i="3"/>
  <c r="T250" i="3"/>
  <c r="T358" i="3"/>
  <c r="T115" i="3"/>
  <c r="T447" i="3"/>
  <c r="T28" i="3"/>
  <c r="T81" i="3"/>
  <c r="T123" i="3"/>
  <c r="T428" i="3"/>
  <c r="T146" i="3"/>
  <c r="T404" i="3"/>
  <c r="T11" i="3"/>
  <c r="T142" i="3"/>
  <c r="T177" i="3"/>
  <c r="T63" i="3"/>
  <c r="T133" i="3"/>
  <c r="T436" i="3"/>
  <c r="T44" i="3"/>
  <c r="T423" i="3"/>
  <c r="T303" i="3"/>
  <c r="T402" i="3"/>
  <c r="T21" i="3"/>
  <c r="T124" i="3"/>
  <c r="T167" i="3"/>
  <c r="T206" i="3"/>
  <c r="T383" i="3"/>
  <c r="T70" i="3"/>
  <c r="T73" i="3"/>
  <c r="T116" i="3"/>
  <c r="T131" i="3"/>
  <c r="T234" i="3"/>
  <c r="T379" i="3"/>
  <c r="T327" i="3"/>
  <c r="T183" i="3"/>
  <c r="T238" i="3"/>
  <c r="T248" i="3"/>
  <c r="T101" i="3"/>
  <c r="T366" i="3"/>
  <c r="T440" i="3"/>
  <c r="T41" i="3"/>
  <c r="D6" i="1" l="1" a="1"/>
  <c r="D6" i="1" s="1"/>
  <c r="E6" i="1" s="1"/>
  <c r="S280" i="3"/>
  <c r="U280" i="3" s="1"/>
  <c r="S341" i="3"/>
  <c r="U341" i="3" s="1"/>
  <c r="S222" i="3"/>
  <c r="U222" i="3" s="1"/>
  <c r="S357" i="3"/>
  <c r="U357" i="3" s="1"/>
  <c r="S335" i="3"/>
  <c r="U335" i="3" s="1"/>
  <c r="S316" i="3"/>
  <c r="U316" i="3" s="1"/>
  <c r="S494" i="3"/>
  <c r="U494" i="3" s="1"/>
  <c r="S350" i="3"/>
  <c r="U350" i="3" s="1"/>
  <c r="S332" i="3"/>
  <c r="U332" i="3" s="1"/>
  <c r="S236" i="3"/>
  <c r="U236" i="3" s="1"/>
  <c r="S271" i="3"/>
  <c r="U271" i="3" s="1"/>
  <c r="S153" i="3"/>
  <c r="U153" i="3" s="1"/>
  <c r="S354" i="3"/>
  <c r="U354" i="3" s="1"/>
  <c r="S284" i="3"/>
  <c r="U284" i="3" s="1"/>
  <c r="S12" i="3"/>
  <c r="U12" i="3" s="1"/>
  <c r="S394" i="3"/>
  <c r="U394" i="3" s="1"/>
  <c r="S138" i="3"/>
  <c r="U138" i="3" s="1"/>
  <c r="S441" i="3"/>
  <c r="U441" i="3" s="1"/>
  <c r="S360" i="3"/>
  <c r="U360" i="3" s="1"/>
  <c r="S483" i="3"/>
  <c r="U483" i="3" s="1"/>
  <c r="S438" i="3"/>
  <c r="U438" i="3" s="1"/>
  <c r="S444" i="3"/>
  <c r="U444" i="3" s="1"/>
  <c r="S307" i="3"/>
  <c r="U307" i="3" s="1"/>
  <c r="S139" i="3"/>
  <c r="U139" i="3" s="1"/>
  <c r="S269" i="3"/>
  <c r="U269" i="3" s="1"/>
  <c r="S453" i="3"/>
  <c r="U453" i="3" s="1"/>
  <c r="S358" i="3"/>
  <c r="U358" i="3" s="1"/>
  <c r="S312" i="3"/>
  <c r="U312" i="3" s="1"/>
  <c r="S466" i="3"/>
  <c r="U466" i="3" s="1"/>
  <c r="S67" i="3"/>
  <c r="U67" i="3" s="1"/>
  <c r="S10" i="3"/>
  <c r="U10" i="3" s="1"/>
  <c r="S55" i="3"/>
  <c r="U55" i="3" s="1"/>
  <c r="S299" i="3"/>
  <c r="U299" i="3" s="1"/>
  <c r="S278" i="3"/>
  <c r="U278" i="3" s="1"/>
  <c r="S456" i="3"/>
  <c r="U456" i="3" s="1"/>
  <c r="S340" i="3"/>
  <c r="U340" i="3" s="1"/>
  <c r="S320" i="3"/>
  <c r="U320" i="3" s="1"/>
  <c r="S182" i="3"/>
  <c r="U182" i="3" s="1"/>
  <c r="S206" i="3"/>
  <c r="U206" i="3" s="1"/>
  <c r="S342" i="3"/>
  <c r="U342" i="3" s="1"/>
  <c r="S324" i="3"/>
  <c r="U324" i="3" s="1"/>
  <c r="S345" i="3"/>
  <c r="U345" i="3" s="1"/>
  <c r="S337" i="3"/>
  <c r="U337" i="3" s="1"/>
  <c r="S369" i="3"/>
  <c r="U369" i="3" s="1"/>
  <c r="S210" i="3"/>
  <c r="U210" i="3" s="1"/>
  <c r="S216" i="3"/>
  <c r="U216" i="3" s="1"/>
  <c r="S129" i="3"/>
  <c r="U129" i="3" s="1"/>
  <c r="S378" i="3"/>
  <c r="U378" i="3" s="1"/>
  <c r="S135" i="3"/>
  <c r="U135" i="3" s="1"/>
  <c r="S322" i="3"/>
  <c r="U322" i="3" s="1"/>
  <c r="S315" i="3"/>
  <c r="U315" i="3" s="1"/>
  <c r="S163" i="3"/>
  <c r="U163" i="3" s="1"/>
  <c r="S451" i="3"/>
  <c r="U451" i="3" s="1"/>
  <c r="S24" i="3"/>
  <c r="U24" i="3" s="1"/>
  <c r="S387" i="3"/>
  <c r="U387" i="3" s="1"/>
  <c r="S193" i="3"/>
  <c r="U193" i="3" s="1"/>
  <c r="S229" i="3"/>
  <c r="U229" i="3" s="1"/>
  <c r="S402" i="3"/>
  <c r="U402" i="3" s="1"/>
  <c r="S285" i="3"/>
  <c r="U285" i="3" s="1"/>
  <c r="S459" i="3"/>
  <c r="U459" i="3" s="1"/>
  <c r="S448" i="3"/>
  <c r="U448" i="3" s="1"/>
  <c r="S164" i="3"/>
  <c r="U164" i="3" s="1"/>
  <c r="S94" i="3"/>
  <c r="U94" i="3" s="1"/>
  <c r="S268" i="3"/>
  <c r="U268" i="3" s="1"/>
  <c r="S321" i="3"/>
  <c r="U321" i="3" s="1"/>
  <c r="S273" i="3"/>
  <c r="U273" i="3" s="1"/>
  <c r="S196" i="3"/>
  <c r="U196" i="3" s="1"/>
  <c r="S440" i="3"/>
  <c r="U440" i="3" s="1"/>
  <c r="S120" i="3"/>
  <c r="U120" i="3" s="1"/>
  <c r="S343" i="3"/>
  <c r="U343" i="3" s="1"/>
  <c r="S371" i="3"/>
  <c r="U371" i="3" s="1"/>
  <c r="S203" i="3"/>
  <c r="U203" i="3" s="1"/>
  <c r="S244" i="3"/>
  <c r="U244" i="3" s="1"/>
  <c r="S37" i="3"/>
  <c r="U37" i="3" s="1"/>
  <c r="S254" i="3"/>
  <c r="U254" i="3" s="1"/>
  <c r="S465" i="3"/>
  <c r="U465" i="3" s="1"/>
  <c r="S142" i="3"/>
  <c r="U142" i="3" s="1"/>
  <c r="S498" i="3"/>
  <c r="U498" i="3" s="1"/>
  <c r="S396" i="3"/>
  <c r="U396" i="3" s="1"/>
  <c r="S144" i="3"/>
  <c r="U144" i="3" s="1"/>
  <c r="S407" i="3"/>
  <c r="U407" i="3" s="1"/>
  <c r="S457" i="3"/>
  <c r="U457" i="3" s="1"/>
  <c r="S454" i="3"/>
  <c r="U454" i="3" s="1"/>
  <c r="S447" i="3"/>
  <c r="U447" i="3" s="1"/>
  <c r="S426" i="3"/>
  <c r="U426" i="3" s="1"/>
  <c r="S339" i="3"/>
  <c r="U339" i="3" s="1"/>
  <c r="S433" i="3"/>
  <c r="U433" i="3" s="1"/>
  <c r="S197" i="3"/>
  <c r="U197" i="3" s="1"/>
  <c r="S331" i="3"/>
  <c r="U331" i="3" s="1"/>
  <c r="S463" i="3"/>
  <c r="U463" i="3" s="1"/>
  <c r="S474" i="3"/>
  <c r="U474" i="3" s="1"/>
  <c r="S392" i="3"/>
  <c r="U392" i="3" s="1"/>
  <c r="S502" i="3"/>
  <c r="U502" i="3" s="1"/>
  <c r="S39" i="3"/>
  <c r="U39" i="3" s="1"/>
  <c r="S36" i="3"/>
  <c r="U36" i="3" s="1"/>
  <c r="S425" i="3"/>
  <c r="U425" i="3" s="1"/>
  <c r="S490" i="3"/>
  <c r="U490" i="3" s="1"/>
  <c r="S235" i="3"/>
  <c r="U235" i="3" s="1"/>
  <c r="S419" i="3"/>
  <c r="U419" i="3" s="1"/>
  <c r="S484" i="3"/>
  <c r="U484" i="3" s="1"/>
  <c r="S297" i="3"/>
  <c r="U297" i="3" s="1"/>
  <c r="S291" i="3"/>
  <c r="U291" i="3" s="1"/>
  <c r="S480" i="3"/>
  <c r="U480" i="3" s="1"/>
  <c r="S261" i="3"/>
  <c r="U261" i="3" s="1"/>
  <c r="S230" i="3"/>
  <c r="U230" i="3" s="1"/>
  <c r="S415" i="3"/>
  <c r="U415" i="3" s="1"/>
  <c r="S109" i="3"/>
  <c r="U109" i="3" s="1"/>
  <c r="S329" i="3"/>
  <c r="U329" i="3" s="1"/>
  <c r="S477" i="3"/>
  <c r="U477" i="3" s="1"/>
  <c r="S265" i="3"/>
  <c r="U265" i="3" s="1"/>
  <c r="S455" i="3"/>
  <c r="U455" i="3" s="1"/>
  <c r="S467" i="3"/>
  <c r="U467" i="3" s="1"/>
  <c r="S397" i="3"/>
  <c r="U397" i="3" s="1"/>
  <c r="S184" i="3"/>
  <c r="U184" i="3" s="1"/>
  <c r="S220" i="3"/>
  <c r="U220" i="3" s="1"/>
  <c r="S292" i="3"/>
  <c r="U292" i="3" s="1"/>
  <c r="S246" i="3"/>
  <c r="U246" i="3" s="1"/>
  <c r="S245" i="3"/>
  <c r="U245" i="3" s="1"/>
  <c r="S365" i="3"/>
  <c r="U365" i="3" s="1"/>
  <c r="S198" i="3"/>
  <c r="U198" i="3" s="1"/>
  <c r="S205" i="3"/>
  <c r="U205" i="3" s="1"/>
  <c r="S290" i="3"/>
  <c r="U290" i="3" s="1"/>
  <c r="S443" i="3"/>
  <c r="U443" i="3" s="1"/>
  <c r="S59" i="3"/>
  <c r="U59" i="3" s="1"/>
  <c r="S43" i="3"/>
  <c r="U43" i="3" s="1"/>
  <c r="S264" i="3"/>
  <c r="U264" i="3" s="1"/>
  <c r="S117" i="3"/>
  <c r="U117" i="3" s="1"/>
  <c r="S393" i="3"/>
  <c r="U393" i="3" s="1"/>
  <c r="S295" i="3"/>
  <c r="U295" i="3" s="1"/>
  <c r="S97" i="3"/>
  <c r="U97" i="3" s="1"/>
  <c r="S105" i="3"/>
  <c r="U105" i="3" s="1"/>
  <c r="S171" i="3"/>
  <c r="U171" i="3" s="1"/>
  <c r="S462" i="3"/>
  <c r="U462" i="3" s="1"/>
  <c r="S188" i="3"/>
  <c r="U188" i="3" s="1"/>
  <c r="S348" i="3"/>
  <c r="U348" i="3" s="1"/>
  <c r="S179" i="3"/>
  <c r="U179" i="3" s="1"/>
  <c r="S252" i="3"/>
  <c r="U252" i="3" s="1"/>
  <c r="S104" i="3"/>
  <c r="U104" i="3" s="1"/>
  <c r="S424" i="3"/>
  <c r="U424" i="3" s="1"/>
  <c r="S88" i="3"/>
  <c r="U88" i="3" s="1"/>
  <c r="S21" i="3"/>
  <c r="U21" i="3" s="1"/>
  <c r="S42" i="3"/>
  <c r="U42" i="3" s="1"/>
  <c r="S22" i="3"/>
  <c r="U22" i="3" s="1"/>
  <c r="S175" i="3"/>
  <c r="U175" i="3" s="1"/>
  <c r="S148" i="3"/>
  <c r="U148" i="3" s="1"/>
  <c r="S233" i="3"/>
  <c r="U233" i="3" s="1"/>
  <c r="S141" i="3"/>
  <c r="U141" i="3" s="1"/>
  <c r="S86" i="3"/>
  <c r="U86" i="3" s="1"/>
  <c r="S8" i="3"/>
  <c r="U8" i="3" s="1"/>
  <c r="S385" i="3"/>
  <c r="U385" i="3" s="1"/>
  <c r="S422" i="3"/>
  <c r="U422" i="3" s="1"/>
  <c r="S96" i="3"/>
  <c r="U96" i="3" s="1"/>
  <c r="S476" i="3"/>
  <c r="U476" i="3" s="1"/>
  <c r="S150" i="3"/>
  <c r="U150" i="3" s="1"/>
  <c r="S76" i="3"/>
  <c r="U76" i="3" s="1"/>
  <c r="S489" i="3"/>
  <c r="U489" i="3" s="1"/>
  <c r="S158" i="3"/>
  <c r="U158" i="3" s="1"/>
  <c r="S432" i="3"/>
  <c r="U432" i="3" s="1"/>
  <c r="S327" i="3"/>
  <c r="U327" i="3" s="1"/>
  <c r="S79" i="3"/>
  <c r="U79" i="3" s="1"/>
  <c r="S501" i="3"/>
  <c r="U501" i="3" s="1"/>
  <c r="S177" i="3"/>
  <c r="U177" i="3" s="1"/>
  <c r="S116" i="3"/>
  <c r="U116" i="3" s="1"/>
  <c r="S200" i="3"/>
  <c r="U200" i="3" s="1"/>
  <c r="S487" i="3"/>
  <c r="U487" i="3" s="1"/>
  <c r="S155" i="3"/>
  <c r="U155" i="3" s="1"/>
  <c r="S411" i="3"/>
  <c r="U411" i="3" s="1"/>
  <c r="S281" i="3"/>
  <c r="U281" i="3" s="1"/>
  <c r="S384" i="3"/>
  <c r="U384" i="3" s="1"/>
  <c r="S212" i="3"/>
  <c r="U212" i="3" s="1"/>
  <c r="S289" i="3"/>
  <c r="U289" i="3" s="1"/>
  <c r="S146" i="3"/>
  <c r="U146" i="3" s="1"/>
  <c r="S446" i="3"/>
  <c r="U446" i="3" s="1"/>
  <c r="S288" i="3"/>
  <c r="U288" i="3" s="1"/>
  <c r="S123" i="3"/>
  <c r="U123" i="3" s="1"/>
  <c r="S302" i="3"/>
  <c r="U302" i="3" s="1"/>
  <c r="S23" i="3"/>
  <c r="U23" i="3" s="1"/>
  <c r="S172" i="3"/>
  <c r="U172" i="3" s="1"/>
  <c r="S111" i="3"/>
  <c r="U111" i="3" s="1"/>
  <c r="S9" i="3"/>
  <c r="U9" i="3" s="1"/>
  <c r="S423" i="3"/>
  <c r="U423" i="3" s="1"/>
  <c r="S89" i="3"/>
  <c r="U89" i="3" s="1"/>
  <c r="S304" i="3"/>
  <c r="U304" i="3" s="1"/>
  <c r="S413" i="3"/>
  <c r="U413" i="3" s="1"/>
  <c r="S100" i="3"/>
  <c r="U100" i="3" s="1"/>
  <c r="S217" i="3"/>
  <c r="U217" i="3" s="1"/>
  <c r="S143" i="3"/>
  <c r="U143" i="3" s="1"/>
  <c r="S72" i="3"/>
  <c r="U72" i="3" s="1"/>
  <c r="S270" i="3"/>
  <c r="U270" i="3" s="1"/>
  <c r="S56" i="3"/>
  <c r="U56" i="3" s="1"/>
  <c r="S133" i="3"/>
  <c r="U133" i="3" s="1"/>
  <c r="S75" i="3"/>
  <c r="U75" i="3" s="1"/>
  <c r="S63" i="3"/>
  <c r="U63" i="3" s="1"/>
  <c r="S140" i="3"/>
  <c r="U140" i="3" s="1"/>
  <c r="S187" i="3"/>
  <c r="U187" i="3" s="1"/>
  <c r="S306" i="3"/>
  <c r="U306" i="3" s="1"/>
  <c r="S121" i="3"/>
  <c r="U121" i="3" s="1"/>
  <c r="S102" i="3"/>
  <c r="U102" i="3" s="1"/>
  <c r="S251" i="3"/>
  <c r="U251" i="3" s="1"/>
  <c r="S17" i="3"/>
  <c r="U17" i="3" s="1"/>
  <c r="S81" i="3"/>
  <c r="U81" i="3" s="1"/>
  <c r="S34" i="3"/>
  <c r="U34" i="3" s="1"/>
  <c r="S223" i="3"/>
  <c r="U223" i="3" s="1"/>
  <c r="S134" i="3"/>
  <c r="U134" i="3" s="1"/>
  <c r="S272" i="3"/>
  <c r="U272" i="3" s="1"/>
  <c r="S377" i="3"/>
  <c r="U377" i="3" s="1"/>
  <c r="S65" i="3"/>
  <c r="U65" i="3" s="1"/>
  <c r="S450" i="3"/>
  <c r="U450" i="3" s="1"/>
  <c r="S368" i="3"/>
  <c r="U368" i="3" s="1"/>
  <c r="S202" i="3"/>
  <c r="U202" i="3" s="1"/>
  <c r="S258" i="3"/>
  <c r="U258" i="3" s="1"/>
  <c r="S113" i="3"/>
  <c r="U113" i="3" s="1"/>
  <c r="S185" i="3"/>
  <c r="U185" i="3" s="1"/>
  <c r="S382" i="3"/>
  <c r="U382" i="3" s="1"/>
  <c r="S478" i="3"/>
  <c r="U478" i="3" s="1"/>
  <c r="S98" i="3"/>
  <c r="U98" i="3" s="1"/>
  <c r="S33" i="3"/>
  <c r="U33" i="3" s="1"/>
  <c r="S115" i="3"/>
  <c r="U115" i="3" s="1"/>
  <c r="S497" i="3"/>
  <c r="U497" i="3" s="1"/>
  <c r="S73" i="3"/>
  <c r="U73" i="3" s="1"/>
  <c r="S132" i="3"/>
  <c r="U132" i="3" s="1"/>
  <c r="S190" i="3"/>
  <c r="U190" i="3" s="1"/>
  <c r="S218" i="3"/>
  <c r="U218" i="3" s="1"/>
  <c r="S458" i="3"/>
  <c r="U458" i="3" s="1"/>
  <c r="S29" i="3"/>
  <c r="U29" i="3" s="1"/>
  <c r="S181" i="3"/>
  <c r="U181" i="3" s="1"/>
  <c r="S161" i="3"/>
  <c r="U161" i="3" s="1"/>
  <c r="S242" i="3"/>
  <c r="U242" i="3" s="1"/>
  <c r="S192" i="3"/>
  <c r="U192" i="3" s="1"/>
  <c r="S267" i="3"/>
  <c r="U267" i="3" s="1"/>
  <c r="S319" i="3"/>
  <c r="U319" i="3" s="1"/>
  <c r="S26" i="3"/>
  <c r="U26" i="3" s="1"/>
  <c r="S239" i="3"/>
  <c r="U239" i="3" s="1"/>
  <c r="S488" i="3"/>
  <c r="U488" i="3" s="1"/>
  <c r="S74" i="3"/>
  <c r="U74" i="3" s="1"/>
  <c r="S298" i="3"/>
  <c r="U298" i="3" s="1"/>
  <c r="S156" i="3"/>
  <c r="U156" i="3" s="1"/>
  <c r="S87" i="3"/>
  <c r="U87" i="3" s="1"/>
  <c r="S436" i="3"/>
  <c r="U436" i="3" s="1"/>
  <c r="S211" i="3"/>
  <c r="U211" i="3" s="1"/>
  <c r="S410" i="3"/>
  <c r="U410" i="3" s="1"/>
  <c r="S376" i="3"/>
  <c r="U376" i="3" s="1"/>
  <c r="S427" i="3"/>
  <c r="U427" i="3" s="1"/>
  <c r="S492" i="3"/>
  <c r="U492" i="3" s="1"/>
  <c r="S349" i="3"/>
  <c r="U349" i="3" s="1"/>
  <c r="S420" i="3"/>
  <c r="U420" i="3" s="1"/>
  <c r="S372" i="3"/>
  <c r="U372" i="3" s="1"/>
  <c r="S336" i="3"/>
  <c r="U336" i="3" s="1"/>
  <c r="S486" i="3"/>
  <c r="U486" i="3" s="1"/>
  <c r="S373" i="3"/>
  <c r="U373" i="3" s="1"/>
  <c r="S485" i="3"/>
  <c r="U485" i="3" s="1"/>
  <c r="S473" i="3"/>
  <c r="U473" i="3" s="1"/>
  <c r="S408" i="3"/>
  <c r="U408" i="3" s="1"/>
  <c r="S495" i="3"/>
  <c r="U495" i="3" s="1"/>
  <c r="S439" i="3"/>
  <c r="U439" i="3" s="1"/>
  <c r="S421" i="3"/>
  <c r="U421" i="3" s="1"/>
  <c r="S430" i="3"/>
  <c r="U430" i="3" s="1"/>
  <c r="S231" i="3"/>
  <c r="U231" i="3" s="1"/>
  <c r="S313" i="3"/>
  <c r="U313" i="3" s="1"/>
  <c r="S482" i="3"/>
  <c r="U482" i="3" s="1"/>
  <c r="S351" i="3"/>
  <c r="U351" i="3" s="1"/>
  <c r="S262" i="3"/>
  <c r="U262" i="3" s="1"/>
  <c r="S417" i="3"/>
  <c r="U417" i="3" s="1"/>
  <c r="S361" i="3"/>
  <c r="U361" i="3" s="1"/>
  <c r="S406" i="3"/>
  <c r="U406" i="3" s="1"/>
  <c r="S226" i="3"/>
  <c r="U226" i="3" s="1"/>
  <c r="S471" i="3"/>
  <c r="U471" i="3" s="1"/>
  <c r="S445" i="3"/>
  <c r="U445" i="3" s="1"/>
  <c r="S224" i="3"/>
  <c r="U224" i="3" s="1"/>
  <c r="S4" i="3"/>
  <c r="U4" i="3" s="1"/>
  <c r="S50" i="3"/>
  <c r="U50" i="3" s="1"/>
  <c r="S112" i="3"/>
  <c r="U112" i="3" s="1"/>
  <c r="S330" i="3"/>
  <c r="U330" i="3" s="1"/>
  <c r="S71" i="3"/>
  <c r="U71" i="3" s="1"/>
  <c r="S131" i="3"/>
  <c r="U131" i="3" s="1"/>
  <c r="S169" i="3"/>
  <c r="U169" i="3" s="1"/>
  <c r="S234" i="3"/>
  <c r="U234" i="3" s="1"/>
  <c r="S381" i="3"/>
  <c r="U381" i="3" s="1"/>
  <c r="S472" i="3"/>
  <c r="U472" i="3" s="1"/>
  <c r="S356" i="3"/>
  <c r="U356" i="3" s="1"/>
  <c r="S362" i="3"/>
  <c r="U362" i="3" s="1"/>
  <c r="S479" i="3"/>
  <c r="U479" i="3" s="1"/>
  <c r="S66" i="3"/>
  <c r="U66" i="3" s="1"/>
  <c r="S259" i="3"/>
  <c r="U259" i="3" s="1"/>
  <c r="S500" i="3"/>
  <c r="U500" i="3" s="1"/>
  <c r="S41" i="3"/>
  <c r="U41" i="3" s="1"/>
  <c r="S64" i="3"/>
  <c r="U64" i="3" s="1"/>
  <c r="S127" i="3"/>
  <c r="U127" i="3" s="1"/>
  <c r="S364" i="3"/>
  <c r="U364" i="3" s="1"/>
  <c r="S201" i="3"/>
  <c r="U201" i="3" s="1"/>
  <c r="S119" i="3"/>
  <c r="U119" i="3" s="1"/>
  <c r="S449" i="3"/>
  <c r="U449" i="3" s="1"/>
  <c r="S173" i="3"/>
  <c r="U173" i="3" s="1"/>
  <c r="S27" i="3"/>
  <c r="U27" i="3" s="1"/>
  <c r="S248" i="3"/>
  <c r="U248" i="3" s="1"/>
  <c r="S99" i="3"/>
  <c r="U99" i="3" s="1"/>
  <c r="S328" i="3"/>
  <c r="U328" i="3" s="1"/>
  <c r="S180" i="3"/>
  <c r="U180" i="3" s="1"/>
  <c r="S25" i="3"/>
  <c r="U25" i="3" s="1"/>
  <c r="S70" i="3"/>
  <c r="U70" i="3" s="1"/>
  <c r="S404" i="3"/>
  <c r="U404" i="3" s="1"/>
  <c r="S237" i="3"/>
  <c r="U237" i="3" s="1"/>
  <c r="S174" i="3"/>
  <c r="U174" i="3" s="1"/>
  <c r="S110" i="3"/>
  <c r="U110" i="3" s="1"/>
  <c r="S38" i="3"/>
  <c r="U38" i="3" s="1"/>
  <c r="S375" i="3"/>
  <c r="U375" i="3" s="1"/>
  <c r="S249" i="3"/>
  <c r="U249" i="3" s="1"/>
  <c r="S108" i="3"/>
  <c r="U108" i="3" s="1"/>
  <c r="S250" i="3"/>
  <c r="U250" i="3" s="1"/>
  <c r="S323" i="3"/>
  <c r="U323" i="3" s="1"/>
  <c r="S30" i="3"/>
  <c r="U30" i="3" s="1"/>
  <c r="S496" i="3"/>
  <c r="U496" i="3" s="1"/>
  <c r="S303" i="3"/>
  <c r="U303" i="3" s="1"/>
  <c r="S160" i="3"/>
  <c r="U160" i="3" s="1"/>
  <c r="S16" i="3"/>
  <c r="U16" i="3" s="1"/>
  <c r="S165" i="3"/>
  <c r="U165" i="3" s="1"/>
  <c r="S47" i="3"/>
  <c r="U47" i="3" s="1"/>
  <c r="S469" i="3"/>
  <c r="U469" i="3" s="1"/>
  <c r="S207" i="3"/>
  <c r="U207" i="3" s="1"/>
  <c r="S260" i="3"/>
  <c r="U260" i="3" s="1"/>
  <c r="S78" i="3"/>
  <c r="U78" i="3" s="1"/>
  <c r="S401" i="3"/>
  <c r="U401" i="3" s="1"/>
  <c r="S14" i="3"/>
  <c r="U14" i="3" s="1"/>
  <c r="S157" i="3"/>
  <c r="U157" i="3" s="1"/>
  <c r="S93" i="3"/>
  <c r="U93" i="3" s="1"/>
  <c r="S491" i="3"/>
  <c r="U491" i="3" s="1"/>
  <c r="S168" i="3"/>
  <c r="U168" i="3" s="1"/>
  <c r="S19" i="3"/>
  <c r="U19" i="3" s="1"/>
  <c r="S431" i="3"/>
  <c r="U431" i="3" s="1"/>
  <c r="S7" i="3"/>
  <c r="U7" i="3" s="1"/>
  <c r="S399" i="3"/>
  <c r="U399" i="3" s="1"/>
  <c r="S221" i="3"/>
  <c r="U221" i="3" s="1"/>
  <c r="S18" i="3"/>
  <c r="U18" i="3" s="1"/>
  <c r="S241" i="3"/>
  <c r="U241" i="3" s="1"/>
  <c r="S52" i="3"/>
  <c r="U52" i="3" s="1"/>
  <c r="S347" i="3"/>
  <c r="U347" i="3" s="1"/>
  <c r="S400" i="3"/>
  <c r="U400" i="3" s="1"/>
  <c r="S147" i="3"/>
  <c r="U147" i="3" s="1"/>
  <c r="S85" i="3"/>
  <c r="U85" i="3" s="1"/>
  <c r="S300" i="3"/>
  <c r="U300" i="3" s="1"/>
  <c r="S2" i="3"/>
  <c r="U2" i="3" s="1"/>
  <c r="S227" i="3"/>
  <c r="U227" i="3" s="1"/>
  <c r="S80" i="3"/>
  <c r="U80" i="3" s="1"/>
  <c r="S137" i="3"/>
  <c r="U137" i="3" s="1"/>
  <c r="S61" i="3"/>
  <c r="U61" i="3" s="1"/>
  <c r="S464" i="3"/>
  <c r="U464" i="3" s="1"/>
  <c r="S434" i="3"/>
  <c r="U434" i="3" s="1"/>
  <c r="S209" i="3"/>
  <c r="U209" i="3" s="1"/>
  <c r="S149" i="3"/>
  <c r="U149" i="3" s="1"/>
  <c r="S90" i="3"/>
  <c r="U90" i="3" s="1"/>
  <c r="S170" i="3"/>
  <c r="U170" i="3" s="1"/>
  <c r="S54" i="3"/>
  <c r="U54" i="3" s="1"/>
  <c r="S275" i="3"/>
  <c r="U275" i="3" s="1"/>
  <c r="S215" i="3"/>
  <c r="U215" i="3" s="1"/>
  <c r="S124" i="3"/>
  <c r="U124" i="3" s="1"/>
  <c r="S46" i="3"/>
  <c r="U46" i="3" s="1"/>
  <c r="S318" i="3"/>
  <c r="U318" i="3" s="1"/>
  <c r="S28" i="3"/>
  <c r="U28" i="3" s="1"/>
  <c r="S409" i="3"/>
  <c r="U409" i="3" s="1"/>
  <c r="S256" i="3"/>
  <c r="U256" i="3" s="1"/>
  <c r="S414" i="3"/>
  <c r="U414" i="3" s="1"/>
  <c r="S305" i="3"/>
  <c r="U305" i="3" s="1"/>
  <c r="S82" i="3"/>
  <c r="U82" i="3" s="1"/>
  <c r="S389" i="3"/>
  <c r="U389" i="3" s="1"/>
  <c r="S243" i="3"/>
  <c r="U243" i="3" s="1"/>
  <c r="S35" i="3"/>
  <c r="U35" i="3" s="1"/>
  <c r="S176" i="3"/>
  <c r="U176" i="3" s="1"/>
  <c r="S31" i="3"/>
  <c r="U31" i="3" s="1"/>
  <c r="S92" i="3"/>
  <c r="U92" i="3" s="1"/>
  <c r="S3" i="3"/>
  <c r="U3" i="3" s="1"/>
  <c r="S283" i="3"/>
  <c r="U283" i="3" s="1"/>
  <c r="S310" i="3"/>
  <c r="U310" i="3" s="1"/>
  <c r="S20" i="3"/>
  <c r="U20" i="3" s="1"/>
  <c r="S84" i="3"/>
  <c r="U84" i="3" s="1"/>
  <c r="S83" i="3"/>
  <c r="U83" i="3" s="1"/>
  <c r="S493" i="3"/>
  <c r="U493" i="3" s="1"/>
  <c r="S6" i="3"/>
  <c r="U6" i="3" s="1"/>
  <c r="S69" i="3"/>
  <c r="U69" i="3" s="1"/>
  <c r="S178" i="3"/>
  <c r="U178" i="3" s="1"/>
  <c r="S435" i="3"/>
  <c r="U435" i="3" s="1"/>
  <c r="S213" i="3"/>
  <c r="U213" i="3" s="1"/>
  <c r="S126" i="3"/>
  <c r="U126" i="3" s="1"/>
  <c r="S195" i="3"/>
  <c r="U195" i="3" s="1"/>
  <c r="S499" i="3"/>
  <c r="U499" i="3" s="1"/>
  <c r="S276" i="3"/>
  <c r="U276" i="3" s="1"/>
  <c r="S183" i="3"/>
  <c r="U183" i="3" s="1"/>
  <c r="S282" i="3"/>
  <c r="U282" i="3" s="1"/>
  <c r="S122" i="3"/>
  <c r="U122" i="3" s="1"/>
  <c r="S370" i="3"/>
  <c r="U370" i="3" s="1"/>
  <c r="S145" i="3"/>
  <c r="U145" i="3" s="1"/>
  <c r="S214" i="3"/>
  <c r="U214" i="3" s="1"/>
  <c r="S101" i="3"/>
  <c r="U101" i="3" s="1"/>
  <c r="S191" i="3"/>
  <c r="U191" i="3" s="1"/>
  <c r="S412" i="3"/>
  <c r="U412" i="3" s="1"/>
  <c r="S346" i="3"/>
  <c r="U346" i="3" s="1"/>
  <c r="S44" i="3"/>
  <c r="U44" i="3" s="1"/>
  <c r="S460" i="3"/>
  <c r="U460" i="3" s="1"/>
  <c r="S255" i="3"/>
  <c r="U255" i="3" s="1"/>
  <c r="S204" i="3"/>
  <c r="U204" i="3" s="1"/>
  <c r="S154" i="3"/>
  <c r="U154" i="3" s="1"/>
  <c r="S274" i="3"/>
  <c r="U274" i="3" s="1"/>
  <c r="S128" i="3"/>
  <c r="U128" i="3" s="1"/>
  <c r="S51" i="3"/>
  <c r="U51" i="3" s="1"/>
  <c r="S428" i="3"/>
  <c r="U428" i="3" s="1"/>
  <c r="S325" i="3"/>
  <c r="U325" i="3" s="1"/>
  <c r="S40" i="3"/>
  <c r="U40" i="3" s="1"/>
  <c r="S118" i="3"/>
  <c r="U118" i="3" s="1"/>
  <c r="S238" i="3"/>
  <c r="U238" i="3" s="1"/>
  <c r="S152" i="3"/>
  <c r="U152" i="3" s="1"/>
  <c r="S5" i="3"/>
  <c r="U5" i="3" s="1"/>
  <c r="S53" i="3"/>
  <c r="U53" i="3" s="1"/>
  <c r="S114" i="3"/>
  <c r="U114" i="3" s="1"/>
  <c r="S279" i="3"/>
  <c r="U279" i="3" s="1"/>
  <c r="S186" i="3"/>
  <c r="U186" i="3" s="1"/>
  <c r="S395" i="3"/>
  <c r="U395" i="3" s="1"/>
  <c r="S125" i="3"/>
  <c r="U125" i="3" s="1"/>
  <c r="S62" i="3"/>
  <c r="U62" i="3" s="1"/>
  <c r="S159" i="3"/>
  <c r="U159" i="3" s="1"/>
  <c r="S106" i="3"/>
  <c r="U106" i="3" s="1"/>
  <c r="S366" i="3"/>
  <c r="U366" i="3" s="1"/>
  <c r="S107" i="3"/>
  <c r="U107" i="3" s="1"/>
  <c r="S91" i="3"/>
  <c r="U91" i="3" s="1"/>
  <c r="S32" i="3"/>
  <c r="U32" i="3" s="1"/>
  <c r="S166" i="3"/>
  <c r="U166" i="3" s="1"/>
  <c r="S95" i="3"/>
  <c r="U95" i="3" s="1"/>
  <c r="S77" i="3"/>
  <c r="U77" i="3" s="1"/>
  <c r="S167" i="3"/>
  <c r="U167" i="3" s="1"/>
  <c r="S11" i="3"/>
  <c r="U11" i="3" s="1"/>
  <c r="S58" i="3"/>
  <c r="U58" i="3" s="1"/>
  <c r="S151" i="3"/>
  <c r="U151" i="3" s="1"/>
  <c r="S383" i="3"/>
  <c r="U383" i="3" s="1"/>
  <c r="S60" i="3"/>
  <c r="U60" i="3" s="1"/>
  <c r="S263" i="3"/>
  <c r="U263" i="3" s="1"/>
  <c r="S294" i="3"/>
  <c r="U294" i="3" s="1"/>
  <c r="S352" i="3"/>
  <c r="U352" i="3" s="1"/>
  <c r="S232" i="3"/>
  <c r="U232" i="3" s="1"/>
  <c r="S314" i="3"/>
  <c r="U314" i="3" s="1"/>
  <c r="S418" i="3"/>
  <c r="U418" i="3" s="1"/>
  <c r="S208" i="3"/>
  <c r="U208" i="3" s="1"/>
  <c r="S103" i="3"/>
  <c r="U103" i="3" s="1"/>
  <c r="S363" i="3"/>
  <c r="U363" i="3" s="1"/>
  <c r="S293" i="3"/>
  <c r="U293" i="3" s="1"/>
  <c r="S57" i="3"/>
  <c r="U57" i="3" s="1"/>
  <c r="S326" i="3"/>
  <c r="U326" i="3" s="1"/>
  <c r="S68" i="3"/>
  <c r="U68" i="3" s="1"/>
  <c r="S136" i="3"/>
  <c r="U136" i="3" s="1"/>
  <c r="S219" i="3"/>
  <c r="U219" i="3" s="1"/>
  <c r="S277" i="3"/>
  <c r="U277" i="3" s="1"/>
  <c r="S386" i="3"/>
  <c r="U386" i="3" s="1"/>
  <c r="S13" i="3"/>
  <c r="U13" i="3" s="1"/>
  <c r="S49" i="3"/>
  <c r="U49" i="3" s="1"/>
  <c r="S311" i="3"/>
  <c r="U311" i="3" s="1"/>
  <c r="S405" i="3"/>
  <c r="U405" i="3" s="1"/>
  <c r="S390" i="3"/>
  <c r="U390" i="3" s="1"/>
  <c r="S194" i="3"/>
  <c r="U194" i="3" s="1"/>
  <c r="S253" i="3"/>
  <c r="U253" i="3" s="1"/>
  <c r="S374" i="3"/>
  <c r="U374" i="3" s="1"/>
  <c r="S379" i="3"/>
  <c r="U379" i="3" s="1"/>
  <c r="S287" i="3"/>
  <c r="U287" i="3" s="1"/>
  <c r="S296" i="3"/>
  <c r="U296" i="3" s="1"/>
  <c r="S247" i="3"/>
  <c r="U247" i="3" s="1"/>
  <c r="S338" i="3"/>
  <c r="U338" i="3" s="1"/>
  <c r="S162" i="3"/>
  <c r="U162" i="3" s="1"/>
  <c r="S429" i="3"/>
  <c r="U429" i="3" s="1"/>
  <c r="S437" i="3"/>
  <c r="U437" i="3" s="1"/>
  <c r="S334" i="3"/>
  <c r="U334" i="3" s="1"/>
  <c r="S355" i="3"/>
  <c r="S266" i="3"/>
  <c r="U266" i="3" s="1"/>
  <c r="S359" i="3"/>
  <c r="U359" i="3" s="1"/>
  <c r="S452" i="3"/>
  <c r="U452" i="3" s="1"/>
  <c r="S468" i="3"/>
  <c r="U468" i="3" s="1"/>
  <c r="S353" i="3"/>
  <c r="U353" i="3" s="1"/>
  <c r="S344" i="3"/>
  <c r="U344" i="3" s="1"/>
  <c r="S45" i="3"/>
  <c r="U45" i="3" s="1"/>
  <c r="S309" i="3"/>
  <c r="U309" i="3" s="1"/>
  <c r="S380" i="3"/>
  <c r="U380" i="3" s="1"/>
  <c r="S388" i="3"/>
  <c r="U388" i="3" s="1"/>
  <c r="S391" i="3"/>
  <c r="U391" i="3" s="1"/>
  <c r="S286" i="3"/>
  <c r="U286" i="3" s="1"/>
  <c r="S481" i="3"/>
  <c r="U481" i="3" s="1"/>
  <c r="S403" i="3"/>
  <c r="U403" i="3" s="1"/>
  <c r="S308" i="3"/>
  <c r="U308" i="3" s="1"/>
  <c r="S475" i="3"/>
  <c r="U475" i="3" s="1"/>
  <c r="S199" i="3"/>
  <c r="U199" i="3" s="1"/>
  <c r="S470" i="3"/>
  <c r="U470" i="3" s="1"/>
  <c r="S442" i="3"/>
  <c r="U442" i="3" s="1"/>
  <c r="S228" i="3"/>
  <c r="U228" i="3" s="1"/>
  <c r="S416" i="3"/>
  <c r="U416" i="3" s="1"/>
  <c r="S130" i="3"/>
  <c r="U130" i="3" s="1"/>
  <c r="S398" i="3"/>
  <c r="U398" i="3" s="1"/>
  <c r="S301" i="3"/>
  <c r="U301" i="3" s="1"/>
  <c r="S225" i="3"/>
  <c r="U225" i="3" s="1"/>
  <c r="S333" i="3"/>
  <c r="U333" i="3" s="1"/>
  <c r="S240" i="3"/>
  <c r="U240" i="3" s="1"/>
  <c r="S15" i="3"/>
  <c r="U15" i="3" s="1"/>
  <c r="S461" i="3"/>
  <c r="U461" i="3" s="1"/>
  <c r="S367" i="3"/>
  <c r="U367" i="3" s="1"/>
  <c r="S257" i="3"/>
  <c r="U257" i="3" s="1"/>
  <c r="S317" i="3"/>
  <c r="U317" i="3" s="1"/>
  <c r="S48" i="3"/>
  <c r="U48" i="3" s="1"/>
  <c r="S189" i="3"/>
  <c r="U189" i="3" s="1"/>
  <c r="D7" i="1" l="1" a="1"/>
  <c r="D7" i="1" s="1"/>
  <c r="E7" i="1" s="1"/>
  <c r="D8" i="1" l="1" a="1"/>
  <c r="D8" i="1" s="1"/>
  <c r="E8" i="1" s="1"/>
  <c r="D9" i="1" l="1" a="1"/>
  <c r="D9" i="1" s="1"/>
  <c r="E9" i="1" s="1"/>
  <c r="D10" i="1" l="1" a="1"/>
  <c r="D10" i="1" s="1"/>
  <c r="E10" i="1" s="1"/>
  <c r="D11" i="1" l="1" a="1"/>
  <c r="D11" i="1" s="1"/>
  <c r="E11" i="1" s="1"/>
  <c r="D12" i="1" l="1" a="1"/>
  <c r="D12" i="1" s="1"/>
  <c r="E12" i="1" s="1"/>
  <c r="D13" i="1" l="1" a="1"/>
  <c r="D13" i="1" s="1"/>
  <c r="E13" i="1" s="1"/>
  <c r="D14" i="1" l="1" a="1"/>
  <c r="D14" i="1" s="1"/>
  <c r="E14" i="1" s="1"/>
  <c r="D15" i="1" l="1" a="1"/>
  <c r="D15" i="1" s="1"/>
  <c r="E15" i="1" s="1"/>
  <c r="D16" i="1" l="1" a="1"/>
  <c r="D16" i="1" s="1"/>
  <c r="E16" i="1" s="1"/>
  <c r="D17" i="1" l="1" a="1"/>
  <c r="D17" i="1" s="1"/>
  <c r="E17" i="1" s="1"/>
  <c r="D18" i="1" l="1" a="1"/>
  <c r="D18" i="1" s="1"/>
  <c r="E18" i="1" s="1"/>
  <c r="D19" i="1" l="1" a="1"/>
  <c r="D19" i="1" s="1"/>
  <c r="E19" i="1" s="1"/>
  <c r="D20" i="1" l="1" a="1"/>
  <c r="D20" i="1" s="1"/>
  <c r="E20" i="1" s="1"/>
  <c r="D21" i="1" l="1" a="1"/>
  <c r="D21" i="1" s="1"/>
  <c r="E21" i="1" s="1"/>
  <c r="D22" i="1" l="1" a="1"/>
  <c r="D22" i="1" s="1"/>
  <c r="E22" i="1" s="1"/>
  <c r="D23" i="1" l="1" a="1"/>
  <c r="D23" i="1" s="1"/>
  <c r="E23" i="1" s="1"/>
  <c r="D24" i="1" l="1" a="1"/>
  <c r="D24" i="1" s="1"/>
  <c r="E24" i="1" s="1"/>
  <c r="D25" i="1" l="1" a="1"/>
  <c r="D25" i="1" s="1"/>
  <c r="E25" i="1" s="1"/>
  <c r="D26" i="1" l="1" a="1"/>
  <c r="D26" i="1" s="1"/>
  <c r="E26" i="1" s="1"/>
  <c r="D27" i="1" l="1" a="1"/>
  <c r="D27" i="1" s="1"/>
  <c r="E27" i="1" s="1"/>
  <c r="D28" i="1" l="1" a="1"/>
  <c r="D28" i="1" s="1"/>
  <c r="E28" i="1" s="1"/>
  <c r="D29" i="1" l="1" a="1"/>
  <c r="D29" i="1" s="1"/>
  <c r="E29" i="1" s="1"/>
  <c r="D30" i="1" l="1" a="1"/>
  <c r="D30" i="1" s="1"/>
  <c r="E30" i="1" s="1"/>
  <c r="D31" i="1" l="1" a="1"/>
  <c r="D31" i="1" s="1"/>
  <c r="E31" i="1" s="1"/>
  <c r="D32" i="1" l="1" a="1"/>
  <c r="D32" i="1" s="1"/>
  <c r="E32" i="1" s="1"/>
  <c r="D33" i="1" l="1" a="1"/>
  <c r="D33" i="1" s="1"/>
  <c r="E33" i="1" s="1"/>
  <c r="D34" i="1" l="1" a="1"/>
  <c r="D34" i="1" s="1"/>
  <c r="E34" i="1" s="1"/>
  <c r="D35" i="1" l="1" a="1"/>
  <c r="D35" i="1" s="1"/>
  <c r="E35" i="1" s="1"/>
  <c r="D36" i="1" l="1" a="1"/>
  <c r="D36" i="1" s="1"/>
  <c r="E36" i="1" s="1"/>
  <c r="D37" i="1" l="1" a="1"/>
  <c r="D37" i="1" s="1"/>
  <c r="E37" i="1" s="1"/>
  <c r="D38" i="1" l="1" a="1"/>
  <c r="D38" i="1" s="1"/>
  <c r="E38" i="1" s="1"/>
  <c r="D39" i="1" l="1" a="1"/>
  <c r="D39" i="1" s="1"/>
  <c r="E39" i="1" s="1"/>
  <c r="D40" i="1" l="1" a="1"/>
  <c r="D40" i="1" s="1"/>
  <c r="E40" i="1" s="1"/>
  <c r="D41" i="1" l="1" a="1"/>
  <c r="D41" i="1" s="1"/>
  <c r="E41" i="1" s="1"/>
  <c r="D42" i="1" l="1" a="1"/>
  <c r="D42" i="1" s="1"/>
  <c r="E42" i="1" s="1"/>
  <c r="D43" i="1" l="1" a="1"/>
  <c r="D43" i="1" s="1"/>
  <c r="E43" i="1" s="1"/>
  <c r="D44" i="1" l="1" a="1"/>
  <c r="D44" i="1" s="1"/>
  <c r="E44" i="1" s="1"/>
  <c r="D45" i="1" l="1" a="1"/>
  <c r="D45" i="1" s="1"/>
  <c r="E45" i="1" s="1"/>
  <c r="D46" i="1" l="1" a="1"/>
  <c r="D46" i="1" s="1"/>
  <c r="E46" i="1" s="1"/>
  <c r="D47" i="1" l="1" a="1"/>
  <c r="D47" i="1" s="1"/>
  <c r="E47" i="1" s="1"/>
  <c r="D48" i="1" l="1" a="1"/>
  <c r="D48" i="1" s="1"/>
  <c r="E48" i="1" s="1"/>
  <c r="D49" i="1" l="1" a="1"/>
  <c r="D49" i="1" s="1"/>
  <c r="E49" i="1" s="1"/>
  <c r="D50" i="1" l="1" a="1"/>
  <c r="D50" i="1" s="1"/>
  <c r="E50" i="1" s="1"/>
  <c r="D51" i="1" l="1" a="1"/>
  <c r="D51" i="1" s="1"/>
  <c r="E51" i="1" s="1"/>
  <c r="D52" i="1" l="1" a="1"/>
  <c r="D52" i="1" s="1"/>
  <c r="E52" i="1" s="1"/>
  <c r="D53" i="1" l="1" a="1"/>
  <c r="D53" i="1" s="1"/>
  <c r="E53" i="1" s="1"/>
  <c r="D54" i="1" l="1" a="1"/>
  <c r="D54" i="1" s="1"/>
  <c r="E54" i="1" s="1"/>
  <c r="D55" i="1" l="1" a="1"/>
  <c r="D55" i="1" s="1"/>
  <c r="E55" i="1" s="1"/>
  <c r="D56" i="1" l="1" a="1"/>
  <c r="D56" i="1" s="1"/>
  <c r="E56" i="1" s="1"/>
  <c r="D57" i="1" l="1" a="1"/>
  <c r="D57" i="1" s="1"/>
  <c r="E57" i="1" s="1"/>
  <c r="D58" i="1" l="1" a="1"/>
  <c r="D58" i="1" s="1"/>
  <c r="E58" i="1" s="1"/>
  <c r="D59" i="1" l="1" a="1"/>
  <c r="D59" i="1" s="1"/>
  <c r="E59" i="1" s="1"/>
  <c r="D60" i="1" l="1" a="1"/>
  <c r="D60" i="1" s="1"/>
  <c r="E60" i="1" s="1"/>
  <c r="D61" i="1" l="1" a="1"/>
  <c r="D61" i="1" s="1"/>
  <c r="E61" i="1" s="1"/>
  <c r="D62" i="1" l="1" a="1"/>
  <c r="D62" i="1" s="1"/>
  <c r="E62" i="1" s="1"/>
  <c r="D63" i="1" l="1" a="1"/>
  <c r="D63" i="1" s="1"/>
  <c r="E63" i="1" s="1"/>
  <c r="D64" i="1" l="1" a="1"/>
  <c r="D64" i="1" s="1"/>
  <c r="E64" i="1" s="1"/>
  <c r="D65" i="1" l="1" a="1"/>
  <c r="D65" i="1" s="1"/>
  <c r="E65" i="1" s="1"/>
  <c r="D66" i="1" l="1" a="1"/>
  <c r="D66" i="1" s="1"/>
  <c r="E66" i="1" s="1"/>
  <c r="D67" i="1" l="1" a="1"/>
  <c r="D67" i="1" s="1"/>
  <c r="E67" i="1" s="1"/>
  <c r="D68" i="1" l="1" a="1"/>
  <c r="D68" i="1" s="1"/>
  <c r="E68" i="1" s="1"/>
  <c r="D69" i="1" l="1" a="1"/>
  <c r="D69" i="1" s="1"/>
  <c r="E69" i="1" s="1"/>
  <c r="D70" i="1" l="1" a="1"/>
  <c r="D70" i="1" s="1"/>
  <c r="E70" i="1" s="1"/>
  <c r="D71" i="1" l="1" a="1"/>
  <c r="D71" i="1" s="1"/>
  <c r="E71" i="1" s="1"/>
  <c r="D72" i="1" l="1" a="1"/>
  <c r="D72" i="1" s="1"/>
  <c r="E72" i="1" s="1"/>
  <c r="D73" i="1" l="1" a="1"/>
  <c r="D73" i="1" s="1"/>
  <c r="E73" i="1" s="1"/>
  <c r="D74" i="1" l="1" a="1"/>
  <c r="D74" i="1" s="1"/>
  <c r="E74" i="1" s="1"/>
  <c r="D75" i="1" l="1" a="1"/>
  <c r="D75" i="1" s="1"/>
  <c r="E75" i="1" s="1"/>
  <c r="D76" i="1" l="1" a="1"/>
  <c r="D76" i="1" s="1"/>
  <c r="E76" i="1" s="1"/>
  <c r="D77" i="1" l="1" a="1"/>
  <c r="D77" i="1" s="1"/>
  <c r="E77" i="1" s="1"/>
  <c r="D78" i="1" l="1" a="1"/>
  <c r="D78" i="1" s="1"/>
  <c r="E78" i="1" s="1"/>
  <c r="D79" i="1" l="1" a="1"/>
  <c r="D79" i="1" s="1"/>
  <c r="E79" i="1" s="1"/>
  <c r="D80" i="1" l="1" a="1"/>
  <c r="D80" i="1" s="1"/>
  <c r="E80" i="1" s="1"/>
  <c r="D81" i="1" l="1" a="1"/>
  <c r="D81" i="1" s="1"/>
  <c r="E81" i="1" s="1"/>
  <c r="D82" i="1" l="1" a="1"/>
  <c r="D82" i="1" s="1"/>
  <c r="E82" i="1" s="1"/>
  <c r="D83" i="1" l="1" a="1"/>
  <c r="D83" i="1" s="1"/>
  <c r="E83" i="1" s="1"/>
  <c r="D84" i="1" l="1" a="1"/>
  <c r="D84" i="1" s="1"/>
  <c r="E84" i="1" s="1"/>
  <c r="D85" i="1" l="1" a="1"/>
  <c r="D85" i="1" s="1"/>
  <c r="E85" i="1" s="1"/>
  <c r="D86" i="1" l="1" a="1"/>
  <c r="D86" i="1" s="1"/>
  <c r="E86" i="1" s="1"/>
  <c r="D87" i="1" l="1" a="1"/>
  <c r="D87" i="1" s="1"/>
  <c r="E87" i="1" s="1"/>
  <c r="D88" i="1" l="1" a="1"/>
  <c r="D88" i="1" s="1"/>
  <c r="E88" i="1" s="1"/>
  <c r="D89" i="1" l="1" a="1"/>
  <c r="D89" i="1" s="1"/>
  <c r="E89" i="1" s="1"/>
  <c r="D90" i="1" l="1" a="1"/>
  <c r="D90" i="1" s="1"/>
  <c r="E90" i="1" s="1"/>
  <c r="D91" i="1" l="1" a="1"/>
  <c r="D91" i="1" s="1"/>
  <c r="E91" i="1" s="1"/>
  <c r="D92" i="1" l="1" a="1"/>
  <c r="D92" i="1" s="1"/>
  <c r="E92" i="1" s="1"/>
  <c r="D93" i="1" l="1" a="1"/>
  <c r="D93" i="1" s="1"/>
  <c r="E93" i="1" s="1"/>
  <c r="D94" i="1" l="1" a="1"/>
  <c r="D94" i="1" s="1"/>
  <c r="E94" i="1" s="1"/>
  <c r="D95" i="1" l="1" a="1"/>
  <c r="D95" i="1" s="1"/>
  <c r="E95" i="1" s="1"/>
  <c r="D96" i="1" l="1" a="1"/>
  <c r="D96" i="1" s="1"/>
  <c r="E96" i="1" s="1"/>
  <c r="D97" i="1" l="1" a="1"/>
  <c r="D97" i="1" s="1"/>
  <c r="E97" i="1" s="1"/>
  <c r="D98" i="1" l="1" a="1"/>
  <c r="D98" i="1" s="1"/>
  <c r="E98" i="1" s="1"/>
  <c r="D99" i="1" l="1" a="1"/>
  <c r="D99" i="1" s="1"/>
  <c r="E99" i="1" s="1"/>
  <c r="D100" i="1" l="1" a="1"/>
  <c r="D100" i="1" s="1"/>
  <c r="E100" i="1" s="1"/>
  <c r="D101" i="1" l="1" a="1"/>
  <c r="D101" i="1" s="1"/>
  <c r="E101" i="1" s="1"/>
  <c r="D102" i="1" l="1" a="1"/>
  <c r="D102" i="1" s="1"/>
  <c r="E102" i="1" s="1"/>
  <c r="D103" i="1" l="1" a="1"/>
  <c r="D103" i="1" s="1"/>
  <c r="E103" i="1" s="1"/>
  <c r="D104" i="1" l="1" a="1"/>
  <c r="D104" i="1" s="1"/>
  <c r="E104" i="1" s="1"/>
  <c r="D105" i="1" l="1" a="1"/>
  <c r="D105" i="1" s="1"/>
  <c r="E105" i="1" s="1"/>
  <c r="D106" i="1" l="1" a="1"/>
  <c r="D106" i="1" s="1"/>
  <c r="E106" i="1" s="1"/>
  <c r="D107" i="1" l="1" a="1"/>
  <c r="D107" i="1" s="1"/>
  <c r="E107" i="1" s="1"/>
  <c r="D108" i="1" l="1" a="1"/>
  <c r="D108" i="1" s="1"/>
  <c r="E108" i="1" s="1"/>
  <c r="D109" i="1" l="1" a="1"/>
  <c r="D109" i="1" s="1"/>
  <c r="E109" i="1" s="1"/>
  <c r="D110" i="1" l="1" a="1"/>
  <c r="D110" i="1" s="1"/>
  <c r="E110" i="1" s="1"/>
  <c r="D111" i="1" l="1" a="1"/>
  <c r="D111" i="1" s="1"/>
  <c r="E111" i="1" s="1"/>
  <c r="D112" i="1" l="1" a="1"/>
  <c r="D112" i="1" s="1"/>
  <c r="E112" i="1" s="1"/>
  <c r="D113" i="1" l="1" a="1"/>
  <c r="D113" i="1" s="1"/>
  <c r="E113" i="1" s="1"/>
  <c r="D114" i="1" l="1" a="1"/>
  <c r="D114" i="1" s="1"/>
  <c r="E114" i="1" s="1"/>
  <c r="D115" i="1" l="1" a="1"/>
  <c r="D115" i="1" s="1"/>
  <c r="E115" i="1" s="1"/>
  <c r="D116" i="1" l="1" a="1"/>
  <c r="D116" i="1" s="1"/>
  <c r="E116" i="1" s="1"/>
  <c r="D117" i="1" l="1" a="1"/>
  <c r="D117" i="1" s="1"/>
  <c r="E117" i="1" s="1"/>
  <c r="D118" i="1" l="1" a="1"/>
  <c r="D118" i="1" s="1"/>
  <c r="E118" i="1" s="1"/>
  <c r="D119" i="1" l="1" a="1"/>
  <c r="D119" i="1" s="1"/>
  <c r="E119" i="1" s="1"/>
  <c r="D120" i="1" l="1" a="1"/>
  <c r="D120" i="1" s="1"/>
  <c r="E120" i="1" s="1"/>
  <c r="D121" i="1" l="1" a="1"/>
  <c r="D121" i="1" s="1"/>
  <c r="E121" i="1" s="1"/>
  <c r="D122" i="1" l="1" a="1"/>
  <c r="D122" i="1" s="1"/>
  <c r="E122" i="1" s="1"/>
  <c r="D123" i="1" l="1" a="1"/>
  <c r="D123" i="1" s="1"/>
  <c r="E123" i="1" s="1"/>
  <c r="D124" i="1" l="1" a="1"/>
  <c r="D124" i="1" s="1"/>
  <c r="E124" i="1" s="1"/>
  <c r="D125" i="1" l="1" a="1"/>
  <c r="D125" i="1" s="1"/>
  <c r="E125" i="1" s="1"/>
  <c r="D126" i="1" l="1" a="1"/>
  <c r="D126" i="1" s="1"/>
  <c r="E126" i="1" s="1"/>
  <c r="D127" i="1" l="1" a="1"/>
  <c r="D127" i="1" s="1"/>
  <c r="E127" i="1" s="1"/>
  <c r="D128" i="1" l="1" a="1"/>
  <c r="D128" i="1" s="1"/>
  <c r="E128" i="1" s="1"/>
  <c r="D129" i="1" l="1" a="1"/>
  <c r="D129" i="1" s="1"/>
  <c r="E129" i="1" s="1"/>
  <c r="D130" i="1" l="1" a="1"/>
  <c r="D130" i="1" s="1"/>
  <c r="E130" i="1" s="1"/>
  <c r="D131" i="1" l="1" a="1"/>
  <c r="D131" i="1" s="1"/>
  <c r="E131" i="1" s="1"/>
  <c r="D132" i="1" l="1" a="1"/>
  <c r="D132" i="1" s="1"/>
  <c r="E132" i="1" s="1"/>
  <c r="D133" i="1" l="1" a="1"/>
  <c r="D133" i="1" s="1"/>
  <c r="E133" i="1" s="1"/>
  <c r="D134" i="1" l="1" a="1"/>
  <c r="D134" i="1" s="1"/>
  <c r="E134" i="1" s="1"/>
  <c r="D135" i="1" l="1" a="1"/>
  <c r="D135" i="1" s="1"/>
  <c r="E135" i="1" s="1"/>
  <c r="D136" i="1" l="1" a="1"/>
  <c r="D136" i="1" s="1"/>
  <c r="E136" i="1" s="1"/>
  <c r="D137" i="1" l="1" a="1"/>
  <c r="D137" i="1" s="1"/>
  <c r="E137" i="1" s="1"/>
  <c r="D138" i="1" l="1" a="1"/>
  <c r="D138" i="1" s="1"/>
  <c r="E138" i="1" s="1"/>
  <c r="D139" i="1" l="1" a="1"/>
  <c r="D139" i="1" s="1"/>
  <c r="E139" i="1" s="1"/>
  <c r="D140" i="1" l="1" a="1"/>
  <c r="D140" i="1" s="1"/>
  <c r="E140" i="1" s="1"/>
  <c r="D141" i="1" l="1" a="1"/>
  <c r="D141" i="1" s="1"/>
  <c r="E141" i="1" s="1"/>
  <c r="D142" i="1" l="1" a="1"/>
  <c r="D142" i="1" s="1"/>
  <c r="E142" i="1" s="1"/>
  <c r="D143" i="1" l="1" a="1"/>
  <c r="D143" i="1" s="1"/>
  <c r="E143" i="1" s="1"/>
  <c r="D144" i="1" l="1" a="1"/>
  <c r="D144" i="1" s="1"/>
  <c r="E144" i="1" s="1"/>
  <c r="D145" i="1" l="1" a="1"/>
  <c r="D145" i="1" s="1"/>
  <c r="E145" i="1" s="1"/>
  <c r="D146" i="1" l="1" a="1"/>
  <c r="D146" i="1" s="1"/>
  <c r="E146" i="1" s="1"/>
  <c r="D147" i="1" l="1" a="1"/>
  <c r="D147" i="1" s="1"/>
  <c r="E147" i="1" s="1"/>
  <c r="D148" i="1" l="1" a="1"/>
  <c r="D148" i="1" s="1"/>
  <c r="E148" i="1" s="1"/>
  <c r="D149" i="1" l="1" a="1"/>
  <c r="D149" i="1" s="1"/>
  <c r="E149" i="1" s="1"/>
  <c r="D150" i="1" l="1" a="1"/>
  <c r="D150" i="1" s="1"/>
  <c r="E150" i="1" s="1"/>
  <c r="D151" i="1" l="1" a="1"/>
  <c r="D151" i="1" s="1"/>
  <c r="E151" i="1" s="1"/>
  <c r="D152" i="1" l="1" a="1"/>
  <c r="D152" i="1" s="1"/>
  <c r="E152" i="1" s="1"/>
  <c r="D153" i="1" l="1" a="1"/>
  <c r="D153" i="1" s="1"/>
  <c r="E153" i="1" s="1"/>
  <c r="D154" i="1" l="1" a="1"/>
  <c r="D154" i="1" s="1"/>
  <c r="E154" i="1" s="1"/>
  <c r="D155" i="1" l="1" a="1"/>
  <c r="D155" i="1" s="1"/>
  <c r="E155" i="1" s="1"/>
  <c r="D156" i="1" l="1" a="1"/>
  <c r="D156" i="1" s="1"/>
  <c r="E156" i="1" s="1"/>
  <c r="D157" i="1" l="1" a="1"/>
  <c r="D157" i="1" s="1"/>
  <c r="E157" i="1" s="1"/>
  <c r="D158" i="1" l="1" a="1"/>
  <c r="D158" i="1" s="1"/>
  <c r="E158" i="1" s="1"/>
  <c r="D159" i="1" l="1" a="1"/>
  <c r="D159" i="1" s="1"/>
  <c r="E159" i="1" s="1"/>
  <c r="D160" i="1" l="1" a="1"/>
  <c r="D160" i="1" s="1"/>
  <c r="E160" i="1" s="1"/>
  <c r="D161" i="1" l="1" a="1"/>
  <c r="D161" i="1" s="1"/>
  <c r="E161" i="1" s="1"/>
  <c r="D162" i="1" l="1" a="1"/>
  <c r="D162" i="1" s="1"/>
  <c r="E162" i="1" s="1"/>
  <c r="D163" i="1" l="1" a="1"/>
  <c r="D163" i="1" s="1"/>
  <c r="E163" i="1" s="1"/>
  <c r="D164" i="1" l="1" a="1"/>
  <c r="D164" i="1" s="1"/>
  <c r="E164" i="1" s="1"/>
  <c r="D165" i="1" l="1" a="1"/>
  <c r="D165" i="1" s="1"/>
  <c r="E165" i="1" s="1"/>
  <c r="D166" i="1" l="1" a="1"/>
  <c r="D166" i="1" s="1"/>
  <c r="E166" i="1" s="1"/>
  <c r="D167" i="1" l="1" a="1"/>
  <c r="D167" i="1" s="1"/>
  <c r="E167" i="1" s="1"/>
  <c r="D168" i="1" l="1" a="1"/>
  <c r="D168" i="1" s="1"/>
  <c r="E168" i="1" s="1"/>
  <c r="D169" i="1" l="1" a="1"/>
  <c r="D169" i="1" s="1"/>
  <c r="E169" i="1" s="1"/>
  <c r="D170" i="1" l="1" a="1"/>
  <c r="D170" i="1" s="1"/>
  <c r="E170" i="1" s="1"/>
  <c r="D171" i="1" l="1" a="1"/>
  <c r="D171" i="1" s="1"/>
  <c r="E171" i="1" s="1"/>
  <c r="D172" i="1" l="1" a="1"/>
  <c r="D172" i="1" s="1"/>
  <c r="E172" i="1" s="1"/>
  <c r="D173" i="1" l="1" a="1"/>
  <c r="D173" i="1" s="1"/>
  <c r="E173" i="1" s="1"/>
  <c r="D174" i="1" l="1" a="1"/>
  <c r="D174" i="1" s="1"/>
  <c r="E174" i="1" s="1"/>
  <c r="D175" i="1" l="1" a="1"/>
  <c r="D175" i="1" s="1"/>
  <c r="E175" i="1" s="1"/>
  <c r="D176" i="1" l="1" a="1"/>
  <c r="D176" i="1" s="1"/>
  <c r="E176" i="1" s="1"/>
  <c r="D177" i="1" l="1" a="1"/>
  <c r="D177" i="1" s="1"/>
  <c r="E177" i="1" s="1"/>
  <c r="D178" i="1" l="1" a="1"/>
  <c r="D178" i="1" s="1"/>
  <c r="E178" i="1" s="1"/>
  <c r="D179" i="1" l="1" a="1"/>
  <c r="D179" i="1" s="1"/>
  <c r="E179" i="1" s="1"/>
  <c r="D180" i="1" l="1" a="1"/>
  <c r="D180" i="1" s="1"/>
  <c r="E180" i="1" s="1"/>
  <c r="D181" i="1" l="1" a="1"/>
  <c r="D181" i="1" s="1"/>
  <c r="E181" i="1" s="1"/>
  <c r="D182" i="1" l="1" a="1"/>
  <c r="D182" i="1" s="1"/>
  <c r="E182" i="1" s="1"/>
  <c r="D183" i="1" l="1" a="1"/>
  <c r="D183" i="1" s="1"/>
  <c r="E183" i="1" s="1"/>
  <c r="D184" i="1" l="1" a="1"/>
  <c r="D184" i="1" s="1"/>
  <c r="E184" i="1" s="1"/>
  <c r="D185" i="1" l="1" a="1"/>
  <c r="D185" i="1" s="1"/>
  <c r="E185" i="1" s="1"/>
  <c r="D186" i="1" l="1" a="1"/>
  <c r="D186" i="1" s="1"/>
  <c r="E186" i="1" s="1"/>
  <c r="D187" i="1" l="1" a="1"/>
  <c r="D187" i="1" s="1"/>
  <c r="E187" i="1" s="1"/>
  <c r="D188" i="1" l="1" a="1"/>
  <c r="D188" i="1" s="1"/>
  <c r="E188" i="1" s="1"/>
  <c r="D189" i="1" l="1" a="1"/>
  <c r="D189" i="1" s="1"/>
  <c r="E189" i="1" s="1"/>
  <c r="D190" i="1" l="1" a="1"/>
  <c r="D190" i="1" s="1"/>
  <c r="E190" i="1" s="1"/>
  <c r="D191" i="1" l="1" a="1"/>
  <c r="D191" i="1" s="1"/>
  <c r="E191" i="1" s="1"/>
  <c r="D192" i="1" l="1" a="1"/>
  <c r="D192" i="1" s="1"/>
  <c r="E192" i="1" s="1"/>
  <c r="D193" i="1" l="1" a="1"/>
  <c r="D193" i="1" s="1"/>
  <c r="E193" i="1" s="1"/>
  <c r="D194" i="1" l="1" a="1"/>
  <c r="D194" i="1" s="1"/>
  <c r="E194" i="1" s="1"/>
  <c r="D195" i="1" l="1" a="1"/>
  <c r="D195" i="1" s="1"/>
  <c r="E195" i="1" s="1"/>
  <c r="D196" i="1" l="1" a="1"/>
  <c r="D196" i="1" s="1"/>
  <c r="E196" i="1" s="1"/>
  <c r="D197" i="1" l="1" a="1"/>
  <c r="D197" i="1" s="1"/>
  <c r="E197" i="1" s="1"/>
  <c r="D198" i="1" l="1" a="1"/>
  <c r="D198" i="1" s="1"/>
  <c r="E198" i="1" s="1"/>
  <c r="D199" i="1" l="1" a="1"/>
  <c r="D199" i="1" s="1"/>
  <c r="E199" i="1" s="1"/>
  <c r="D200" i="1" l="1" a="1"/>
  <c r="D200" i="1" s="1"/>
  <c r="E200" i="1" s="1"/>
  <c r="D201" i="1" l="1" a="1"/>
  <c r="D201" i="1" s="1"/>
  <c r="E201" i="1" s="1"/>
  <c r="D202" i="1" l="1" a="1"/>
  <c r="D202" i="1" s="1"/>
  <c r="E202" i="1" s="1"/>
  <c r="D203" i="1" l="1" a="1"/>
  <c r="D203" i="1" s="1"/>
  <c r="E203" i="1" s="1"/>
  <c r="D204" i="1" l="1" a="1"/>
  <c r="D204" i="1" s="1"/>
  <c r="E204" i="1" s="1"/>
  <c r="D205" i="1" l="1" a="1"/>
  <c r="D205" i="1" s="1"/>
  <c r="E205" i="1" s="1"/>
  <c r="D206" i="1" l="1" a="1"/>
  <c r="D206" i="1" s="1"/>
  <c r="E206" i="1" s="1"/>
  <c r="D207" i="1" l="1" a="1"/>
  <c r="D207" i="1" s="1"/>
  <c r="E207" i="1" s="1"/>
  <c r="D208" i="1" l="1" a="1"/>
  <c r="D208" i="1" s="1"/>
  <c r="E208" i="1" s="1"/>
  <c r="D209" i="1" l="1" a="1"/>
  <c r="D209" i="1" s="1"/>
  <c r="E209" i="1" s="1"/>
  <c r="D210" i="1" l="1" a="1"/>
  <c r="D210" i="1" s="1"/>
  <c r="E210" i="1" s="1"/>
  <c r="D211" i="1" l="1" a="1"/>
  <c r="D211" i="1" s="1"/>
  <c r="E211" i="1" s="1"/>
  <c r="D212" i="1" l="1" a="1"/>
  <c r="D212" i="1" s="1"/>
  <c r="E212" i="1" s="1"/>
  <c r="D213" i="1" l="1" a="1"/>
  <c r="D213" i="1" s="1"/>
  <c r="E213" i="1" s="1"/>
  <c r="D214" i="1" l="1" a="1"/>
  <c r="D214" i="1" s="1"/>
  <c r="E214" i="1" s="1"/>
  <c r="D215" i="1" l="1" a="1"/>
  <c r="D215" i="1" s="1"/>
  <c r="E215" i="1" s="1"/>
  <c r="D216" i="1" l="1" a="1"/>
  <c r="D216" i="1" s="1"/>
  <c r="E216" i="1" s="1"/>
  <c r="D217" i="1" l="1" a="1"/>
  <c r="D217" i="1" s="1"/>
  <c r="E217" i="1" s="1"/>
  <c r="D218" i="1" l="1" a="1"/>
  <c r="D218" i="1" s="1"/>
  <c r="E218" i="1" s="1"/>
  <c r="D219" i="1" l="1" a="1"/>
  <c r="D219" i="1" s="1"/>
  <c r="E219" i="1" s="1"/>
  <c r="D220" i="1" l="1" a="1"/>
  <c r="D220" i="1" s="1"/>
  <c r="E220" i="1" s="1"/>
  <c r="D221" i="1" l="1" a="1"/>
  <c r="D221" i="1" s="1"/>
  <c r="E221" i="1" s="1"/>
  <c r="D222" i="1" l="1" a="1"/>
  <c r="D222" i="1" s="1"/>
  <c r="E222" i="1" s="1"/>
  <c r="D223" i="1" l="1" a="1"/>
  <c r="D223" i="1" s="1"/>
  <c r="E223" i="1" s="1"/>
  <c r="D224" i="1" l="1" a="1"/>
  <c r="D224" i="1" s="1"/>
  <c r="E224" i="1" s="1"/>
  <c r="D225" i="1" l="1" a="1"/>
  <c r="D225" i="1" s="1"/>
  <c r="E225" i="1" s="1"/>
  <c r="D226" i="1" l="1" a="1"/>
  <c r="D226" i="1" s="1"/>
  <c r="E226" i="1" s="1"/>
  <c r="D227" i="1" l="1" a="1"/>
  <c r="D227" i="1" s="1"/>
  <c r="E227" i="1" s="1"/>
  <c r="D228" i="1" l="1" a="1"/>
  <c r="D228" i="1" s="1"/>
  <c r="E228" i="1" s="1"/>
  <c r="D229" i="1" l="1" a="1"/>
  <c r="D229" i="1" s="1"/>
  <c r="E229" i="1" s="1"/>
  <c r="D230" i="1" l="1" a="1"/>
  <c r="D230" i="1" s="1"/>
  <c r="E230" i="1" s="1"/>
  <c r="D231" i="1" l="1" a="1"/>
  <c r="D231" i="1" s="1"/>
  <c r="E231" i="1" s="1"/>
  <c r="D232" i="1" l="1" a="1"/>
  <c r="D232" i="1" s="1"/>
  <c r="E232" i="1" s="1"/>
  <c r="D233" i="1" l="1" a="1"/>
  <c r="D233" i="1" s="1"/>
  <c r="E233" i="1" s="1"/>
  <c r="D234" i="1" l="1" a="1"/>
  <c r="D234" i="1" s="1"/>
  <c r="E234" i="1" s="1"/>
  <c r="D235" i="1" l="1" a="1"/>
  <c r="D235" i="1" s="1"/>
  <c r="E235" i="1" s="1"/>
  <c r="D236" i="1" l="1" a="1"/>
  <c r="D236" i="1" s="1"/>
  <c r="E236" i="1" s="1"/>
  <c r="D237" i="1" l="1" a="1"/>
  <c r="D237" i="1" s="1"/>
  <c r="E237" i="1" s="1"/>
  <c r="D238" i="1" l="1" a="1"/>
  <c r="D238" i="1" s="1"/>
  <c r="E238" i="1" s="1"/>
  <c r="D239" i="1" l="1" a="1"/>
  <c r="D239" i="1" s="1"/>
  <c r="E239" i="1" s="1"/>
  <c r="D240" i="1" l="1" a="1"/>
  <c r="D240" i="1" s="1"/>
  <c r="E240" i="1" s="1"/>
  <c r="D241" i="1" l="1" a="1"/>
  <c r="D241" i="1" s="1"/>
  <c r="E241" i="1" s="1"/>
  <c r="D242" i="1" l="1" a="1"/>
  <c r="D242" i="1" s="1"/>
  <c r="E242" i="1" s="1"/>
  <c r="D243" i="1" l="1" a="1"/>
  <c r="D243" i="1" s="1"/>
  <c r="E243" i="1" s="1"/>
  <c r="D244" i="1" l="1" a="1"/>
  <c r="D244" i="1" s="1"/>
  <c r="E244" i="1" s="1"/>
  <c r="D245" i="1" l="1" a="1"/>
  <c r="D245" i="1" s="1"/>
  <c r="E245" i="1" s="1"/>
  <c r="D246" i="1" l="1" a="1"/>
  <c r="D246" i="1" s="1"/>
  <c r="E246" i="1" s="1"/>
  <c r="D247" i="1" l="1" a="1"/>
  <c r="D247" i="1" s="1"/>
  <c r="E247" i="1" s="1"/>
  <c r="D248" i="1" l="1" a="1"/>
  <c r="D248" i="1" s="1"/>
  <c r="E248" i="1" s="1"/>
  <c r="D249" i="1" l="1" a="1"/>
  <c r="D249" i="1" s="1"/>
  <c r="E249" i="1" s="1"/>
  <c r="D250" i="1" l="1" a="1"/>
  <c r="D250" i="1" s="1"/>
  <c r="E250" i="1" s="1"/>
  <c r="D251" i="1" l="1" a="1"/>
  <c r="D251" i="1" s="1"/>
  <c r="E251" i="1" s="1"/>
  <c r="D252" i="1" l="1" a="1"/>
  <c r="D252" i="1" s="1"/>
  <c r="E252" i="1" s="1"/>
  <c r="D253" i="1" l="1" a="1"/>
  <c r="D253" i="1" s="1"/>
  <c r="E253" i="1" s="1"/>
  <c r="D254" i="1" l="1" a="1"/>
  <c r="D254" i="1" s="1"/>
  <c r="E254" i="1" s="1"/>
  <c r="D255" i="1" l="1" a="1"/>
  <c r="D255" i="1" s="1"/>
  <c r="E255" i="1" s="1"/>
  <c r="D256" i="1" l="1" a="1"/>
  <c r="D256" i="1" s="1"/>
  <c r="E256" i="1" s="1"/>
  <c r="D257" i="1" l="1" a="1"/>
  <c r="D257" i="1" s="1"/>
  <c r="E257" i="1" s="1"/>
  <c r="D258" i="1" l="1" a="1"/>
  <c r="D258" i="1" s="1"/>
  <c r="E258" i="1" s="1"/>
  <c r="D259" i="1" l="1" a="1"/>
  <c r="D259" i="1" s="1"/>
  <c r="E259" i="1" s="1"/>
  <c r="D260" i="1" l="1" a="1"/>
  <c r="D260" i="1" s="1"/>
  <c r="E260" i="1" s="1"/>
  <c r="D261" i="1" l="1" a="1"/>
  <c r="D261" i="1" s="1"/>
  <c r="E261" i="1" s="1"/>
  <c r="D262" i="1" l="1" a="1"/>
  <c r="D262" i="1" s="1"/>
  <c r="E262" i="1" s="1"/>
  <c r="D263" i="1" l="1" a="1"/>
  <c r="D263" i="1" s="1"/>
  <c r="E263" i="1" s="1"/>
  <c r="D264" i="1" l="1" a="1"/>
  <c r="D264" i="1" s="1"/>
  <c r="E264" i="1" s="1"/>
  <c r="D265" i="1" l="1" a="1"/>
  <c r="D265" i="1" s="1"/>
  <c r="E265" i="1" s="1"/>
  <c r="D266" i="1" l="1" a="1"/>
  <c r="D266" i="1" s="1"/>
  <c r="E266" i="1" s="1"/>
  <c r="D267" i="1" l="1" a="1"/>
  <c r="D267" i="1" s="1"/>
  <c r="E267" i="1" s="1"/>
  <c r="D268" i="1" l="1" a="1"/>
  <c r="D268" i="1" s="1"/>
  <c r="E268" i="1" s="1"/>
  <c r="D269" i="1" l="1" a="1"/>
  <c r="D269" i="1" s="1"/>
  <c r="E269" i="1" s="1"/>
  <c r="D270" i="1" l="1" a="1"/>
  <c r="D270" i="1" s="1"/>
  <c r="E270" i="1" s="1"/>
  <c r="D271" i="1" l="1" a="1"/>
  <c r="D271" i="1" s="1"/>
  <c r="E271" i="1" s="1"/>
  <c r="D272" i="1" l="1" a="1"/>
  <c r="D272" i="1" s="1"/>
  <c r="E272" i="1" s="1"/>
  <c r="D273" i="1" l="1" a="1"/>
  <c r="D273" i="1" s="1"/>
  <c r="E273" i="1" s="1"/>
  <c r="D274" i="1" l="1" a="1"/>
  <c r="D274" i="1" s="1"/>
  <c r="E274" i="1" s="1"/>
  <c r="D275" i="1" l="1" a="1"/>
  <c r="D275" i="1" s="1"/>
  <c r="E275" i="1" s="1"/>
  <c r="D276" i="1" l="1" a="1"/>
  <c r="D276" i="1" s="1"/>
  <c r="E276" i="1" s="1"/>
  <c r="D277" i="1" l="1" a="1"/>
  <c r="D277" i="1" s="1"/>
  <c r="E277" i="1" s="1"/>
  <c r="D278" i="1" l="1" a="1"/>
  <c r="D278" i="1" s="1"/>
  <c r="E278" i="1" s="1"/>
  <c r="D279" i="1" l="1" a="1"/>
  <c r="D279" i="1" s="1"/>
  <c r="E279" i="1" s="1"/>
  <c r="D280" i="1" l="1" a="1"/>
  <c r="D280" i="1" s="1"/>
  <c r="D281" i="1" s="1" a="1"/>
  <c r="D281" i="1" s="1"/>
  <c r="D282" i="1" l="1" a="1"/>
  <c r="D282" i="1" s="1"/>
  <c r="D283" i="1" l="1" a="1"/>
  <c r="D283" i="1" s="1"/>
  <c r="D284" i="1" l="1" a="1"/>
  <c r="D284" i="1" s="1"/>
  <c r="D285" i="1" l="1" a="1"/>
  <c r="D285" i="1" s="1"/>
  <c r="D286" i="1" l="1" a="1"/>
  <c r="D286" i="1" s="1"/>
  <c r="D287" i="1" l="1" a="1"/>
  <c r="D287" i="1" s="1"/>
  <c r="D288" i="1" l="1" a="1"/>
  <c r="D288" i="1" s="1"/>
  <c r="D289" i="1" l="1" a="1"/>
  <c r="D289" i="1" s="1"/>
  <c r="D290" i="1" l="1" a="1"/>
  <c r="D290" i="1" s="1"/>
  <c r="D291" i="1" l="1" a="1"/>
  <c r="D291" i="1" s="1"/>
  <c r="D292" i="1" l="1" a="1"/>
  <c r="D292" i="1" s="1"/>
  <c r="D293" i="1" l="1" a="1"/>
  <c r="D293" i="1" s="1"/>
  <c r="D294" i="1" l="1" a="1"/>
  <c r="D294" i="1" s="1"/>
  <c r="D295" i="1" l="1" a="1"/>
  <c r="D295" i="1" s="1"/>
  <c r="D296" i="1" l="1" a="1"/>
  <c r="D296" i="1" s="1"/>
  <c r="D297" i="1" l="1" a="1"/>
  <c r="D297" i="1" s="1"/>
  <c r="D298" i="1" l="1" a="1"/>
  <c r="D298" i="1" s="1"/>
  <c r="D299" i="1" l="1" a="1"/>
  <c r="D299" i="1" s="1"/>
  <c r="D300" i="1" l="1" a="1"/>
  <c r="D300" i="1" s="1"/>
  <c r="D301" i="1" l="1" a="1"/>
  <c r="D301" i="1" s="1"/>
  <c r="D302" i="1" l="1" a="1"/>
  <c r="D302" i="1" s="1"/>
  <c r="D303" i="1" l="1" a="1"/>
  <c r="D303" i="1" s="1"/>
  <c r="D304" i="1" l="1" a="1"/>
  <c r="D304" i="1" s="1"/>
  <c r="D305" i="1" l="1" a="1"/>
  <c r="D305" i="1" s="1"/>
  <c r="D306" i="1" l="1" a="1"/>
  <c r="D306" i="1" s="1"/>
  <c r="D307" i="1" l="1" a="1"/>
  <c r="D307" i="1" s="1"/>
  <c r="D308" i="1" l="1" a="1"/>
  <c r="D308" i="1" s="1"/>
  <c r="D309" i="1" l="1" a="1"/>
  <c r="D309" i="1" s="1"/>
  <c r="D310" i="1" l="1" a="1"/>
  <c r="D310" i="1" s="1"/>
  <c r="D311" i="1" l="1" a="1"/>
  <c r="D311" i="1" s="1"/>
  <c r="D312" i="1" l="1" a="1"/>
  <c r="D312" i="1" s="1"/>
  <c r="D313" i="1" l="1" a="1"/>
  <c r="D313" i="1" s="1"/>
  <c r="D314" i="1" l="1" a="1"/>
  <c r="D314" i="1" s="1"/>
  <c r="D315" i="1" l="1" a="1"/>
  <c r="D315" i="1" s="1"/>
  <c r="D316" i="1" l="1" a="1"/>
  <c r="D316" i="1" s="1"/>
  <c r="D317" i="1" l="1" a="1"/>
  <c r="D317" i="1" s="1"/>
  <c r="D318" i="1" l="1" a="1"/>
  <c r="D318" i="1" s="1"/>
  <c r="D319" i="1" l="1" a="1"/>
  <c r="D319" i="1" s="1"/>
  <c r="D320" i="1" l="1" a="1"/>
  <c r="D320" i="1" s="1"/>
  <c r="D321" i="1" l="1" a="1"/>
  <c r="D321" i="1" s="1"/>
  <c r="D322" i="1" l="1" a="1"/>
  <c r="D322" i="1" s="1"/>
  <c r="D323" i="1" l="1" a="1"/>
  <c r="D323" i="1" s="1"/>
  <c r="D324" i="1" l="1" a="1"/>
  <c r="D324" i="1" s="1"/>
  <c r="D325" i="1" l="1" a="1"/>
  <c r="D325" i="1" s="1"/>
  <c r="D326" i="1" l="1" a="1"/>
  <c r="D326" i="1" s="1"/>
  <c r="D327" i="1" l="1" a="1"/>
  <c r="D327" i="1" s="1"/>
  <c r="D328" i="1" l="1" a="1"/>
  <c r="D328" i="1" s="1"/>
  <c r="D329" i="1" l="1" a="1"/>
  <c r="D329" i="1" s="1"/>
  <c r="D330" i="1" l="1" a="1"/>
  <c r="D330" i="1" s="1"/>
  <c r="D331" i="1" l="1" a="1"/>
  <c r="D331" i="1" s="1"/>
  <c r="D332" i="1" l="1" a="1"/>
  <c r="D332" i="1" s="1"/>
  <c r="D333" i="1" l="1" a="1"/>
  <c r="D333" i="1" s="1"/>
  <c r="D334" i="1" l="1" a="1"/>
  <c r="D334" i="1" s="1"/>
  <c r="D335" i="1" l="1" a="1"/>
  <c r="D335" i="1" s="1"/>
  <c r="D336" i="1" l="1" a="1"/>
  <c r="D336" i="1" s="1"/>
  <c r="D337" i="1" l="1" a="1"/>
  <c r="D337" i="1" s="1"/>
  <c r="D338" i="1" l="1" a="1"/>
  <c r="D338" i="1" s="1"/>
  <c r="D339" i="1" l="1" a="1"/>
  <c r="D339" i="1" s="1"/>
  <c r="D340" i="1" l="1" a="1"/>
  <c r="D340" i="1" s="1"/>
  <c r="D341" i="1" l="1" a="1"/>
  <c r="D341" i="1" s="1"/>
  <c r="D342" i="1" l="1" a="1"/>
  <c r="D342" i="1" s="1"/>
  <c r="D343" i="1" l="1" a="1"/>
  <c r="D343" i="1" s="1"/>
  <c r="D344" i="1" l="1" a="1"/>
  <c r="D344" i="1" s="1"/>
  <c r="D345" i="1" l="1" a="1"/>
  <c r="D345" i="1" s="1"/>
  <c r="D346" i="1" l="1" a="1"/>
  <c r="D346" i="1" s="1"/>
  <c r="D347" i="1" l="1" a="1"/>
  <c r="D347" i="1" s="1"/>
  <c r="D348" i="1" l="1" a="1"/>
  <c r="D348" i="1" s="1"/>
  <c r="D349" i="1" l="1" a="1"/>
  <c r="D349" i="1" s="1"/>
  <c r="D350" i="1" l="1" a="1"/>
  <c r="D350" i="1" s="1"/>
  <c r="D351" i="1" l="1" a="1"/>
  <c r="D351" i="1" s="1"/>
  <c r="D352" i="1" l="1" a="1"/>
  <c r="D352" i="1" s="1"/>
  <c r="D353" i="1" l="1" a="1"/>
  <c r="D353" i="1" s="1"/>
  <c r="D354" i="1" l="1" a="1"/>
  <c r="D354" i="1" s="1"/>
  <c r="D355" i="1" l="1" a="1"/>
  <c r="D355" i="1" s="1"/>
  <c r="D356" i="1" l="1" a="1"/>
  <c r="D356" i="1" s="1"/>
  <c r="D357" i="1" l="1" a="1"/>
  <c r="D357" i="1" s="1"/>
  <c r="D358" i="1" l="1" a="1"/>
  <c r="D358" i="1" s="1"/>
  <c r="D359" i="1" l="1" a="1"/>
  <c r="D359" i="1" s="1"/>
  <c r="D360" i="1" l="1" a="1"/>
  <c r="D360" i="1" s="1"/>
  <c r="D361" i="1" l="1" a="1"/>
  <c r="D361" i="1" s="1"/>
  <c r="D362" i="1" l="1" a="1"/>
  <c r="D362" i="1" s="1"/>
  <c r="D363" i="1" l="1" a="1"/>
  <c r="D363" i="1" s="1"/>
  <c r="D364" i="1" l="1" a="1"/>
  <c r="D364" i="1" s="1"/>
  <c r="D365" i="1" l="1" a="1"/>
  <c r="D365" i="1" s="1"/>
  <c r="D366" i="1" l="1" a="1"/>
  <c r="D366" i="1" s="1"/>
  <c r="D367" i="1" l="1" a="1"/>
  <c r="D367" i="1" s="1"/>
  <c r="D368" i="1" l="1" a="1"/>
  <c r="D368" i="1" s="1"/>
  <c r="D369" i="1" l="1" a="1"/>
  <c r="D369" i="1" s="1"/>
  <c r="D370" i="1" l="1" a="1"/>
  <c r="D370" i="1" s="1"/>
  <c r="D371" i="1" l="1" a="1"/>
  <c r="D371" i="1" s="1"/>
  <c r="D372" i="1" l="1" a="1"/>
  <c r="D372" i="1" s="1"/>
  <c r="D373" i="1" l="1" a="1"/>
  <c r="D373" i="1" s="1"/>
  <c r="D374" i="1" l="1" a="1"/>
  <c r="D374" i="1" s="1"/>
  <c r="D375" i="1" l="1" a="1"/>
  <c r="D375" i="1" s="1"/>
  <c r="D376" i="1" l="1" a="1"/>
  <c r="D376" i="1" s="1"/>
  <c r="D377" i="1" l="1" a="1"/>
  <c r="D377" i="1" s="1"/>
  <c r="D378" i="1" l="1" a="1"/>
  <c r="D378" i="1" s="1"/>
  <c r="D379" i="1" l="1" a="1"/>
  <c r="D379" i="1" s="1"/>
  <c r="D380" i="1" l="1" a="1"/>
  <c r="D380" i="1" s="1"/>
  <c r="D381" i="1" l="1" a="1"/>
  <c r="D381" i="1" s="1"/>
  <c r="D382" i="1" l="1" a="1"/>
  <c r="D382" i="1" s="1"/>
  <c r="D383" i="1" l="1" a="1"/>
  <c r="D383" i="1" s="1"/>
  <c r="D384" i="1" l="1" a="1"/>
  <c r="D384" i="1" s="1"/>
  <c r="D385" i="1" l="1" a="1"/>
  <c r="D385" i="1" s="1"/>
  <c r="D386" i="1" l="1" a="1"/>
  <c r="D386" i="1" s="1"/>
  <c r="D387" i="1" l="1" a="1"/>
  <c r="D387" i="1" s="1"/>
  <c r="D388" i="1" l="1" a="1"/>
  <c r="D388" i="1" s="1"/>
  <c r="D389" i="1" l="1" a="1"/>
  <c r="D389" i="1" s="1"/>
  <c r="D390" i="1" l="1" a="1"/>
  <c r="D390" i="1" s="1"/>
  <c r="D391" i="1" l="1" a="1"/>
  <c r="D391" i="1" s="1"/>
  <c r="D392" i="1" l="1" a="1"/>
  <c r="D392" i="1" s="1"/>
  <c r="D393" i="1" l="1" a="1"/>
  <c r="D393" i="1" s="1"/>
  <c r="D394" i="1" l="1" a="1"/>
  <c r="D394" i="1" s="1"/>
  <c r="D395" i="1" l="1" a="1"/>
  <c r="D395" i="1" s="1"/>
  <c r="D396" i="1" l="1" a="1"/>
  <c r="D396" i="1" s="1"/>
  <c r="D397" i="1" l="1" a="1"/>
  <c r="D397" i="1" s="1"/>
  <c r="D398" i="1" l="1" a="1"/>
  <c r="D398" i="1" s="1"/>
  <c r="D399" i="1" l="1" a="1"/>
  <c r="D399" i="1" s="1"/>
  <c r="D400" i="1" l="1" a="1"/>
  <c r="D400" i="1" s="1"/>
  <c r="D401" i="1" l="1" a="1"/>
  <c r="D401" i="1" s="1"/>
  <c r="D402" i="1" l="1" a="1"/>
  <c r="D402" i="1" s="1"/>
  <c r="D403" i="1" l="1" a="1"/>
  <c r="D403" i="1" s="1"/>
  <c r="D404" i="1" l="1" a="1"/>
  <c r="D404" i="1" s="1"/>
  <c r="D405" i="1" l="1" a="1"/>
  <c r="D405" i="1" s="1"/>
  <c r="D406" i="1" l="1" a="1"/>
  <c r="D406" i="1" s="1"/>
  <c r="D407" i="1" l="1" a="1"/>
  <c r="D407" i="1" s="1"/>
  <c r="D408" i="1" l="1" a="1"/>
  <c r="D408" i="1" s="1"/>
  <c r="D409" i="1" l="1" a="1"/>
  <c r="D409" i="1" s="1"/>
  <c r="D410" i="1" l="1" a="1"/>
  <c r="D410" i="1" s="1"/>
  <c r="D411" i="1" l="1" a="1"/>
  <c r="D411" i="1" s="1"/>
  <c r="D412" i="1" l="1" a="1"/>
  <c r="D412" i="1" s="1"/>
  <c r="D413" i="1" l="1" a="1"/>
  <c r="D413" i="1" s="1"/>
  <c r="D414" i="1" l="1" a="1"/>
  <c r="D414" i="1" s="1"/>
  <c r="D415" i="1" l="1" a="1"/>
  <c r="D415" i="1" s="1"/>
  <c r="D416" i="1" l="1" a="1"/>
  <c r="D416" i="1" s="1"/>
  <c r="D417" i="1" l="1" a="1"/>
  <c r="D417" i="1" s="1"/>
  <c r="D418" i="1" l="1" a="1"/>
  <c r="D418" i="1" s="1"/>
  <c r="D419" i="1" l="1" a="1"/>
  <c r="D419" i="1" s="1"/>
  <c r="D420" i="1" l="1" a="1"/>
  <c r="D420" i="1" s="1"/>
  <c r="D421" i="1" l="1" a="1"/>
  <c r="D421" i="1" s="1"/>
  <c r="D422" i="1" l="1" a="1"/>
  <c r="D422" i="1" s="1"/>
  <c r="D423" i="1" l="1" a="1"/>
  <c r="D423" i="1" s="1"/>
  <c r="D424" i="1" l="1" a="1"/>
  <c r="D424" i="1" s="1"/>
  <c r="D425" i="1" l="1" a="1"/>
  <c r="D425" i="1" s="1"/>
  <c r="D426" i="1" l="1" a="1"/>
  <c r="D426" i="1" s="1"/>
  <c r="D427" i="1" l="1" a="1"/>
  <c r="D427" i="1" s="1"/>
  <c r="D428" i="1" l="1" a="1"/>
  <c r="D428" i="1" s="1"/>
  <c r="D429" i="1" l="1" a="1"/>
  <c r="D429" i="1" s="1"/>
  <c r="D430" i="1" l="1" a="1"/>
  <c r="D430" i="1" s="1"/>
  <c r="D431" i="1" l="1" a="1"/>
  <c r="D431" i="1" s="1"/>
  <c r="D432" i="1" l="1" a="1"/>
  <c r="D432" i="1" s="1"/>
  <c r="D433" i="1" l="1" a="1"/>
  <c r="D433" i="1" s="1"/>
  <c r="D434" i="1" l="1" a="1"/>
  <c r="D434" i="1" s="1"/>
  <c r="D435" i="1" l="1" a="1"/>
  <c r="D4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<sst xmlns="http://schemas.openxmlformats.org/spreadsheetml/2006/main" count="4417" uniqueCount="1144">
  <si>
    <t>Institution Name</t>
  </si>
  <si>
    <t>Credential ID</t>
  </si>
  <si>
    <t>Next Cursor</t>
  </si>
  <si>
    <t>Balance</t>
  </si>
  <si>
    <t>Mask</t>
  </si>
  <si>
    <t>Name</t>
  </si>
  <si>
    <t>Plaid Account ID</t>
  </si>
  <si>
    <t>Subtype</t>
  </si>
  <si>
    <t>Type</t>
  </si>
  <si>
    <t>Account ID</t>
  </si>
  <si>
    <t>Action</t>
  </si>
  <si>
    <t>Amount</t>
  </si>
  <si>
    <t>Categories</t>
  </si>
  <si>
    <t>Date</t>
  </si>
  <si>
    <t>ISO Currency Code</t>
  </si>
  <si>
    <t>Merchant Name</t>
  </si>
  <si>
    <t>Payment Channel</t>
  </si>
  <si>
    <t>Pending</t>
  </si>
  <si>
    <t>Transaction ID</t>
  </si>
  <si>
    <t>Scotiabank</t>
  </si>
  <si>
    <t>CAESJWdCa0xiVlBvTjVjRXZuQTFLNDF2SEI0TTg2ZW54NEM4MXltMzMaDAiZ4JuwBhCYqIXwAiIMCJngm7AGEJiohfACKgwImeCbsAYQmKiF8AI=</t>
  </si>
  <si>
    <t>Preferred Package</t>
  </si>
  <si>
    <t>prmkQjxRzEikMOjvZwjyuky9emyqeau3VyE5V</t>
  </si>
  <si>
    <t>checking</t>
  </si>
  <si>
    <t>depository</t>
  </si>
  <si>
    <t>Scotia Plan Loan</t>
  </si>
  <si>
    <t>XgrzK9XyN3c9JxXeELXouQ83yo8bywcdpxAZm</t>
  </si>
  <si>
    <t>consumer</t>
  </si>
  <si>
    <t>loan</t>
  </si>
  <si>
    <t>TD Canada Trust</t>
  </si>
  <si>
    <t>LINE OF CREDIT UNSECURED</t>
  </si>
  <si>
    <t>rJLZ6wO0petXPbJ0zLxECqYmVDeYwztVgPojO</t>
  </si>
  <si>
    <t>line of credit</t>
  </si>
  <si>
    <t>MUTUAL FUND RESP - FAMILY PLAN</t>
  </si>
  <si>
    <t>Z0Yb9AqdaVCD4AMZy1KLuQrwvAkrXMCbL1eP1</t>
  </si>
  <si>
    <t>resp</t>
  </si>
  <si>
    <t>investment</t>
  </si>
  <si>
    <t>54P9jkB7LKIV4NoJjx9YCOpJrPbp3wswAJrmv</t>
  </si>
  <si>
    <t>TD EPREMIUM SAVINGS ACCOUNT</t>
  </si>
  <si>
    <t>jbzL89ZqpmUxBy38KJYbuV4z18r46YIew9Ek5</t>
  </si>
  <si>
    <t>savings</t>
  </si>
  <si>
    <t>9W9J</t>
  </si>
  <si>
    <t>TFSA</t>
  </si>
  <si>
    <t>4r1z0Kq56yfk65ewgDNofMZ6j1PZnBHR7wazV</t>
  </si>
  <si>
    <t>tfsa</t>
  </si>
  <si>
    <t>9W9K</t>
  </si>
  <si>
    <t>US TFSA</t>
  </si>
  <si>
    <t>aJYyPxvqRptKO1Dpwk4jCPdN4ModXxC75o03D</t>
  </si>
  <si>
    <t>9W9S</t>
  </si>
  <si>
    <t>SDRSP</t>
  </si>
  <si>
    <t>x13VRqpNXecvneDw93NEszypOvXyB0COQZ7pD</t>
  </si>
  <si>
    <t>rrsp</t>
  </si>
  <si>
    <t>9W9U</t>
  </si>
  <si>
    <t>US SDRSP</t>
  </si>
  <si>
    <t>JmgwNE95RVS9Y10npJd6CqvNk9zvm0tmvjK3w</t>
  </si>
  <si>
    <t>9W9V</t>
  </si>
  <si>
    <t>RESP ACCOUNT</t>
  </si>
  <si>
    <t>8w3Oy0K6PvcjZd8gQV6YupxXQD0xPmHxVMokd</t>
  </si>
  <si>
    <t>RBC Royal Bank</t>
  </si>
  <si>
    <t>CAESJVhwOGplemFuTnlUQk5vNkFSWG5wVUJWWm1yNm41VkN6M2dtekIaCwj2qO2wBhCIxLlLIgsI9qjtsAYQiMS5SyoLCPao7bAGEIjEuUs=</t>
  </si>
  <si>
    <t>RBC Staff Banking</t>
  </si>
  <si>
    <t>eOMxkwaqNZH7Vznj6o6XTA4KJOvewbhnEVmgd</t>
  </si>
  <si>
    <t>WestJet RBC World Elite Mastercard</t>
  </si>
  <si>
    <t>NpJvYzRnNdTaNZ0XOMOATOvYmey8M7ioaPe7Y</t>
  </si>
  <si>
    <t>credit card</t>
  </si>
  <si>
    <t>credit</t>
  </si>
  <si>
    <t>added</t>
  </si>
  <si>
    <t>Transfer, Debit</t>
  </si>
  <si>
    <t>2024-02-25, 7:00:00 p.m.</t>
  </si>
  <si>
    <t>CAD</t>
  </si>
  <si>
    <t>Customer Transfer Dr. PC TO 364269488692</t>
  </si>
  <si>
    <t>other</t>
  </si>
  <si>
    <t>ePyw5mDZN8T0k4oLrRozuXmKLnBpaKtnN4xzk</t>
  </si>
  <si>
    <t>Transfer, Deposit</t>
  </si>
  <si>
    <t>DEPOSIT FREE INTERAC E-TRANSFER</t>
  </si>
  <si>
    <t>YgMzkRXKNyc1OBpaEDpRsQ7nvJmy4niJEze5n</t>
  </si>
  <si>
    <t>2024-02-22, 7:00:00 p.m.</t>
  </si>
  <si>
    <t>zPR83pa1z6TNMeP5AKPRFbRzExBq5zHv5MA8B</t>
  </si>
  <si>
    <t>mvj3MnkOzVSYOXRKb5RxuyN6Koveb6iBZ8r6N</t>
  </si>
  <si>
    <t>Bank Fees</t>
  </si>
  <si>
    <t>2024-02-20, 7:00:00 p.m.</t>
  </si>
  <si>
    <t>Credit Memo SERVICE FEE REVERSAL</t>
  </si>
  <si>
    <t>d1ydZVL8NJC5KXp64EpOudXBeKYmrBCK4o0vL</t>
  </si>
  <si>
    <t>2024-02-16, 7:00:00 p.m.</t>
  </si>
  <si>
    <t>Service Charge MONTHLY FEES</t>
  </si>
  <si>
    <t>wLqaPOR6zeixMYpeDBpjuvjp914zepFKDRd83</t>
  </si>
  <si>
    <t>2024-01-11, 7:00:00 p.m.</t>
  </si>
  <si>
    <t>Deposit</t>
  </si>
  <si>
    <t>n0XyEVAMzOcoMmKkwEKYurVaoaVmLJIBRjg8a</t>
  </si>
  <si>
    <t>2024-03-08, 7:00:00 p.m.</t>
  </si>
  <si>
    <t>76RevbxjPruxy9MmVXMkhdbMLvQpADf0mZrAy</t>
  </si>
  <si>
    <t>9DJpjmx4BaTekEyAjoy3sNxQBKEakgHgbJzoY</t>
  </si>
  <si>
    <t>2024-03-13, 8:00:00 p.m.</t>
  </si>
  <si>
    <t>n0XyEVAMzOcoMmKkwEkBTrQkY77v7qfBreLeg</t>
  </si>
  <si>
    <t>prmkQjxRzEikMOjvZwv4TkyvwQQxQ6u3vkzkb</t>
  </si>
  <si>
    <t>Bank Fees, Overdraft</t>
  </si>
  <si>
    <t>2024-03-15, 8:00:00 p.m.</t>
  </si>
  <si>
    <t>Overdraft Interest</t>
  </si>
  <si>
    <t>d1ydZVL8NJC5KXp64E64Ud7V3Yqx8wfQY7PND</t>
  </si>
  <si>
    <t>Transfer, Credit</t>
  </si>
  <si>
    <t>2024-03-17, 8:00:00 p.m.</t>
  </si>
  <si>
    <t>Customer Transfer Cr. MB-TRANSFER</t>
  </si>
  <si>
    <t>wLqaPOR6zeixMYpeDBeZHPbdZA8aA4IRZONpB</t>
  </si>
  <si>
    <t>2024-03-20, 8:00:00 p.m.</t>
  </si>
  <si>
    <t>y1RJB94DzwC5MgPZXyZYIAYNNv3KKnCpJEJPg</t>
  </si>
  <si>
    <t>KgQzRaPnbpcqpxDV93VOIxLkkYn55ZtEzMzK1</t>
  </si>
  <si>
    <t>2024-03-27, 8:00:00 p.m.</t>
  </si>
  <si>
    <t>Pad Ccra Canada</t>
  </si>
  <si>
    <t>PAD CCRA CANADA</t>
  </si>
  <si>
    <t>in store</t>
  </si>
  <si>
    <t>gBkLbVPoN5cEvnA1K41vHB4M86enx4C81ym33</t>
  </si>
  <si>
    <t>e-Transfer sent Manuel Scotia FLLCQ9</t>
  </si>
  <si>
    <t>vbVy94p8zwTZVRYD787pCbvx1o1kpAUV31gPY</t>
  </si>
  <si>
    <t>Tax, Refund</t>
  </si>
  <si>
    <t>Canada</t>
  </si>
  <si>
    <t>Tax Refund CANADA</t>
  </si>
  <si>
    <t>0XDrJpO173S7XKVnMwM4TZOr7a7o09HANnJB5</t>
  </si>
  <si>
    <t>2024-03-18, 8:00:00 p.m.</t>
  </si>
  <si>
    <t>Overdraft interest</t>
  </si>
  <si>
    <t>jOoXrPpkN7HKQmxMzAzLTXv3wRw4xMUeNP3k3</t>
  </si>
  <si>
    <t>e-Transfer - Autodeposit David Alexander Garcia Hernandez C1ATTZR9a4V6</t>
  </si>
  <si>
    <t>rb4Povp8znTzYwXg9A9rIP8XjZjYNEfVm4bje</t>
  </si>
  <si>
    <t>Online transfer received - 1708 AUTOMATOS CONSULTING INC.</t>
  </si>
  <si>
    <t>4XBJop63LASgpJk40108SNXLgEgZy9tRb5qz7</t>
  </si>
  <si>
    <t>2024-03-14, 8:00:00 p.m.</t>
  </si>
  <si>
    <t>Online transfer received - 1706 AUTOMATOS CONSULTING INC.</t>
  </si>
  <si>
    <t>aOmnBzRLeaHw07Ken5nMiKY3kBkdQ1c7Xk43z</t>
  </si>
  <si>
    <t>e-Transfer sent Jessica Méndez TP4Z55</t>
  </si>
  <si>
    <t>xbwkYxX7zLT9rJvXa0a1swmxAqAyPEiOz0opg</t>
  </si>
  <si>
    <t>Service, Insurance</t>
  </si>
  <si>
    <t>Insurance Belair Ins Ass.</t>
  </si>
  <si>
    <t>Insurance BELAIR INS/ASS.</t>
  </si>
  <si>
    <t>online</t>
  </si>
  <si>
    <t>JpJrezRvoQTpmz9wbZb3IX5QjnjvKDUmwZk3V</t>
  </si>
  <si>
    <t>Service, Financial, Loans and Mortgages</t>
  </si>
  <si>
    <t>Personal Loan Spl</t>
  </si>
  <si>
    <t>Personal Loan SPL</t>
  </si>
  <si>
    <t>8ekd9pPAqrtQrAjep3pmc6bqLVLxr3UxaeZk9</t>
  </si>
  <si>
    <t>Life Insurance Foresters</t>
  </si>
  <si>
    <t>Life Insurance Foresters Life</t>
  </si>
  <si>
    <t>ZORJwzanNkHyVPDOemeocB61qaqrdpFb6BvPX</t>
  </si>
  <si>
    <t>5X3rbpLyDvSjXnV1EPEZi9z6jLjpeQcwkPVm5</t>
  </si>
  <si>
    <t>Online transfer received - 3470 AUTOMATOS CONSULTING INC.</t>
  </si>
  <si>
    <t>oN4L8KpOzEuYrb1g4k4vTxr6RQRKA9H4jeO3Z</t>
  </si>
  <si>
    <t>e-Transfer sent Manuel Scotia Y6YQTD</t>
  </si>
  <si>
    <t>bp893zMDNxT90nm7Q5QEskAw0604pbUJ7y98a</t>
  </si>
  <si>
    <t>2024-03-11, 8:00:00 p.m.</t>
  </si>
  <si>
    <t>e-Transfer sent Manuel CIBC HLHFWC</t>
  </si>
  <si>
    <t>gO8zvLa3NoHaQ0YpjAjgTz6VXpXoBwF81wAxx</t>
  </si>
  <si>
    <t>Bank Fees, Foreign Transaction</t>
  </si>
  <si>
    <t>Online Banking foreign exchange Ref 3WW820721615550</t>
  </si>
  <si>
    <t>7XKm7e1kPjSN8406PMPpHBo0MeMx7DF0mMYB1</t>
  </si>
  <si>
    <t>Service, Utilities, Gas</t>
  </si>
  <si>
    <t>Enbridge Gas</t>
  </si>
  <si>
    <t>Utility Bill Pmt Enbridge Gas</t>
  </si>
  <si>
    <t>9XAwVpqvB4SJ7qVOnyngi8MeQAQZ5gfgbjype</t>
  </si>
  <si>
    <t>2024-03-10, 8:00:00 p.m.</t>
  </si>
  <si>
    <t>Online Banking transfer - 6670</t>
  </si>
  <si>
    <t>VpQOez8nNBT0NRm8n6nJCAgwebeLx8I4NAk7v</t>
  </si>
  <si>
    <t>e-Transfer sent Manuel Scotia 3ELQ4B</t>
  </si>
  <si>
    <t>OpOQezXnNwT19bjmMBMvsZydewermjHxKB4J7</t>
  </si>
  <si>
    <t>e-Transfer sent Mina Morshed 6PXZ6B</t>
  </si>
  <si>
    <t>MpJZezRn7XToeMmQ6r6kTn16EBE0qYUX3nPmJ</t>
  </si>
  <si>
    <t>Online transfer received - 9796 AUTOMATOS CONSULTING INC.</t>
  </si>
  <si>
    <t>EpbNezRmxVTmn9PBE8EDupkeLoLVAqFQB0E1A</t>
  </si>
  <si>
    <t>Service, Utilities, Electric</t>
  </si>
  <si>
    <t>Hydro</t>
  </si>
  <si>
    <t>Hydro Bill Pmt TORONTO HYDRO</t>
  </si>
  <si>
    <t>RXJjezRnNDSkNOaAe7ersEnLvrvYJVTeDE1Az</t>
  </si>
  <si>
    <t>2024-03-06, 7:00:00 p.m.</t>
  </si>
  <si>
    <t>Online transfer received - 1589 AUTOMATOS CONSULTING INC.</t>
  </si>
  <si>
    <t>QpJ5ezRXNLTNEw45P1PjHB06jNjyxVFOmBJ0m</t>
  </si>
  <si>
    <t>e-Transfer sent PAULA ANDREA AMARILES RESTREPO ZA5Z6C</t>
  </si>
  <si>
    <t>nN46JypjzMu8QYa5zKzrIVjazgznKqtBeP7Lr</t>
  </si>
  <si>
    <t>Transfer, Billpay</t>
  </si>
  <si>
    <t>2024-03-04, 7:00:00 p.m.</t>
  </si>
  <si>
    <t>Misc Payment AMEX BILL PYMT</t>
  </si>
  <si>
    <t>pb4DZkp8zRTK7y0VqjqAT7DL9R9g16T3kMazq</t>
  </si>
  <si>
    <t>2024-03-03, 7:00:00 p.m.</t>
  </si>
  <si>
    <t>e-Transfer sent Paula Amariles 3WTSU2</t>
  </si>
  <si>
    <t>Xp8jezanNyTBNo6ARXRZC15L3R3pneidm16qE</t>
  </si>
  <si>
    <t>e-Transfer - Autodeposit DIANA-LORENA CORTES-RODRIGUEZ C1APqftRzbMZ</t>
  </si>
  <si>
    <t>NpJvYzRnNdTaNZ0XOMOATOvVAMAzaycoaM3vk</t>
  </si>
  <si>
    <t>2024-02-29, 7:00:00 p.m.</t>
  </si>
  <si>
    <t>e-Transfer - Autodeposit DIANA-LORENA CORTES-RODRIGUEZ C1AeyqcAwAY8</t>
  </si>
  <si>
    <t>eOMxkwaqNZH7Vznj6o6XTA4qVwV39vInEqaQO</t>
  </si>
  <si>
    <t>e-Transfer sent BridgewayPM CSX6RS</t>
  </si>
  <si>
    <t>Yepjdz7nNKt6JRzgrpr5C8LDkEkXbVfJB891X</t>
  </si>
  <si>
    <t>e-Transfer - Autodeposit PAULA ANDREA AMARILES RESTREPO C1AZcrCh5Cqv</t>
  </si>
  <si>
    <t>zbLXY8dVz1Tm4RXq9P9buZMX303yeDHv9XKNb</t>
  </si>
  <si>
    <t>Online transfer received - 9549 AUTOMATOS CONSULTING INC.</t>
  </si>
  <si>
    <t>mN4wx3p0zOuZMxmrzRzyCq8ERDR45rcBxwNq7</t>
  </si>
  <si>
    <t>dO9xKdaPN8H9zOvYwpwosEkap6pnqPTKemDEv</t>
  </si>
  <si>
    <t>e-Transfer - Autodeposit David Alexander Garcia Hernandez C1Aj6xNcxRRS</t>
  </si>
  <si>
    <t>wbdKVap8z6T7VjE84p4vT0RgqEqkxyIKYnr9p</t>
  </si>
  <si>
    <t>Online transfer received - 5500 AUTOMATOS CONSULTING INC.</t>
  </si>
  <si>
    <t>6XyrgpDK10SB8yvazqz5CNobV3VyQvtwxBYvB</t>
  </si>
  <si>
    <t>Food and Drink, Restaurants</t>
  </si>
  <si>
    <t>Tim Hortons</t>
  </si>
  <si>
    <t>LNJEezRjgpuv83A7wmwKTZaJoAoQ4PHZe68Ak</t>
  </si>
  <si>
    <t>e-Transfer sent Manuel Scotia 6FRJDJ</t>
  </si>
  <si>
    <t>DpYkezRBa9T69a1DqJqLC0n9LxLA1KIwD7gne</t>
  </si>
  <si>
    <t>Online transfer received - 3747 AUTOMATOS CONSULTING INC.</t>
  </si>
  <si>
    <t>JpJrezRvoQTpmz9wbZb3IX5DmZejR0HmyJK5Z</t>
  </si>
  <si>
    <t>e-Transfer sent JULIA GINETH AVILA RINCON VQQCX9</t>
  </si>
  <si>
    <t>8ekd9pPAqrtQrAjep3pmc6b3P1gLRmIxDbozN</t>
  </si>
  <si>
    <t>e-Transfer sent MANUEL RICARDO AVILA RINCON HTXRPR</t>
  </si>
  <si>
    <t>ZORJwzanNkHyVPDOemeocB6pX7EqzMtbmYeEe</t>
  </si>
  <si>
    <t>2024-02-21, 7:00:00 p.m.</t>
  </si>
  <si>
    <t>e-Transfer sent MANUEL RICARDO AVILA RINCON ZUMCK6</t>
  </si>
  <si>
    <t>5X3rbpLyDvSjXnV1EPEZi9zQ3D1jgwcwvjrR3</t>
  </si>
  <si>
    <t>Online transfer received - 7922 AUTOMATOS CONSULTING INC.</t>
  </si>
  <si>
    <t>oN4L8KpOzEuYrb1g4k4vTxr91PjR3pU4wmRMn</t>
  </si>
  <si>
    <t>Transfer, Payroll</t>
  </si>
  <si>
    <t>Misc Payment Google LLC</t>
  </si>
  <si>
    <t>bp893zMDNxT90nm7Q5QEskAbRZX0jzCJnEkLA</t>
  </si>
  <si>
    <t>2024-02-18, 7:00:00 p.m.</t>
  </si>
  <si>
    <t>gO8zvLa3NoHaQ0YpjAjgTz6wOrNX97U8JerOX</t>
  </si>
  <si>
    <t>2024-02-15, 7:00:00 p.m.</t>
  </si>
  <si>
    <t>7XKm7e1kPjSN8406PMPpHBoDkwnM6Zt0eVbRQ</t>
  </si>
  <si>
    <t>2024-02-14, 7:00:00 p.m.</t>
  </si>
  <si>
    <t>9XAwVpqvB4SJ7qVOnyngi8Mg3XoQPjfg1evRg</t>
  </si>
  <si>
    <t>VpQOez8nNBT0NRm8n6nJCAg8mvOeq3T4V1P8n</t>
  </si>
  <si>
    <t>OpOQezXnNwT19bjmMBMvsZyjQ75eoYCxydQDg</t>
  </si>
  <si>
    <t>2024-02-13, 7:00:00 p.m.</t>
  </si>
  <si>
    <t>Online Banking foreign exchange Ref 3WW730451634460</t>
  </si>
  <si>
    <t>MpJZezRn7XToeMmQ6r6kTn1Y9wDExAIXoZvq5</t>
  </si>
  <si>
    <t>e-Transfer sent MANUEL RICARDO AVILA RINCON KPGBNJ</t>
  </si>
  <si>
    <t>EpbNezRmxVTmn9PBE8EDupkqO6mLyrIQxmOvZ</t>
  </si>
  <si>
    <t>Online Banking transfer - 4038</t>
  </si>
  <si>
    <t>RXJjezRnNDSkNOaAe7ersEnVX69vo5hewxX5d</t>
  </si>
  <si>
    <t>2024-02-11, 7:00:00 p.m.</t>
  </si>
  <si>
    <t>QpJ5ezRXNLTNEw45P1PjHB0VAQrj7MtO8YAeJ</t>
  </si>
  <si>
    <t>2024-02-08, 7:00:00 p.m.</t>
  </si>
  <si>
    <t>nN46JypjzMu8QYa5zKzrIVjqMJ6z3LIBzR1JN</t>
  </si>
  <si>
    <t>2024-02-01, 7:00:00 p.m.</t>
  </si>
  <si>
    <t>pb4DZkp8zRTK7y0VqjqAT7D6dOa9NYh3YEpn6</t>
  </si>
  <si>
    <t>2024-01-31, 7:00:00 p.m.</t>
  </si>
  <si>
    <t>e-Transfer sent Bridgeway U5DRE3</t>
  </si>
  <si>
    <t>Xp8jezanNyTBNo6ARXRZC15emqw3KxHdEAYkK</t>
  </si>
  <si>
    <t>e-Transfer - Autodeposit DIANA-LORENA CORTES-RODRIGUEZ C1AEhsxepKnN</t>
  </si>
  <si>
    <t>NpJvYzRnNdTaNZ0XOMOATOvyme7ABYiojem00</t>
  </si>
  <si>
    <t>Online transfer received - 8925 AUTOMATOS CONSULTING INC.</t>
  </si>
  <si>
    <t>eOMxkwaqNZH7Vznj6o6XTA4vJObVpKTnBm05o</t>
  </si>
  <si>
    <t>Online Banking transfer - 6378</t>
  </si>
  <si>
    <t>Yepjdz7nNKt6JRzgrpr5C8LVBoYkynfJvkLg3</t>
  </si>
  <si>
    <t>Interest, Interest Earned</t>
  </si>
  <si>
    <t>Deposit interest</t>
  </si>
  <si>
    <t>zbLXY8dVz1Tm4RXq9P9buZMDN463qzCve07qa</t>
  </si>
  <si>
    <t>2024-01-28, 7:00:00 p.m.</t>
  </si>
  <si>
    <t>e-Transfer - Autodeposit David Alexander Garcia Hernandez C1A9Q2gKph7g</t>
  </si>
  <si>
    <t>mN4wx3p0zOuZMxmrzRzyCq8rkQPRe6uBbgaJ9</t>
  </si>
  <si>
    <t>2024-01-22, 7:00:00 p.m.</t>
  </si>
  <si>
    <t>e-Transfer sent Paula Amariles 7LZW59</t>
  </si>
  <si>
    <t>dO9xKdaPN8H9zOvYwpwosEkP31wpmBhKYXAp3</t>
  </si>
  <si>
    <t>2024-01-18, 7:00:00 p.m.</t>
  </si>
  <si>
    <t>wbdKVap8z6T7VjE84p4vT0RyPZOqzpCKQ07XJ</t>
  </si>
  <si>
    <t>2024-01-17, 7:00:00 p.m.</t>
  </si>
  <si>
    <t>6XyrgpDK10SB8yvazqz5CNov40aVwOHw8gnKv</t>
  </si>
  <si>
    <t>2024-01-16, 7:00:00 p.m.</t>
  </si>
  <si>
    <t>Online transfer received - 0432 AUTOMATOS CONSULTING INC.</t>
  </si>
  <si>
    <t>LNJEezRjgpuv83A7wmwKTZaP56woj1CZqb579</t>
  </si>
  <si>
    <t>DpYkezRBa9T69a1DqJqLC0nKeY5LyvCw5xedx</t>
  </si>
  <si>
    <t>2024-01-15, 7:00:00 p.m.</t>
  </si>
  <si>
    <t>Online Banking foreign exchange Ref 3WW020161851260</t>
  </si>
  <si>
    <t>1X148pJPdyS3OmV1M6MauzwEebajN6UnPz5Dy</t>
  </si>
  <si>
    <t>e-Transfer sent MANUEL RICARDO AVILA RINCON 2VWXWY</t>
  </si>
  <si>
    <t>PpbjezRnN6TVNZrBQMQ0UYbVLx7r4zIo90Ljx</t>
  </si>
  <si>
    <t>2024-01-14, 7:00:00 p.m.</t>
  </si>
  <si>
    <t>e-Transfer sent Brendan 5P5JXR</t>
  </si>
  <si>
    <t>qbx15Ap8zQTerAqKYXY1SVoL9aNBdRIDdmR4K</t>
  </si>
  <si>
    <t>BXVyezjPrgSxXRna9M9wIa65QjPRpru3BPm5D</t>
  </si>
  <si>
    <t>3XqR5pwB6kSDXQKBzEzJcMaqRzJov7Io13Xd8</t>
  </si>
  <si>
    <t>yb6XYJp8zDT3z0Oj6P61uAR95LwZj7TpQewYN</t>
  </si>
  <si>
    <t>KYmvezN0bnso8Rk5dDdyTx4XOVejyKUE9aOJp</t>
  </si>
  <si>
    <t>Transfer, Payroll, Benefits</t>
  </si>
  <si>
    <t>Federal Climate Incentive CANADA</t>
  </si>
  <si>
    <t>kObx4qpAm9HOVm5g9D90iNbgweVADmHo5zk1Q</t>
  </si>
  <si>
    <t>Online Banking transfer - 6332</t>
  </si>
  <si>
    <t>AXN3ez01jbS3APoek4kdu09LwN1vAaCMVrm5V</t>
  </si>
  <si>
    <t>2024-01-08, 7:00:00 p.m.</t>
  </si>
  <si>
    <t>vbVy94p8zwTZVRYD787pCbvAOBy1zeFVZxwJb</t>
  </si>
  <si>
    <t>2024-01-07, 7:00:00 p.m.</t>
  </si>
  <si>
    <t>0XDrJpO173S7XKVnMwM4TZO9yeN74wCApZ6Ew</t>
  </si>
  <si>
    <t>2024-01-01, 7:00:00 p.m.</t>
  </si>
  <si>
    <t>e-Transfer - Autodeposit David Alexander Garcia Hernandez C1Ab2WHFeaFg</t>
  </si>
  <si>
    <t>jOoXrPpkN7HKQmxMzAzLTXvM6gnwZYHexgEM7</t>
  </si>
  <si>
    <t>e-Transfer sent Dr Mersal 8Y6EBU</t>
  </si>
  <si>
    <t>rb4Povp8znTzYwXg9A9rIP8EwJAjozHVXqo5L</t>
  </si>
  <si>
    <t>e-Transfer - Autodeposit DIANA-LORENA CORTES-RODRIGUEZ C1AR3thjcnF3</t>
  </si>
  <si>
    <t>4XBJop63LASgpJk40108SNX9nADgJBHR3Pa6g</t>
  </si>
  <si>
    <t>e-Transfer sent Bridgeway ULALS8</t>
  </si>
  <si>
    <t>aOmnBzRLeaHw07Ken5nMiKY1XRyknxI76J0pg</t>
  </si>
  <si>
    <t>e-Transfer - Autodeposit PAULA ANDREA AMARILES RESTREPO C1AyRUXy9Kuw</t>
  </si>
  <si>
    <t>xbwkYxX7zLT9rJvXa0a1swmEBLdAn0hOdw73n</t>
  </si>
  <si>
    <t>2023-12-28, 7:00:00 p.m.</t>
  </si>
  <si>
    <t>JpJrezRvoQTpmz9wbZb3IX5DmZejR0HmyJKVZ</t>
  </si>
  <si>
    <t>2023-12-26, 7:00:00 p.m.</t>
  </si>
  <si>
    <t>Online transfer received - 6439 AUTOMATOS CONSULTING INC.</t>
  </si>
  <si>
    <t>8ekd9pPAqrtQrAjep3pmc6b3P1gLRmIxDborN</t>
  </si>
  <si>
    <t>Online Banking transfer - 0179</t>
  </si>
  <si>
    <t>ZORJwzanNkHyVPDOemeocB6pX7EqzMtbmYe7e</t>
  </si>
  <si>
    <t>e-Transfer sent Gineth W36CEW</t>
  </si>
  <si>
    <t>5X3rbpLyDvSjXnV1EPEZi9zQ3D1jgwcwvjrz3</t>
  </si>
  <si>
    <t>2023-12-18, 7:00:00 p.m.</t>
  </si>
  <si>
    <t>oN4L8KpOzEuYrb1g4k4vTxr91PjR3pU4wmR5n</t>
  </si>
  <si>
    <t>2023-12-17, 7:00:00 p.m.</t>
  </si>
  <si>
    <t>e-Transfer - Autodeposit MANUEL RICARDO AVILA RINCON C1AuTjG2u4Ef</t>
  </si>
  <si>
    <t>bp893zMDNxT90nm7Q5QEskAbRZX0jzCJnEkvA</t>
  </si>
  <si>
    <t>Online Banking foreign exchange Ref 3WW773521438230</t>
  </si>
  <si>
    <t>gO8zvLa3NoHaQ0YpjAjgTz6wOrNX97U8Jer9X</t>
  </si>
  <si>
    <t>2023-12-14, 7:00:00 p.m.</t>
  </si>
  <si>
    <t>e-Transfer sent MANUEL RICARDO AVILA RINCON JCY9HZ</t>
  </si>
  <si>
    <t>9XAwVpqvB4SJ7qVOnyngi8Mg3XoQPjfg1evzg</t>
  </si>
  <si>
    <t>VpQOez8nNBT0NRm8n6nJCAg8mvOeq3T4V1PDn</t>
  </si>
  <si>
    <t>OpOQezXnNwT19bjmMBMvsZyjQ75eoYCxydQ1g</t>
  </si>
  <si>
    <t>MpJZezRn7XToeMmQ6r6kTn1Y9wDExAIXoZvy5</t>
  </si>
  <si>
    <t>EpbNezRmxVTmn9PBE8EDupkqO6mLyrIQxmO7Z</t>
  </si>
  <si>
    <t>2023-12-13, 7:00:00 p.m.</t>
  </si>
  <si>
    <t>e-Transfer - Autodeposit Ana Maria Avila Amaya C1AaVZ2Q6USQ</t>
  </si>
  <si>
    <t>RXJjezRnNDSkNOaAe7ersEnVX69vo5hewxXPd</t>
  </si>
  <si>
    <t>2023-12-12, 7:00:00 p.m.</t>
  </si>
  <si>
    <t>e-Transfer sent David COLOCAR SF5MHE</t>
  </si>
  <si>
    <t>QpJ5ezRXNLTNEw45P1PjHB0VAQrj7MtO8YARJ</t>
  </si>
  <si>
    <t>Online transfer received - 5204 AUTOMATOS CONSULTING INC.</t>
  </si>
  <si>
    <t>nN46JypjzMu8QYa5zKzrIVjqMJ6z3LIBzR16N</t>
  </si>
  <si>
    <t>2023-12-11, 7:00:00 p.m.</t>
  </si>
  <si>
    <t>pb4DZkp8zRTK7y0VqjqAT7D6dOa9NYh3YEpr6</t>
  </si>
  <si>
    <t>2023-12-10, 7:00:00 p.m.</t>
  </si>
  <si>
    <t>Xp8jezanNyTBNo6ARXRZC15emqw3KxHdEAYQK</t>
  </si>
  <si>
    <t>2023-12-07, 7:00:00 p.m.</t>
  </si>
  <si>
    <t>Online Banking transfer - 5682</t>
  </si>
  <si>
    <t>NpJvYzRnNdTaNZ0XOMOATOvyme7ABYiojemn0</t>
  </si>
  <si>
    <t>e-Transfer sent Manuel Ricardo Avila Rincon GRAWRJ</t>
  </si>
  <si>
    <t>eOMxkwaqNZH7Vznj6o6XTA4vJObVpKTnBm0oo</t>
  </si>
  <si>
    <t>Payment</t>
  </si>
  <si>
    <t>Online Banking payment - 3127 QUESTRADE</t>
  </si>
  <si>
    <t>Yepjdz7nNKt6JRzgrpr5C8LVBoYkynfJvkLj3</t>
  </si>
  <si>
    <t>2023-12-06, 7:00:00 p.m.</t>
  </si>
  <si>
    <t>Online transfer received - 1425 AUTOMATOS CONSULTING INC.</t>
  </si>
  <si>
    <t>zbLXY8dVz1Tm4RXq9P9buZMDN463qzCve07Ya</t>
  </si>
  <si>
    <t>Community, Government Departments and Agencies</t>
  </si>
  <si>
    <t>2023-12-05, 7:00:00 p.m.</t>
  </si>
  <si>
    <t>Online Banking payment - 0336 CITY OF TORONTO</t>
  </si>
  <si>
    <t>mN4wx3p0zOuZMxmrzRzyCq8rkQPRe6uBbgaY9</t>
  </si>
  <si>
    <t>2023-12-04, 7:00:00 p.m.</t>
  </si>
  <si>
    <t>e-Transfer sent Paula Amariles 8X7NYZ</t>
  </si>
  <si>
    <t>dO9xKdaPN8H9zOvYwpwosEkP31wpmBhKYXAj3</t>
  </si>
  <si>
    <t>2023-11-30, 7:00:00 p.m.</t>
  </si>
  <si>
    <t>e-Transfer sent Bridgeway GWV7K2</t>
  </si>
  <si>
    <t>wbdKVap8z6T7VjE84p4vT0RyPZOqzpCKQ07oJ</t>
  </si>
  <si>
    <t>e-Transfer sent Dave BTBECY</t>
  </si>
  <si>
    <t>6XyrgpDK10SB8yvazqz5CNov40aVwOHw8gnLv</t>
  </si>
  <si>
    <t>e-Transfer - Autodeposit DIANA-LORENA CORTES-RODRIGUEZ C1AWrf2C5XsJ</t>
  </si>
  <si>
    <t>LNJEezRjgpuv83A7wmwKTZaP56woj1CZqb549</t>
  </si>
  <si>
    <t>DpYkezRBa9T69a1DqJqLC0nKeY5LyvCw5xe3x</t>
  </si>
  <si>
    <t>2023-11-29, 7:00:00 p.m.</t>
  </si>
  <si>
    <t>e-Transfer sent MANUEL RICARDO AVILA RINCON MRZYTE</t>
  </si>
  <si>
    <t>1X148pJPdyS3OmV1M6MauzwEebajN6UnPz58y</t>
  </si>
  <si>
    <t>2023-11-28, 7:00:00 p.m.</t>
  </si>
  <si>
    <t>Funds transfer fee TT 1/THE GLOBAL</t>
  </si>
  <si>
    <t>PpbjezRnN6TVNZrBQMQ0UYbVLx7r4zIo90L3x</t>
  </si>
  <si>
    <t>Funds transfer credit TT 1/THE GLOBAL</t>
  </si>
  <si>
    <t>qbx15Ap8zQTerAqKYXY1SVoL9aNBdRIDdmRvK</t>
  </si>
  <si>
    <t>e-Transfer - Autodeposit David Alexander Garcia Hernandez C1AdpfCQkAdc</t>
  </si>
  <si>
    <t>BXVyezjPrgSxXRna9M9wIa65QjPRpru3BPmkD</t>
  </si>
  <si>
    <t>Shops</t>
  </si>
  <si>
    <t>2023-11-22, 7:00:00 p.m.</t>
  </si>
  <si>
    <t>Misc Payment EBAY COMMERCE C</t>
  </si>
  <si>
    <t>3XqR5pwB6kSDXQKBzEzJcMaqRzJov7Io13XB8</t>
  </si>
  <si>
    <t>Online transfer received - 2633 AUTOMATOS CONSULTING INC.</t>
  </si>
  <si>
    <t>yb6XYJp8zDT3z0Oj6P61uAR95LwZj7TpQewxN</t>
  </si>
  <si>
    <t>2023-11-20, 7:00:00 p.m.</t>
  </si>
  <si>
    <t>Online transfer received - 9143 AUTOMATOS CONSULTING INC.</t>
  </si>
  <si>
    <t>KYmvezN0bnso8Rk5dDdyTx4XOVejyKUE9aO7p</t>
  </si>
  <si>
    <t>2023-11-19, 7:00:00 p.m.</t>
  </si>
  <si>
    <t>e-Transfer - Autodeposit PAULA ANDREA AMARILES RESTREPO C1AqXRXuHyNB</t>
  </si>
  <si>
    <t>kObx4qpAm9HOVm5g9D90iNbgweVADmHo5zkBQ</t>
  </si>
  <si>
    <t>2023-11-16, 7:00:00 p.m.</t>
  </si>
  <si>
    <t>AXN3ez01jbS3APoek4kdu09LwN1vAaCMVrm0V</t>
  </si>
  <si>
    <t>mN4wx3p0zOuZMxmrzRzyCq8rkQPRe6uBbgayP</t>
  </si>
  <si>
    <t>2023-11-15, 7:00:00 p.m.</t>
  </si>
  <si>
    <t>e-Transfer - Autodeposit PAULA ANDREA AMARILES RESTREPO C1Ax3MvEyCUy</t>
  </si>
  <si>
    <t>dO9xKdaPN8H9zOvYwpwosEkP31wpmBhKYXAjO</t>
  </si>
  <si>
    <t>2023-11-14, 7:00:00 p.m.</t>
  </si>
  <si>
    <t>wbdKVap8z6T7VjE84p4vT0RyPZOqzpCKQ07oz</t>
  </si>
  <si>
    <t>6XyrgpDK10SB8yvazqz5CNov40aVwOHw8gnLX</t>
  </si>
  <si>
    <t>LNJEezRjgpuv83A7wmwKTZaP56woj1CZqb54V</t>
  </si>
  <si>
    <t>2023-11-13, 7:00:00 p.m.</t>
  </si>
  <si>
    <t>DpYkezRBa9T69a1DqJqLC0nKeY5LyvCw5xe3E</t>
  </si>
  <si>
    <t>e-Transfer sent Paula Amariles ZV9JKJ</t>
  </si>
  <si>
    <t>1X148pJPdyS3OmV1M6MauzwEebajN6UnPz58L</t>
  </si>
  <si>
    <t>2023-11-08, 7:00:00 p.m.</t>
  </si>
  <si>
    <t>PpbjezRnN6TVNZrBQMQ0UYbVLx7r4zIo90L3Y</t>
  </si>
  <si>
    <t>Telephone Banking transfer Ref 091863135650660</t>
  </si>
  <si>
    <t>qbx15Ap8zQTerAqKYXY1SVoL9aNBdRIDdmRvw</t>
  </si>
  <si>
    <t>2023-11-02, 8:00:00 p.m.</t>
  </si>
  <si>
    <t>BXVyezjPrgSxXRna9M9wIa65QjPRpru3BPmkm</t>
  </si>
  <si>
    <t>3XqR5pwB6kSDXQKBzEzJcMaqRzJov7Io13XBR</t>
  </si>
  <si>
    <t>Online Banking transfer - 0802</t>
  </si>
  <si>
    <t>yb6XYJp8zDT3z0Oj6P61uAR95LwZj7TpQewxK</t>
  </si>
  <si>
    <t>e-Transfer sent Manuel CIBC ZX426H</t>
  </si>
  <si>
    <t>KYmvezN0bnso8Rk5dDdyTx4XOVejyKUE9aO7Z</t>
  </si>
  <si>
    <t>2023-10-31, 8:00:00 p.m.</t>
  </si>
  <si>
    <t>e-Transfer sent Bridgeway 5RVK4S</t>
  </si>
  <si>
    <t>kObx4qpAm9HOVm5g9D90iNbgweVADmHo5zkB9</t>
  </si>
  <si>
    <t>e-Transfer sent Manuel Avila TD QKE8DT</t>
  </si>
  <si>
    <t>AXN3ez01jbS3APoek4kdu09LwN1vAaCMVrm06</t>
  </si>
  <si>
    <t>e-Transfer - Autodeposit David Alexander Garcia Hernandez C1AGNfrBdtnD</t>
  </si>
  <si>
    <t>vbVy94p8zwTZVRYD787pCbvAOBy1zeFVZxwjV</t>
  </si>
  <si>
    <t>e-Transfer - Autodeposit DIANA-LORENA CORTES-RODRIGUEZ C1AgwHkSqHbk</t>
  </si>
  <si>
    <t>0XDrJpO173S7XKVnMwM4TZO9yeN74wCApZ6a9</t>
  </si>
  <si>
    <t>2023-10-29, 8:00:00 p.m.</t>
  </si>
  <si>
    <t>eBay</t>
  </si>
  <si>
    <t>Misc Payment EBAY CANADA LTD</t>
  </si>
  <si>
    <t>jOoXrPpkN7HKQmxMzAzLTXvM6gnwZYHexgEXj</t>
  </si>
  <si>
    <t>rb4Povp8znTzYwXg9A9rIP8EwJAjozHVXqo8a</t>
  </si>
  <si>
    <t>4XBJop63LASgpJk40108SNX9nADgJBHR3PaQ1</t>
  </si>
  <si>
    <t>aOmnBzRLeaHw07Ken5nMiKY1XRyknxI76J0ea</t>
  </si>
  <si>
    <t>e-Transfer sent PAULA ANDREA AMARILES RESTREPO 278R32</t>
  </si>
  <si>
    <t>xbwkYxX7zLT9rJvXa0a1swmEBLdAn0hOdw7vo</t>
  </si>
  <si>
    <t>2023-10-24, 8:00:00 p.m.</t>
  </si>
  <si>
    <t>Online transfer sent - 3876 Automatos Consulting</t>
  </si>
  <si>
    <t>JpJrezRvoQTpmz9wbZb3IX5DmZejR0HmyJKpq</t>
  </si>
  <si>
    <t>2023-10-22, 8:00:00 p.m.</t>
  </si>
  <si>
    <t>e-Transfer sent Childcraft TKEJWD</t>
  </si>
  <si>
    <t>8ekd9pPAqrtQrAjep3pmc6b3P1gLRmIxDbo9V</t>
  </si>
  <si>
    <t>e-Transfer - Autodeposit PAULA ANDREA AMARILES RESTREPO C1Ac22cpjPaj</t>
  </si>
  <si>
    <t>ZORJwzanNkHyVPDOemeocB6pX7EqzMtbmYexr</t>
  </si>
  <si>
    <t>2023-10-19, 8:00:00 p.m.</t>
  </si>
  <si>
    <t>5X3rbpLyDvSjXnV1EPEZi9zQ3D1jgwcwvjrKR</t>
  </si>
  <si>
    <t>2023-10-18, 8:00:00 p.m.</t>
  </si>
  <si>
    <t>Online Banking transfer - 6133</t>
  </si>
  <si>
    <t>oN4L8KpOzEuYrb1g4k4vTxr91PjR3pU4wmRP5</t>
  </si>
  <si>
    <t>e-Transfer - Autodeposit PAULA ANDREA AMARILES RESTREPO C1AA8phgk9NF</t>
  </si>
  <si>
    <t>bp893zMDNxT90nm7Q5QEskAbRZX0jzCJnEkmm</t>
  </si>
  <si>
    <t>2023-10-16, 8:00:00 p.m.</t>
  </si>
  <si>
    <t>gO8zvLa3NoHaQ0YpjAjgTz6wOrNX97U8JerDB</t>
  </si>
  <si>
    <t>Transfer, Third Party, PayPal</t>
  </si>
  <si>
    <t>Misc Payment PAYPAL</t>
  </si>
  <si>
    <t>7XKm7e1kPjSN8406PMPpHBoDkwnM6Zt0eVbqp</t>
  </si>
  <si>
    <t>e-Transfer sent Mina Morshed</t>
  </si>
  <si>
    <t>9XAwVpqvB4SJ7qVOnyngi8Mg3XoQPjfg1evVD</t>
  </si>
  <si>
    <t>2023-10-15, 8:00:00 p.m.</t>
  </si>
  <si>
    <t>VpQOez8nNBT0NRm8n6nJCAg8mvOeq3T4V1P6J</t>
  </si>
  <si>
    <t>OpOQezXnNwT19bjmMBMvsZyjQ75eoYCxydQXJ</t>
  </si>
  <si>
    <t>MpJZezRn7XToeMmQ6r6kTn1Y9wDExAIXoZvDj</t>
  </si>
  <si>
    <t>EpbNezRmxVTmn9PBE8EDupkqO6mLyrIQxmOrm</t>
  </si>
  <si>
    <t>e-Transfer - Autodeposit Ana Maria Avila Amaya C1ANs4zF4x4x</t>
  </si>
  <si>
    <t>RXJjezRnNDSkNOaAe7ersEnVX69vo5hewxXba</t>
  </si>
  <si>
    <t>Online Banking foreign exchange Ref 3WW882862139100</t>
  </si>
  <si>
    <t>QpJ5ezRXNLTNEw45P1PjHB0VAQrj7MtO8YAgQ</t>
  </si>
  <si>
    <t>2023-10-12, 8:00:00 p.m.</t>
  </si>
  <si>
    <t>Climate Action Incentive CANADA</t>
  </si>
  <si>
    <t>nN46JypjzMu8QYa5zKzrIVjqMJ6z3LIBzR15E</t>
  </si>
  <si>
    <t>2023-10-11, 8:00:00 p.m.</t>
  </si>
  <si>
    <t>pb4DZkp8zRTK7y0VqjqAT7D6dOa9NYh3YEpNd</t>
  </si>
  <si>
    <t>Xp8jezanNyTBNo6ARXRZC15emqw3KxHdEAYMp</t>
  </si>
  <si>
    <t>e-Transfer sent Paula Amariles UAG3ZY</t>
  </si>
  <si>
    <t>NpJvYzRnNdTaNZ0XOMOATOvyme7ABYiojem5a</t>
  </si>
  <si>
    <t>2023-10-10, 8:00:00 p.m.</t>
  </si>
  <si>
    <t>e-Transfer sent Costumes YCUP3R</t>
  </si>
  <si>
    <t>eOMxkwaqNZH7Vznj6o6XTA4vJObVpKTnBm0Mw</t>
  </si>
  <si>
    <t>2023-10-09, 8:00:00 p.m.</t>
  </si>
  <si>
    <t>Yepjdz7nNKt6JRzgrpr5C8LVBoYkynfJvkLNy</t>
  </si>
  <si>
    <t>e-Transfer - Autodeposit PAULA ANDREA AMARILES RESTREPO C1AC5Xj8dmVa</t>
  </si>
  <si>
    <t>zbLXY8dVz1Tm4RXq9P9buZMDN463qzCve07ae</t>
  </si>
  <si>
    <t>2023-10-05, 8:00:00 p.m.</t>
  </si>
  <si>
    <t>mN4wx3p0zOuZMxmrzRzyCq8rkQPRe6uBbgaRP</t>
  </si>
  <si>
    <t>Online Banking transfer - 8082</t>
  </si>
  <si>
    <t>dO9xKdaPN8H9zOvYwpwosEkP31wpmBhKYXAkO</t>
  </si>
  <si>
    <t>e-Transfer sent Manuel Avila TD</t>
  </si>
  <si>
    <t>2023-10-02, 8:00:00 p.m.</t>
  </si>
  <si>
    <t>6XyrgpDK10SB8yvazqz5CNov40aVwOHw8gnqX</t>
  </si>
  <si>
    <t>e-Transfer sent Manuel CIBC</t>
  </si>
  <si>
    <t>LNJEezRjgpuv83A7wmwKTZaP56woj1CZqb5NV</t>
  </si>
  <si>
    <t>e-Transfer - Autodeposit Diana Lorena Cortes Rodriguez CADZ6cqj</t>
  </si>
  <si>
    <t>DpYkezRBa9T69a1DqJqLC0nKeY5LyvCw5xeME</t>
  </si>
  <si>
    <t>e-Transfer - Autodeposit Diana Lorena Cortes Rodriguez CAUWec86</t>
  </si>
  <si>
    <t>1X148pJPdyS3OmV1M6MauzwEebajN6UnPz50L</t>
  </si>
  <si>
    <t>e-Transfer received David Alexander Garcia Hernandez CAfbjksk</t>
  </si>
  <si>
    <t>PpbjezRnN6TVNZrBQMQ0UYbVLx7r4zIo90LgY</t>
  </si>
  <si>
    <t>Online Banking foreign exchange Ref 3WW342761132220</t>
  </si>
  <si>
    <t>qbx15Ap8zQTerAqKYXY1SVoL9aNBdRIDdmRqw</t>
  </si>
  <si>
    <t>2023-09-28, 8:00:00 p.m.</t>
  </si>
  <si>
    <t>BXVyezjPrgSxXRna9M9wIa65QjPRpru3BPmgm</t>
  </si>
  <si>
    <t>2023-09-20, 8:00:00 p.m.</t>
  </si>
  <si>
    <t>Online Banking transfer - 8029</t>
  </si>
  <si>
    <t>3XqR5pwB6kSDXQKBzEzJcMaqRzJov7Io13XVR</t>
  </si>
  <si>
    <t>yb6XYJp8zDT3z0Oj6P61uAR95LwZj7TpQewrK</t>
  </si>
  <si>
    <t>KYmvezN0bnso8Rk5dDdyTx4XOVejyKUE9aOnZ</t>
  </si>
  <si>
    <t>e-Transfer - Autodeposit PAULA ANDREA AMARILES RESTREPO C1AhjycnZYz8</t>
  </si>
  <si>
    <t>kObx4qpAm9HOVm5g9D90iNbgweVADmHo5zk69</t>
  </si>
  <si>
    <t>e-Transfer cancel</t>
  </si>
  <si>
    <t>AXN3ez01jbS3APoek4kdu09LwN1vAaCMVrmY6</t>
  </si>
  <si>
    <t>2023-09-18, 8:00:00 p.m.</t>
  </si>
  <si>
    <t>vbVy94p8zwTZVRYD787pCbvAOBy1zeFVZxwXV</t>
  </si>
  <si>
    <t>2023-09-17, 8:00:00 p.m.</t>
  </si>
  <si>
    <t>Online Banking payment - 0118 AMEX REGULAR</t>
  </si>
  <si>
    <t>0XDrJpO173S7XKVnMwM4TZO9yeN74wCApZ6y9</t>
  </si>
  <si>
    <t>e-Transfer - Autodeposit PAULA ANDREA AMARILES RESTREPO C1AXk5zvYCur</t>
  </si>
  <si>
    <t>jOoXrPpkN7HKQmxMzAzLTXvM6gnwZYHexgEAj</t>
  </si>
  <si>
    <t>2023-09-12, 8:00:00 p.m.</t>
  </si>
  <si>
    <t>rb4Povp8znTzYwXg9A9rIP8EwJAjozHVXqoYa</t>
  </si>
  <si>
    <t>2023-09-11, 8:00:00 p.m.</t>
  </si>
  <si>
    <t>4XBJop63LASgpJk40108SNX9nADgJBHR3Pae1</t>
  </si>
  <si>
    <t>2023-09-10, 8:00:00 p.m.</t>
  </si>
  <si>
    <t>aOmnBzRLeaHw07Ken5nMiKY1XRyknxI76J0Ra</t>
  </si>
  <si>
    <t>e-Transfer - Autodeposit PAULA ANDREA AMARILES RESTREPO C1Avy9FkM43a</t>
  </si>
  <si>
    <t>xbwkYxX7zLT9rJvXa0a1swmEBLdAn0hOdw7Yo</t>
  </si>
  <si>
    <t>2023-09-07, 8:00:00 p.m.</t>
  </si>
  <si>
    <t>JpJrezRvoQTpmz9wbZb3IX5DmZejR0HmyJK6q</t>
  </si>
  <si>
    <t>e-Transfer - Autodeposit PAULA ANDREA AMARILES RESTREPO C1A53JMEBquV</t>
  </si>
  <si>
    <t>8ekd9pPAqrtQrAjep3pmc6b3P1gLRmIxDbopV</t>
  </si>
  <si>
    <t>2023-09-05, 8:00:00 p.m.</t>
  </si>
  <si>
    <t>e-Transfer - Autodeposit PAULA ANDREA AMARILES RESTREPO C1A7TDReBgnm</t>
  </si>
  <si>
    <t>5X3rbpLyDvSjXnV1EPEZi9zQ3D1jgwcwvjryR</t>
  </si>
  <si>
    <t>2023-08-27, 8:00:00 p.m.</t>
  </si>
  <si>
    <t>Online Banking foreign exchange Ref 3WW812401442430</t>
  </si>
  <si>
    <t>bp893zMDNxT90nm7Q5QEskAbRZX0jzCJnEkNm</t>
  </si>
  <si>
    <t>2023-08-13, 8:00:00 p.m.</t>
  </si>
  <si>
    <t>Online Banking transfer - 6109</t>
  </si>
  <si>
    <t>gO8zvLa3NoHaQ0YpjAjgTz6wOrNX97U8JerBB</t>
  </si>
  <si>
    <t>e-Transfer - Autodeposit PAULA ANDREA AMARILES RESTREPO C1AsY8XfTBkh</t>
  </si>
  <si>
    <t>7XKm7e1kPjSN8406PMPpHBoDkwnM6Zt0eVbwp</t>
  </si>
  <si>
    <t>2023-08-09, 8:00:00 p.m.</t>
  </si>
  <si>
    <t>Online Banking transfer - 7034</t>
  </si>
  <si>
    <t>9XAwVpqvB4SJ7qVOnyngi8Mg3XoQPjfg1evwD</t>
  </si>
  <si>
    <t>e-Transfer - Autodeposit MANUEL RICARDO AVILA RINCON f03b9bd35860454292419f3195a316bc</t>
  </si>
  <si>
    <t>VpQOez8nNBT0NRm8n6nJCAg8mvOeq3T4V1PEJ</t>
  </si>
  <si>
    <t>2023-07-19, 8:00:00 p.m.</t>
  </si>
  <si>
    <t>Online Banking transfer - 6496</t>
  </si>
  <si>
    <t>OpOQezXnNwT19bjmMBMvsZyjQ75eoYCxydQbJ</t>
  </si>
  <si>
    <t>e-Transfer - Autodeposit MANUEL RICARDO AVILA RINCON 596ca157048b42dcb206a8d23b06aaa6</t>
  </si>
  <si>
    <t>MpJZezRn7XToeMmQ6r6kTn1Y9wDExAIXoZv9j</t>
  </si>
  <si>
    <t>2023-06-21, 8:00:00 p.m.</t>
  </si>
  <si>
    <t>Online Banking foreign exchange Ref 3WW771732107150</t>
  </si>
  <si>
    <t>EpbNezRmxVTmn9PBE8EDupkqO6mLyrIQxmOPm</t>
  </si>
  <si>
    <t>e-Transfer - Autodeposit MANUEL RICARDO AVILA RINCON eaa3ceb1e76c409988d43f1754874929</t>
  </si>
  <si>
    <t>RXJjezRnNDSkNOaAe7ersEnVX69vo5hewxXna</t>
  </si>
  <si>
    <t>2023-06-20, 8:00:00 p.m.</t>
  </si>
  <si>
    <t>Online Banking transfer - 5233</t>
  </si>
  <si>
    <t>QpJ5ezRXNLTNEw45P1PjHB0VAQrj7MtO8YALQ</t>
  </si>
  <si>
    <t>e-Transfer - Autodeposit MANUEL RICARDO AVILA RINCON 828b28a5fccf4142b249a0b4f882cf2c</t>
  </si>
  <si>
    <t>nN46JypjzMu8QYa5zKzrIVjqMJ6z3LIBzR13E</t>
  </si>
  <si>
    <t>e-Transfer - Autodeposit PAULA ANDREA AMARILES RESTREPO C1AXmQRfsEmn</t>
  </si>
  <si>
    <t>pb4DZkp8zRTK7y0VqjqAT7D6dOa9NYh3YEpyd</t>
  </si>
  <si>
    <t>2023-06-11, 8:00:00 p.m.</t>
  </si>
  <si>
    <t>Online Banking transfer - 0315</t>
  </si>
  <si>
    <t>Xp8jezanNyTBNo6ARXRZC15emqw3KxHdEAYxp</t>
  </si>
  <si>
    <t>e-Transfer - Autodeposit MANUEL RICARDO AVILA RINCON 8eb3f1cf86714730b60c6d2ce1730172</t>
  </si>
  <si>
    <t>NpJvYzRnNdTaNZ0XOMOATOvyme7ABYiojemOa</t>
  </si>
  <si>
    <t>2023-05-23, 8:00:00 p.m.</t>
  </si>
  <si>
    <t>Online Banking transfer - 1200</t>
  </si>
  <si>
    <t>eOMxkwaqNZH7Vznj6o6XTA4vJObVpKTnBm0Xw</t>
  </si>
  <si>
    <t>2023-05-22, 8:00:00 p.m.</t>
  </si>
  <si>
    <t>e-Transfer - Autodeposit MANUEL RICARDO AVILA RINCON 865e74ad09d14894bf88a52e952d9abd</t>
  </si>
  <si>
    <t>Yepjdz7nNKt6JRzgrpr5C8LVBoYkynfJvkLDy</t>
  </si>
  <si>
    <t>2023-04-16, 8:00:00 p.m.</t>
  </si>
  <si>
    <t>Online Banking transfer - 4731</t>
  </si>
  <si>
    <t>zbLXY8dVz1Tm4RXq9P9buZMDN463qzCve07Le</t>
  </si>
  <si>
    <t>e-Transfer - Autodeposit MANUEL RICARDO AVILA RINCON ce538d3d597a45e29ccef43baa8fdd0e</t>
  </si>
  <si>
    <t>mN4wx3p0zOuZMxmrzRzyCq8rkQPRe6uBbga9P</t>
  </si>
  <si>
    <t>2023-03-22, 8:00:00 p.m.</t>
  </si>
  <si>
    <t>Online Banking transfer - 4629</t>
  </si>
  <si>
    <t>dO9xKdaPN8H9zOvYwpwosEkP31wpmBhKYXAgO</t>
  </si>
  <si>
    <t>e-Transfer - Autodeposit MANUEL RICARDO AVILA RINCON fdb6f95792c54a589301ad2474056ceb</t>
  </si>
  <si>
    <t>wbdKVap8z6T7VjE84p4vT0RyPZOqzpCKQ07wz</t>
  </si>
  <si>
    <t>2023-03-01, 7:00:00 p.m.</t>
  </si>
  <si>
    <t>e-Transfer sent MANUEL RICARDO AVILA RINCON GXYSZW</t>
  </si>
  <si>
    <t>6XyrgpDK10SB8yvazqz5CNov40aVwOHw8gndX</t>
  </si>
  <si>
    <t>Online transfer received - 0285 AUTOMATOS CONSULTING INC.</t>
  </si>
  <si>
    <t>LNJEezRjgpuv83A7wmwKTZaP56woj1CZqb5EV</t>
  </si>
  <si>
    <t>2023-02-21, 7:00:00 p.m.</t>
  </si>
  <si>
    <t>Online Banking transfer - 9066</t>
  </si>
  <si>
    <t>DpYkezRBa9T69a1DqJqLC0nKeY5LyvCw5xeAE</t>
  </si>
  <si>
    <t>e-Transfer - Autodeposit MANUEL RICARDO AVILA RINCON 9db7c125b8754c2194260a0d5da219be</t>
  </si>
  <si>
    <t>1X148pJPdyS3OmV1M6MauzwEebajN6UnPz5aL</t>
  </si>
  <si>
    <t>2023-02-13, 7:00:00 p.m.</t>
  </si>
  <si>
    <t>Online Banking transfer - 0080</t>
  </si>
  <si>
    <t>PpbjezRnN6TVNZrBQMQ0UYbVLx7r4zIo90LpY</t>
  </si>
  <si>
    <t>2023-01-22, 7:00:00 p.m.</t>
  </si>
  <si>
    <t>e-Transfer - Autodeposit Diana Lorena Cortes Rodriguez CAfVTsBs</t>
  </si>
  <si>
    <t>qbx15Ap8zQTerAqKYXY1SVoL9aNBdRIDdmR8w</t>
  </si>
  <si>
    <t>2023-01-18, 7:00:00 p.m.</t>
  </si>
  <si>
    <t>Online Banking transfer - 0982</t>
  </si>
  <si>
    <t>BXVyezjPrgSxXRna9M9wIa65QjPRpru3BPmwm</t>
  </si>
  <si>
    <t>e-Transfer - Autodeposit MANUEL RICARDO AVILA RINCON 10079616303949588b53bdb2d84ee2d2</t>
  </si>
  <si>
    <t>3XqR5pwB6kSDXQKBzEzJcMaqRzJov7Io13XwR</t>
  </si>
  <si>
    <t>2023-01-11, 7:00:00 p.m.</t>
  </si>
  <si>
    <t>Online Banking transfer - 2728</t>
  </si>
  <si>
    <t>yb6XYJp8zDT3z0Oj6P61uAR95LwZj7TpQewAK</t>
  </si>
  <si>
    <t>e-Transfer sent Gineth</t>
  </si>
  <si>
    <t>KYmvezN0bnso8Rk5dDdyTx4XOVejyKUE9aODZ</t>
  </si>
  <si>
    <t>kObx4qpAm9HOVm5g9D90iNbgweVADmHo5zka9</t>
  </si>
  <si>
    <t>AXN3ez01jbS3APoek4kdu09LwN1vAaCMVrmX6</t>
  </si>
  <si>
    <t>Online Banking foreign exchange Ref 3WW940121534520</t>
  </si>
  <si>
    <t>mN4wx3p0zOuZMxmrzRzyCq8rkQPRe6uBbga9B</t>
  </si>
  <si>
    <t>2023-01-08, 7:00:00 p.m.</t>
  </si>
  <si>
    <t>wbdKVap8z6T7VjE84p4vT0RyPZOqzpCKQ07wv</t>
  </si>
  <si>
    <t>2023-01-05, 7:00:00 p.m.</t>
  </si>
  <si>
    <t>e-Transfer - Autodeposit Diana Lorena Cortes Rodriguez CAPRWreS</t>
  </si>
  <si>
    <t>6XyrgpDK10SB8yvazqz5CNov40aVwOHw8gndy</t>
  </si>
  <si>
    <t>2023-01-02, 7:00:00 p.m.</t>
  </si>
  <si>
    <t>Online Banking transfer - 5187</t>
  </si>
  <si>
    <t>LNJEezRjgpuv83A7wmwKTZaP56woj1CZqb5Ed</t>
  </si>
  <si>
    <t>DpYkezRBa9T69a1DqJqLC0nKeY5LyvCw5xeAq</t>
  </si>
  <si>
    <t>e-Transfer - Autodeposit Barian CAUP5qeB</t>
  </si>
  <si>
    <t>1X148pJPdyS3OmV1M6MauzwEebajN6UnPz5aA</t>
  </si>
  <si>
    <t>Online Banking foreign exchange Ref 3WW730011116110</t>
  </si>
  <si>
    <t>PpbjezRnN6TVNZrBQMQ0UYbVLx7r4zIo90LpD</t>
  </si>
  <si>
    <t>2022-12-22, 7:00:00 p.m.</t>
  </si>
  <si>
    <t>Online Banking transfer - 6257</t>
  </si>
  <si>
    <t>qbx15Ap8zQTerAqKYXY1SVoL9aNBdRIDdmR8k</t>
  </si>
  <si>
    <t>e-Transfer - Autodeposit MANUEL RICARDO AVILA RINCON 866df5c0e6a443668856d0934814b60a</t>
  </si>
  <si>
    <t>BXVyezjPrgSxXRna9M9wIa65QjPRpru3BPmwO</t>
  </si>
  <si>
    <t>2022-12-18, 7:00:00 p.m.</t>
  </si>
  <si>
    <t>e-Transfer - Autodeposit Diana Lorena Cortes Rodriguez CAjjxUg8</t>
  </si>
  <si>
    <t>3XqR5pwB6kSDXQKBzEzJcMaqRzJov7Io13XwJ</t>
  </si>
  <si>
    <t>2022-12-12, 7:00:00 p.m.</t>
  </si>
  <si>
    <t>Online Banking transfer - 0154</t>
  </si>
  <si>
    <t>yb6XYJp8zDT3z0Oj6P61uAR95LwZj7TpQewAY</t>
  </si>
  <si>
    <t>e-Transfer - Autodeposit PAULA ANDREA AMARILES RESTREPO CAxxC563</t>
  </si>
  <si>
    <t>KYmvezN0bnso8Rk5dDdyTx4XOVejyKUE9aOD7</t>
  </si>
  <si>
    <t>2022-12-06, 7:00:00 p.m.</t>
  </si>
  <si>
    <t>Online Banking transfer - 8644</t>
  </si>
  <si>
    <t>kObx4qpAm9HOVm5g9D90iNbgweVADmHo5zka6</t>
  </si>
  <si>
    <t>AXN3ez01jbS3APoek4kdu09LwN1vAaCMVrmXX</t>
  </si>
  <si>
    <t>Online Banking foreign exchange Ref 3WW653411143220</t>
  </si>
  <si>
    <t>vbVy94p8zwTZVRYD787pCbvAOBy1zeFVZxANN</t>
  </si>
  <si>
    <t>2022-11-30, 7:00:00 p.m.</t>
  </si>
  <si>
    <t>Online Banking transfer - 2432</t>
  </si>
  <si>
    <t>0XDrJpO173S7XKVnMwM4TZO9yeN74wCApZm8B</t>
  </si>
  <si>
    <t>e-Transfer - Autodeposit Barian CAmhqnQ5</t>
  </si>
  <si>
    <t>jOoXrPpkN7HKQmxMzAzLTXvM6gnwZYHexgJO8</t>
  </si>
  <si>
    <t>2022-11-27, 7:00:00 p.m.</t>
  </si>
  <si>
    <t>Online Banking transfer - 2738</t>
  </si>
  <si>
    <t>rb4Povp8znTzYwXg9A9rIP8EwJAjozHVXqzE3</t>
  </si>
  <si>
    <t>e-Transfer - Autodeposit MANUEL RICARDO AVILA RINCON 0cd2f6fe66f64dd0aa925f05884d5a3f</t>
  </si>
  <si>
    <t>4XBJop63LASgpJk40108SNX9nADgJBHR3PvNP</t>
  </si>
  <si>
    <t>2022-11-20, 7:00:00 p.m.</t>
  </si>
  <si>
    <t>Online Banking transfer - 2083</t>
  </si>
  <si>
    <t>aOmnBzRLeaHw07Ken5nMiKY1XRyknxI76JmYx</t>
  </si>
  <si>
    <t>e-Transfer - Autodeposit PAULA ANDREA AMARILES RESTREPO CAY8sb9R</t>
  </si>
  <si>
    <t>xbwkYxX7zLT9rJvXa0a1swmEBLdAn0hOdw9r1</t>
  </si>
  <si>
    <t>2022-11-01, 8:00:00 p.m.</t>
  </si>
  <si>
    <t>JpJrezRvoQTpmz9wbZb3IX5DmZejR0HmyJeo1</t>
  </si>
  <si>
    <t>2022-10-31, 8:00:00 p.m.</t>
  </si>
  <si>
    <t>Online Banking transfer - 4435</t>
  </si>
  <si>
    <t>8ekd9pPAqrtQrAjep3pmc6b3P1gLRmIxDbPQ6</t>
  </si>
  <si>
    <t>e-Transfer - Autodeposit Diana Lorena Cortes Rodriguez</t>
  </si>
  <si>
    <t>ZORJwzanNkHyVPDOemeocB6pX7EqzMtbmYMJA</t>
  </si>
  <si>
    <t>2022-10-30, 8:00:00 p.m.</t>
  </si>
  <si>
    <t>Online Banking transfer - 5680</t>
  </si>
  <si>
    <t>5X3rbpLyDvSjXnV1EPEZi9zQ3D1jgwcwvj39k</t>
  </si>
  <si>
    <t>e-Transfer - Autodeposit MANUEL RICARDO AVILA RINCON</t>
  </si>
  <si>
    <t>oN4L8KpOzEuYrb1g4k4vTxr91PjR3pU4wmDZ8</t>
  </si>
  <si>
    <t>bp893zMDNxT90nm7Q5QEskAbRZX0jzCJnEXw0</t>
  </si>
  <si>
    <t>2022-10-20, 8:00:00 p.m.</t>
  </si>
  <si>
    <t>e-Transfer - Autodeposit PAULA ANDREA AMARILES RESTREPO</t>
  </si>
  <si>
    <t>gO8zvLa3NoHaQ0YpjAjgTz6wOrNX97U8JeyLJ</t>
  </si>
  <si>
    <t>2022-10-16, 8:00:00 p.m.</t>
  </si>
  <si>
    <t>Online Banking transfer - 4485</t>
  </si>
  <si>
    <t>7XKm7e1kPjSN8406PMPpHBoDkwnM6Zt0eVojL</t>
  </si>
  <si>
    <t>2022-10-13, 8:00:00 p.m.</t>
  </si>
  <si>
    <t>9XAwVpqvB4SJ7qVOnyngi8Mg3XoQPjfg1e3DE</t>
  </si>
  <si>
    <t>2022-10-12, 8:00:00 p.m.</t>
  </si>
  <si>
    <t>Online Banking transfer - 9900</t>
  </si>
  <si>
    <t>VpQOez8nNBT0NRm8n6nJCAg8mvOeq3T4V1bw3</t>
  </si>
  <si>
    <t>2022-10-11, 8:00:00 p.m.</t>
  </si>
  <si>
    <t>OpOQezXnNwT19bjmMBMvsZyjQ75eoYCxyd0aO</t>
  </si>
  <si>
    <t>2022-10-10, 8:00:00 p.m.</t>
  </si>
  <si>
    <t>MpJZezRn7XToeMmQ6r6kTn1Y9wDExAIXoZLez</t>
  </si>
  <si>
    <t>2022-10-04, 8:00:00 p.m.</t>
  </si>
  <si>
    <t>Online Banking transfer - 5090</t>
  </si>
  <si>
    <t>EpbNezRmxVTmn9PBE8EDupkqO6mLyrIQxmVkM</t>
  </si>
  <si>
    <t>e-Transfer received ANA MARIA AVILA AMAYA</t>
  </si>
  <si>
    <t>RXJjezRnNDSkNOaAe7ersEnVX69vo5hewxMQY</t>
  </si>
  <si>
    <t>2022-10-03, 8:00:00 p.m.</t>
  </si>
  <si>
    <t>Online Banking transfer - 3688</t>
  </si>
  <si>
    <t>QpJ5ezRXNLTNEw45P1PjHB0VAQrj7MtO8YpDB</t>
  </si>
  <si>
    <t>nN46JypjzMu8QYa5zKzrIVjqMJ6z3LIBzRbnO</t>
  </si>
  <si>
    <t>Online Banking foreign exchange Ref 3WW632771354390</t>
  </si>
  <si>
    <t>pb4DZkp8zRTK7y0VqjqAT7D6dOa9NYh3YE91p</t>
  </si>
  <si>
    <t>2022-10-02, 8:00:00 p.m.</t>
  </si>
  <si>
    <t>Online Banking transfer - 8989</t>
  </si>
  <si>
    <t>Xp8jezanNyTBNo6ARXRZC15emqw3KxHdEA3w3</t>
  </si>
  <si>
    <t>Online Banking transfer - 0011</t>
  </si>
  <si>
    <t>NpJvYzRnNdTaNZ0XOMOATOvyme7ABYioje1Jg</t>
  </si>
  <si>
    <t>eOMxkwaqNZH7Vznj6o6XTA4vJObVpKTnBm8Jj</t>
  </si>
  <si>
    <t>Yepjdz7nNKt6JRzgrpr5C8LVBoYkynfJvkKxe</t>
  </si>
  <si>
    <t>2022-09-28, 8:00:00 p.m.</t>
  </si>
  <si>
    <t>zbLXY8dVz1Tm4RXq9P9buZMDN463qzCve06ZO</t>
  </si>
  <si>
    <t>2022-09-22, 8:00:00 p.m.</t>
  </si>
  <si>
    <t>Online Banking transfer - 3777</t>
  </si>
  <si>
    <t>mN4wx3p0zOuZMxmrzRzyCq8rkQPRe6uBbgLDB</t>
  </si>
  <si>
    <t>2022-09-19, 8:00:00 p.m.</t>
  </si>
  <si>
    <t>Online Banking transfer - 4649</t>
  </si>
  <si>
    <t>dO9xKdaPN8H9zOvYwpwosEkP31wpmBhKYXx3o</t>
  </si>
  <si>
    <t>wbdKVap8z6T7VjE84p4vT0RyPZOqzpCKQ0j6v</t>
  </si>
  <si>
    <t>6XyrgpDK10SB8yvazqz5CNov40aVwOHw8g4oy</t>
  </si>
  <si>
    <t>LNJEezRjgpuv83A7wmwKTZaP56woj1CZqbnKd</t>
  </si>
  <si>
    <t>2022-09-18, 8:00:00 p.m.</t>
  </si>
  <si>
    <t>DpYkezRBa9T69a1DqJqLC0nKeY5LyvCw5x9vq</t>
  </si>
  <si>
    <t>2022-09-14, 8:00:00 p.m.</t>
  </si>
  <si>
    <t>1X148pJPdyS3OmV1M6MauzwEebajN6UnPzeBA</t>
  </si>
  <si>
    <t>2022-09-11, 8:00:00 p.m.</t>
  </si>
  <si>
    <t>Online Banking transfer - 1690</t>
  </si>
  <si>
    <t>PpbjezRnN6TVNZrBQMQ0UYbVLx7r4zIo90BQD</t>
  </si>
  <si>
    <t>qbx15Ap8zQTerAqKYXY1SVoL9aNBdRIDdm7Zk</t>
  </si>
  <si>
    <t>2022-09-07, 8:00:00 p.m.</t>
  </si>
  <si>
    <t>BXVyezjPrgSxXRna9M9wIa65QjPRpru3BPrqO</t>
  </si>
  <si>
    <t>2022-09-05, 8:00:00 p.m.</t>
  </si>
  <si>
    <t>3XqR5pwB6kSDXQKBzEzJcMaqRzJov7Io13RZJ</t>
  </si>
  <si>
    <t>2022-08-31, 8:00:00 p.m.</t>
  </si>
  <si>
    <t>yb6XYJp8zDT3z0Oj6P61uAR95LwZj7TpQev1Y</t>
  </si>
  <si>
    <t>Online Banking transfer - 6079</t>
  </si>
  <si>
    <t>KYmvezN0bnso8Rk5dDdyTx4XOVejyKUE9a6Y7</t>
  </si>
  <si>
    <t>kObx4qpAm9HOVm5g9D90iNbgweVADmHo5znw6</t>
  </si>
  <si>
    <t>2022-08-24, 8:00:00 p.m.</t>
  </si>
  <si>
    <t>e-Transfer sent Paula Amariles</t>
  </si>
  <si>
    <t>AXN3ez01jbS3APoek4kdu09LwN1vAaCMVrzgX</t>
  </si>
  <si>
    <t>2022-08-21, 8:00:00 p.m.</t>
  </si>
  <si>
    <t>Online Banking transfer - 5395</t>
  </si>
  <si>
    <t>vbVy94p8zwTZVRYD787pCbvAOBy1zeFVZxAPN</t>
  </si>
  <si>
    <t>0XDrJpO173S7XKVnMwM4TZO9yeN74wCApZmBB</t>
  </si>
  <si>
    <t>2022-08-18, 8:00:00 p.m.</t>
  </si>
  <si>
    <t>jOoXrPpkN7HKQmxMzAzLTXvM6gnwZYHexgJk8</t>
  </si>
  <si>
    <t>Online transfer received - 3680 AUTOMATOS CONSULTING INC.</t>
  </si>
  <si>
    <t>rb4Povp8znTzYwXg9A9rIP8EwJAjozHVXqzj3</t>
  </si>
  <si>
    <t>2022-08-15, 8:00:00 p.m.</t>
  </si>
  <si>
    <t>Online Banking transfer - 4993</t>
  </si>
  <si>
    <t>4XBJop63LASgpJk40108SNX9nADgJBHR3PvzP</t>
  </si>
  <si>
    <t>2022-08-14, 8:00:00 p.m.</t>
  </si>
  <si>
    <t>Online Banking transfer - 5392</t>
  </si>
  <si>
    <t>aOmnBzRLeaHw07Ken5nMiKY1XRyknxI76Jm3x</t>
  </si>
  <si>
    <t>xbwkYxX7zLT9rJvXa0a1swmEBLdAn0hOdw9p1</t>
  </si>
  <si>
    <t>2022-08-08, 8:00:00 p.m.</t>
  </si>
  <si>
    <t>JpJrezRvoQTpmz9wbZb3IX5DmZejR0HmyJe31</t>
  </si>
  <si>
    <t>Online transfer received - 8737 AUTOMATOS CONSULTING INC.</t>
  </si>
  <si>
    <t>8ekd9pPAqrtQrAjep3pmc6b3P1gLRmIxDbPk6</t>
  </si>
  <si>
    <t>2022-08-07, 8:00:00 p.m.</t>
  </si>
  <si>
    <t>Online Banking transfer - 7875</t>
  </si>
  <si>
    <t>ZORJwzanNkHyVPDOemeocB6pX7EqzMtbmYMPA</t>
  </si>
  <si>
    <t>5X3rbpLyDvSjXnV1EPEZi9zQ3D1jgwcwvj3mk</t>
  </si>
  <si>
    <t>e-Transfer sent Mon Petit Univers</t>
  </si>
  <si>
    <t>oN4L8KpOzEuYrb1g4k4vTxr91PjR3pU4wmD08</t>
  </si>
  <si>
    <t>bp893zMDNxT90nm7Q5QEskAbRZX0jzCJnEXa0</t>
  </si>
  <si>
    <t>gO8zvLa3NoHaQ0YpjAjgTz6wOrNX97U8JeyEJ</t>
  </si>
  <si>
    <t>Online transfer received - 9728 AUTOMATOS CONSULTING INC.</t>
  </si>
  <si>
    <t>7XKm7e1kPjSN8406PMPpHBoDkwnM6Zt0eVoZL</t>
  </si>
  <si>
    <t>Online transfer received - 4485 AUTOMATOS CONSULTING INC.</t>
  </si>
  <si>
    <t>9XAwVpqvB4SJ7qVOnyngi8Mg3XoQPjfg1e3JE</t>
  </si>
  <si>
    <t>Online transfer received - 3007 AUTOMATOS CONSULTING INC.</t>
  </si>
  <si>
    <t>VpQOez8nNBT0NRm8n6nJCAg8mvOeq3T4V1bJ3</t>
  </si>
  <si>
    <t>2022-07-31, 8:00:00 p.m.</t>
  </si>
  <si>
    <t>e-Transfer sent Ispak Chowdrury</t>
  </si>
  <si>
    <t>OpOQezXnNwT19bjmMBMvsZyjQ75eoYCxyd0PO</t>
  </si>
  <si>
    <t>2022-07-28, 8:00:00 p.m.</t>
  </si>
  <si>
    <t>e-Transfer received Newton</t>
  </si>
  <si>
    <t>MpJZezRn7XToeMmQ6r6kTn1Y9wDExAIXoZLgz</t>
  </si>
  <si>
    <t>2022-07-25, 8:00:00 p.m.</t>
  </si>
  <si>
    <t>Online transfer received - 0067 AUTOMATOS CONSULTING INC.</t>
  </si>
  <si>
    <t>EpbNezRmxVTmn9PBE8EDupkqO6mLyrIQxmVqM</t>
  </si>
  <si>
    <t>2022-07-24, 8:00:00 p.m.</t>
  </si>
  <si>
    <t>Online Banking transfer - 9138</t>
  </si>
  <si>
    <t>RXJjezRnNDSkNOaAe7ersEnVX69vo5hewxMrY</t>
  </si>
  <si>
    <t>QpJ5ezRXNLTNEw45P1PjHB0VAQrj7MtO8YpoB</t>
  </si>
  <si>
    <t>nN46JypjzMu8QYa5zKzrIVjqMJ6z3LIBzRbXO</t>
  </si>
  <si>
    <t>pb4DZkp8zRTK7y0VqjqAT7D6dOa9NYh3YE9Lp</t>
  </si>
  <si>
    <t>Online transfer received - 8990 AUTOMATOS CONSULTING INC.</t>
  </si>
  <si>
    <t>Xp8jezanNyTBNo6ARXRZC15emqw3KxHdEA3j3</t>
  </si>
  <si>
    <t>Online transfer received - 1786 AUTOMATOS CONSULTING INC.</t>
  </si>
  <si>
    <t>NpJvYzRnNdTaNZ0XOMOATOvyme7ABYioje1zg</t>
  </si>
  <si>
    <t>2022-07-21, 8:00:00 p.m.</t>
  </si>
  <si>
    <t>Online Banking transfer - 9800</t>
  </si>
  <si>
    <t>eOMxkwaqNZH7Vznj6o6XTA4vJObVpKTnBm89j</t>
  </si>
  <si>
    <t>Online transfer received - 9448 AUTOMATOS CONSULTING INC.</t>
  </si>
  <si>
    <t>Yepjdz7nNKt6JRzgrpr5C8LVBoYkynfJvkK7e</t>
  </si>
  <si>
    <t>2022-07-17, 8:00:00 p.m.</t>
  </si>
  <si>
    <t>Online Banking transfer - 6834</t>
  </si>
  <si>
    <t>zbLXY8dVz1Tm4RXq9P9buZMDN463qzCve06kO</t>
  </si>
  <si>
    <t>mN4wx3p0zOuZMxmrzRzyCq8rkQPRe6uBbgLEB</t>
  </si>
  <si>
    <t>2022-07-14, 8:00:00 p.m.</t>
  </si>
  <si>
    <t>Online Banking transfer - 2606</t>
  </si>
  <si>
    <t>dO9xKdaPN8H9zOvYwpwosEkP31wpmBhKYXxPo</t>
  </si>
  <si>
    <t>2022-07-13, 8:00:00 p.m.</t>
  </si>
  <si>
    <t>wbdKVap8z6T7VjE84p4vT0RyPZOqzpCKQ0jJv</t>
  </si>
  <si>
    <t>2022-07-10, 8:00:00 p.m.</t>
  </si>
  <si>
    <t>Online Banking transfer - 5619</t>
  </si>
  <si>
    <t>6XyrgpDK10SB8yvazqz5CNov40aVwOHw8g4Zy</t>
  </si>
  <si>
    <t>Online Banking transfer - 6093</t>
  </si>
  <si>
    <t>LNJEezRjgpuv83A7wmwKTZaP56woj1CZqbnjd</t>
  </si>
  <si>
    <t>DpYkezRBa9T69a1DqJqLC0nKeY5LyvCw5x9Qq</t>
  </si>
  <si>
    <t>1X148pJPdyS3OmV1M6MauzwEebajN6UnPzerA</t>
  </si>
  <si>
    <t>PpbjezRnN6TVNZrBQMQ0UYbVLx7r4zIo90B5D</t>
  </si>
  <si>
    <t>qbx15Ap8zQTerAqKYXY1SVoL9aNBdRIDdm75k</t>
  </si>
  <si>
    <t>Online transfer received - 8597 AUTOMATOS CONSULTING INC.</t>
  </si>
  <si>
    <t>BXVyezjPrgSxXRna9M9wIa65QjPRpru3BPrRO</t>
  </si>
  <si>
    <t>Online transfer received - 6105 AUTOMATOS CONSULTING INC.</t>
  </si>
  <si>
    <t>3XqR5pwB6kSDXQKBzEzJcMaqRzJov7Io13RMJ</t>
  </si>
  <si>
    <t>Online transfer received - 1258</t>
  </si>
  <si>
    <t>yb6XYJp8zDT3z0Oj6P61uAR95LwZj7TpQevPY</t>
  </si>
  <si>
    <t>Online transfer received - 1026 AUTOMATOS CONSULTING INC.</t>
  </si>
  <si>
    <t>KYmvezN0bnso8Rk5dDdyTx4XOVejyKUE9a6K7</t>
  </si>
  <si>
    <t>2022-06-26, 8:00:00 p.m.</t>
  </si>
  <si>
    <t>kObx4qpAm9HOVm5g9D90iNbgweVADmHo5znZ6</t>
  </si>
  <si>
    <t>AXN3ez01jbS3APoek4kdu09LwN1vAaCMVrzxX</t>
  </si>
  <si>
    <t>mN4wx3p0zOuZMxmrzRzyCq8rkQPRe6uBbgLqD</t>
  </si>
  <si>
    <t>Online transfer received - 8332 AUTOMATOS CONSULTING INC.</t>
  </si>
  <si>
    <t>dO9xKdaPN8H9zOvYwpwosEkP31wpmBhKYXxEP</t>
  </si>
  <si>
    <t>Online transfer received - 0365 AUTOMATOS CONSULTING INC.</t>
  </si>
  <si>
    <t>wbdKVap8z6T7VjE84p4vT0RyPZOqzpCKQ0j99</t>
  </si>
  <si>
    <t>Online transfer received - 5585 AUTOMATOS CONSULTING INC.</t>
  </si>
  <si>
    <t>6XyrgpDK10SB8yvazqz5CNov40aVwOHw8g4vM</t>
  </si>
  <si>
    <t>2022-06-23, 8:00:00 p.m.</t>
  </si>
  <si>
    <t>Online Banking transfer - 3793</t>
  </si>
  <si>
    <t>LNJEezRjgpuv83A7wmwKTZaP56woj1CZqbnAb</t>
  </si>
  <si>
    <t>Online transfer received - 6740 AUTOMATOS CONSULTING INC.</t>
  </si>
  <si>
    <t>DpYkezRBa9T69a1DqJqLC0nKeY5LyvCw5x9n4</t>
  </si>
  <si>
    <t>2022-06-12, 8:00:00 p.m.</t>
  </si>
  <si>
    <t>1X148pJPdyS3OmV1M6MauzwEebajN6UnPzeRv</t>
  </si>
  <si>
    <t>PpbjezRnN6TVNZrBQMQ0UYbVLx7r4zIo90Bnz</t>
  </si>
  <si>
    <t>qbx15Ap8zQTerAqKYXY1SVoL9aNBdRIDdm7Oj</t>
  </si>
  <si>
    <t>BXVyezjPrgSxXRna9M9wIa65QjPRpru3BPrMo</t>
  </si>
  <si>
    <t>Online transfer received - 9162 AUTOMATOS CONSULTING INC.</t>
  </si>
  <si>
    <t>3XqR5pwB6kSDXQKBzEzJcMaqRzJov7Io13RYp</t>
  </si>
  <si>
    <t>Online transfer received - 4483 AUTOMATOS CONSULTING INC.</t>
  </si>
  <si>
    <t>yb6XYJp8zDT3z0Oj6P61uAR95LwZj7TpQevk4</t>
  </si>
  <si>
    <t>Online transfer received - 1408 AUTOMATOS CONSULTING INC.</t>
  </si>
  <si>
    <t>KYmvezN0bnso8Rk5dDdyTx4XOVejyKUE9a63r</t>
  </si>
  <si>
    <t>2022-06-09, 8:00:00 p.m.</t>
  </si>
  <si>
    <t>kObx4qpAm9HOVm5g9D90iNbgweVADmHo5znx5</t>
  </si>
  <si>
    <t>Online transfer received - 3221 AUTOMATOS CONSULTING INC.</t>
  </si>
  <si>
    <t>AXN3ez01jbS3APoek4kdu09LwN1vAaCMVrz8y</t>
  </si>
  <si>
    <t>2022-06-08, 8:00:00 p.m.</t>
  </si>
  <si>
    <t>Online Banking transfer - 4095</t>
  </si>
  <si>
    <t>vbVy94p8zwTZVRYD787pCbvAOBy1zeFVZxAO4</t>
  </si>
  <si>
    <t>0XDrJpO173S7XKVnMwM4TZO9yeN74wCApZmPq</t>
  </si>
  <si>
    <t>Online Banking foreign exchange Ref 3WW891601318070</t>
  </si>
  <si>
    <t>jOoXrPpkN7HKQmxMzAzLTXvM6gnwZYHexgJ8n</t>
  </si>
  <si>
    <t>2022-05-31, 8:00:00 p.m.</t>
  </si>
  <si>
    <t>rb4Povp8znTzYwXg9A9rIP8EwJAjozHVXqzdk</t>
  </si>
  <si>
    <t>Online Banking foreign exchange Ref 3WW071521104430</t>
  </si>
  <si>
    <t>4XBJop63LASgpJk40108SNX9nADgJBHR3PvMB</t>
  </si>
  <si>
    <t>2022-05-29, 8:00:00 p.m.</t>
  </si>
  <si>
    <t>aOmnBzRLeaHw07Ken5nMiKY1XRyknxI76JmwE</t>
  </si>
  <si>
    <t>xbwkYxX7zLT9rJvXa0a1swmEBLdAn0hOdw9k0</t>
  </si>
  <si>
    <t>JpJrezRvoQTpmz9wbZb3IX5DmZejR0HmyJeBr</t>
  </si>
  <si>
    <t>8ekd9pPAqrtQrAjep3pmc6b3P1gLRmIxDbPRo</t>
  </si>
  <si>
    <t>Online transfer received - 2054 AUTOMATOS CONSULTING INC.</t>
  </si>
  <si>
    <t>ZORJwzanNkHyVPDOemeocB6pX7EqzMtbmYM3M</t>
  </si>
  <si>
    <t>Online transfer received - 1611 AUTOMATOS CONSULTING INC.</t>
  </si>
  <si>
    <t>5X3rbpLyDvSjXnV1EPEZi9zQ3D1jgwcwvj3O7</t>
  </si>
  <si>
    <t>Online transfer received - 2847 AUTOMATOS CONSULTING INC.</t>
  </si>
  <si>
    <t>oN4L8KpOzEuYrb1g4k4vTxr91PjR3pU4wmD3a</t>
  </si>
  <si>
    <t>2022-05-26, 8:00:00 p.m.</t>
  </si>
  <si>
    <t>Online Banking transfer - 1014</t>
  </si>
  <si>
    <t>bp893zMDNxT90nm7Q5QEskAbRZX0jzCJnEX86</t>
  </si>
  <si>
    <t>Online transfer received - 7277 AUTOMATOS CONSULTING INC.</t>
  </si>
  <si>
    <t>gO8zvLa3NoHaQ0YpjAjgTz6wOrNX97U8Jeyxq</t>
  </si>
  <si>
    <t>2022-05-15, 8:00:00 p.m.</t>
  </si>
  <si>
    <t>Online Banking transfer - 2688</t>
  </si>
  <si>
    <t>7XKm7e1kPjSN8406PMPpHBoDkwnM6Zt0eVoB0</t>
  </si>
  <si>
    <t>9XAwVpqvB4SJ7qVOnyngi8Mg3XoQPjfg1e3p6</t>
  </si>
  <si>
    <t>VpQOez8nNBT0NRm8n6nJCAg8mvOeq3T4V1b7j</t>
  </si>
  <si>
    <t>Online transfer received - 4351 AUTOMATOS CONSULTING INC.</t>
  </si>
  <si>
    <t>OpOQezXnNwT19bjmMBMvsZyjQ75eoYCxyd0JV</t>
  </si>
  <si>
    <t>Online transfer received - 4127 AUTOMATOS CONSULTING INC.</t>
  </si>
  <si>
    <t>MpJZezRn7XToeMmQ6r6kTn1Y9wDExAIXoZLmB</t>
  </si>
  <si>
    <t>2022-05-12, 8:00:00 p.m.</t>
  </si>
  <si>
    <t>Online Banking transfer - 6501</t>
  </si>
  <si>
    <t>EpbNezRmxVTmn9PBE8EDupkqO6mLyrIQxmV15</t>
  </si>
  <si>
    <t>RXJjezRnNDSkNOaAe7ersEnVX69vo5hewxMA1</t>
  </si>
  <si>
    <t>Online transfer received - 2887 AUTOMATOS CONSULTING INC.</t>
  </si>
  <si>
    <t>QpJ5ezRXNLTNEw45P1PjHB0VAQrj7MtO8Yp0M</t>
  </si>
  <si>
    <t>2022-05-02, 8:00:00 p.m.</t>
  </si>
  <si>
    <t>Online Banking transfer - 1618</t>
  </si>
  <si>
    <t>nN46JypjzMu8QYa5zKzrIVjqMJ6z3LIBzRbLa</t>
  </si>
  <si>
    <t>pb4DZkp8zRTK7y0VqjqAT7D6dOa9NYh3YE9zm</t>
  </si>
  <si>
    <t>Online transfer received - 6932 AUTOMATOS CONSULTING INC.</t>
  </si>
  <si>
    <t>Xp8jezanNyTBNo6ARXRZC15emqw3KxHdEA3qk</t>
  </si>
  <si>
    <t>2022-05-01, 8:00:00 p.m.</t>
  </si>
  <si>
    <t>Online Banking transfer - 4870</t>
  </si>
  <si>
    <t>NpJvYzRnNdTaNZ0XOMOATOvyme7ABYioje1vn</t>
  </si>
  <si>
    <t>Online Banking transfer - 0755</t>
  </si>
  <si>
    <t>eOMxkwaqNZH7Vznj6o6XTA4vJObVpKTnBm8Q1</t>
  </si>
  <si>
    <t>Yepjdz7nNKt6JRzgrpr5C8LVBoYkynfJvkK1N</t>
  </si>
  <si>
    <t>Online transfer received - 3234 AUTOMATOS CONSULTING INC.</t>
  </si>
  <si>
    <t>zbLXY8dVz1Tm4RXq9P9buZMDN463qzCve06NL</t>
  </si>
  <si>
    <t>Online transfer received - 1411 AUTOMATOS CONSULTING INC.</t>
  </si>
  <si>
    <t>mN4wx3p0zOuZMxmrzRzyCq8rkQPRe6uBbgLzD</t>
  </si>
  <si>
    <t>Online transfer received - 0616 AUTOMATOS CONSULTING INC.</t>
  </si>
  <si>
    <t>dO9xKdaPN8H9zOvYwpwosEkP31wpmBhKYXxMP</t>
  </si>
  <si>
    <t>2022-04-28, 8:00:00 p.m.</t>
  </si>
  <si>
    <t>wbdKVap8z6T7VjE84p4vT0RyPZOqzpCKQ0jP9</t>
  </si>
  <si>
    <t>Online transfer received - 3041 AUTOMATOS CONSULTING INC.</t>
  </si>
  <si>
    <t>6XyrgpDK10SB8yvazqz5CNov40aVwOHw8g4MM</t>
  </si>
  <si>
    <t>2022-04-21, 8:00:00 p.m.</t>
  </si>
  <si>
    <t>LNJEezRjgpuv83A7wmwKTZaP56woj1CZqbn9b</t>
  </si>
  <si>
    <t>e-Transfer sent LaPennaco</t>
  </si>
  <si>
    <t>DpYkezRBa9T69a1DqJqLC0nKeY5LyvCw5x9J4</t>
  </si>
  <si>
    <t>Online Banking foreign exchange Ref 3WW581121309410</t>
  </si>
  <si>
    <t>1X148pJPdyS3OmV1M6MauzwEebajN6UnPze3v</t>
  </si>
  <si>
    <t>2022-04-13, 8:00:00 p.m.</t>
  </si>
  <si>
    <t>PpbjezRnN6TVNZrBQMQ0UYbVLx7r4zIo90BXz</t>
  </si>
  <si>
    <t>Online transfer received - 8625 AUTOMATOS CONSULTING INC.</t>
  </si>
  <si>
    <t>qbx15Ap8zQTerAqKYXY1SVoL9aNBdRIDdm7ej</t>
  </si>
  <si>
    <t>2022-04-03, 8:00:00 p.m.</t>
  </si>
  <si>
    <t>Online Banking transfer - 8102</t>
  </si>
  <si>
    <t>BXVyezjPrgSxXRna9M9wIa65QjPRpru3BPr6o</t>
  </si>
  <si>
    <t>Online Banking transfer - 0349</t>
  </si>
  <si>
    <t>3XqR5pwB6kSDXQKBzEzJcMaqRzJov7Io13Rbp</t>
  </si>
  <si>
    <t>yb6XYJp8zDT3z0Oj6P61uAR95LwZj7TpQev04</t>
  </si>
  <si>
    <t>KYmvezN0bnso8Rk5dDdyTx4XOVejyKUE9a60r</t>
  </si>
  <si>
    <t>kObx4qpAm9HOVm5g9D90iNbgweVADmHo5znM5</t>
  </si>
  <si>
    <t>AXN3ez01jbS3APoek4kdu09LwN1vAaCMVrzdy</t>
  </si>
  <si>
    <t>Online transfer received - 5342 AUTOMATOS CONSULTING INC.</t>
  </si>
  <si>
    <t>0XDrJpO173S7XKVnMwM4TZO9yeN74wCApZmgq</t>
  </si>
  <si>
    <t>Online transfer received - 2148 AUTOMATOS CONSULTING INC.</t>
  </si>
  <si>
    <t>jOoXrPpkN7HKQmxMzAzLTXvM6gnwZYHexgJ0n</t>
  </si>
  <si>
    <t>Online transfer received - 4899 AUTOMATOS CONSULTING INC.</t>
  </si>
  <si>
    <t>rb4Povp8znTzYwXg9A9rIP8EwJAjozHVXqz3k</t>
  </si>
  <si>
    <t>2024-03-31, 8:00:00 p.m.</t>
  </si>
  <si>
    <t>Online transfer received - 9772 AUTOMATOS CONSULTING INC.</t>
  </si>
  <si>
    <t>EpbNezRmxVTmn9PBE8bzU8wyAA3kRNCQbqwMB</t>
  </si>
  <si>
    <t>e-Transfer - Autodeposit DIANA-LORENA CORTES-RODRIGUEZ C1AHADpCEhjC</t>
  </si>
  <si>
    <t>RXJjezRnNDSkNOaAe7ZwUkNoJJynaPUemr80O</t>
  </si>
  <si>
    <t>e-Transfer sent Bridgeway RD9WMK</t>
  </si>
  <si>
    <t>QpJ5ezRXNLTNEw45P1yXTmK7xxL0v8sOqokvX</t>
  </si>
  <si>
    <t>e-Transfer sent Jessica Méndez 5V8BGE</t>
  </si>
  <si>
    <t>nN46JypjzMu8QYa5zKgxUv73KKNjoxtBvX8gz</t>
  </si>
  <si>
    <t>e-Transfer - Autodeposit Ana Maria Avila Amaya C1A8ej3wMDEZ</t>
  </si>
  <si>
    <t>pb4DZkp8zRTK7y0Vqj39UxQN11jDPXH3xLOg8</t>
  </si>
  <si>
    <t>Xp8jezanNyTBNo6ARXnmSVkKnn75BYfdLj75g</t>
  </si>
  <si>
    <t>2024-04-07, 8:00:00 p.m.</t>
  </si>
  <si>
    <t>Online transfer received - 7267</t>
  </si>
  <si>
    <t>DpYkezRBa9T69a1DqJeZi8RopRv85qfwPwmpz</t>
  </si>
  <si>
    <t>e-Transfer sent Jessica Méndez RLTQVP</t>
  </si>
  <si>
    <t>1X148pJPdyS3OmV1M6qockXYvX6kanunwn9Qq</t>
  </si>
  <si>
    <t>PpbjezRnN6TVNZrBQM54CoARZAzo7XfoVoErJ</t>
  </si>
  <si>
    <t>2024-04-08, 8:00:00 p.m.</t>
  </si>
  <si>
    <t>Online Banking transfer - 0925</t>
  </si>
  <si>
    <t>9XAwVpqvB4SJ7qVOnyD7s8K19X6aj4F63Y5Mb</t>
  </si>
  <si>
    <t>VpQOez8nNBT0NRm8n6YNuA5zyv1P3ntnbeZpR</t>
  </si>
  <si>
    <t>Online Banking payment - 6719 VISA - CIBC</t>
  </si>
  <si>
    <t>OpOQezXnNwT19bjmMBZ9cZkDX706YzFp0rLAr</t>
  </si>
  <si>
    <t>Online transfer received - 5634 AUTOMATOS CONSULTING INC.</t>
  </si>
  <si>
    <t>MpJZezRn7XToeMmQ6rDeunyJ7wjgAeF0Lx4No</t>
  </si>
  <si>
    <t>2024-04-09, 8:00:00 p.m.</t>
  </si>
  <si>
    <t>DpYkezRBa9T69a1DqJeBFQjLo6va8XhwPOK7Y</t>
  </si>
  <si>
    <t>2024-04-10, 8:00:00 p.m.</t>
  </si>
  <si>
    <t>e-Transfer sent PAULA ANDREA AMARILES RESTREPO 7QD6Y9</t>
  </si>
  <si>
    <t>1X148pJPdyS3OmV1M6qBHBYxem4BB1tnwjKYb</t>
  </si>
  <si>
    <t>Online transfer received - 6689 AUTOMATOS CONSULTING INC.</t>
  </si>
  <si>
    <t>PpbjezRnN6TVNZrBQM59i5RwLQe559HoV1kOm</t>
  </si>
  <si>
    <t>2024-04-11, 8:00:00 p.m.</t>
  </si>
  <si>
    <t>Xp8jezanNyTBNo6ARXnpUBVZmr6n5VCz3gmzB</t>
  </si>
  <si>
    <t>Shops, Digital Purchase</t>
  </si>
  <si>
    <t>2024-03-16, 8:00:00 p.m.</t>
  </si>
  <si>
    <t>Amazon</t>
  </si>
  <si>
    <t>DpYkezRBa9T69a1DqJqLC0n9LxLA1KIwD7gQe</t>
  </si>
  <si>
    <t>1X148pJPdyS3OmV1M6MauzwxjpjmMEFnpdAre</t>
  </si>
  <si>
    <t>Travel, Public Transportation Services</t>
  </si>
  <si>
    <t>Presto Fare</t>
  </si>
  <si>
    <t>PRESTO FARE/5D7DJHRK9P Scarborough ON</t>
  </si>
  <si>
    <t>PpbjezRnN6TVNZrBQMQ0UYbwr8rQ0VUoeYJ5d</t>
  </si>
  <si>
    <t>qbx15Ap8zQTerAqKYXY1SVoqBrBmQLtDVyn5a</t>
  </si>
  <si>
    <t>PAYMENT - THANK YOU / PAIEMENT - MERCI</t>
  </si>
  <si>
    <t>BXVyezjPrgSxXRna9M9wIa6ZRzRxy5S3YeNR4</t>
  </si>
  <si>
    <t>Hostinger</t>
  </si>
  <si>
    <t>hostinger.com Larnaka 8.99 USD @ 1.381500000000</t>
  </si>
  <si>
    <t>3XqR5pwB6kSDXQKBzEzJcMaOo4oy6qCopmLMK</t>
  </si>
  <si>
    <t>2024-03-05, 7:00:00 p.m.</t>
  </si>
  <si>
    <t>New York Times</t>
  </si>
  <si>
    <t>THE NEW YORK TIMES</t>
  </si>
  <si>
    <t>yb6XYJp8zDT3z0Oj6P61uARdZPZBQ9IpNjaPp</t>
  </si>
  <si>
    <t>Service</t>
  </si>
  <si>
    <t>2024-03-01, 7:00:00 p.m.</t>
  </si>
  <si>
    <t>OpenAI</t>
  </si>
  <si>
    <t>CHATGPT SUBSCRIPTION SAN FRANCISCOCA 20.00 USD @ 1.394500000000</t>
  </si>
  <si>
    <t>KYmvezN0bnso8Rk5dDdyTx4bjwjvQXHERxNKy</t>
  </si>
  <si>
    <t>2024-02-27, 7:00:00 p.m.</t>
  </si>
  <si>
    <t>PRESTO FARE/5DM217ZLBP Scarborough ON</t>
  </si>
  <si>
    <t>kObx4qpAm9HOVm5g9D90iNb9AoAEkgto7VEZv</t>
  </si>
  <si>
    <t>A2 HOSTING 4029357733</t>
  </si>
  <si>
    <t>AXN3ez01jbS3APoek4kdu09kv8v5RLIMq1jxb</t>
  </si>
  <si>
    <t>2024-02-24, 7:00:00 p.m.</t>
  </si>
  <si>
    <t>JpJrezRvoQTpmz9wbZb3IX5DmZejR0HmyJKxz</t>
  </si>
  <si>
    <t>8ekd9pPAqrtQrAjep3pmc6b3P1gLRmIxDboAw</t>
  </si>
  <si>
    <t>2024-02-23, 7:00:00 p.m.</t>
  </si>
  <si>
    <t>A2 Hosting</t>
  </si>
  <si>
    <t>ZORJwzanNkHyVPDOemeocB6pX7EqzMtbmYerZ</t>
  </si>
  <si>
    <t>5X3rbpLyDvSjXnV1EPEZi9zQ3D1jgwcwvjrQX</t>
  </si>
  <si>
    <t>PRESTO FARE/5DKJGH8ZSD Scarborough ON</t>
  </si>
  <si>
    <t>oN4L8KpOzEuYrb1g4k4vTxr91PjR3pU4wmRLj</t>
  </si>
  <si>
    <t>2024-02-19, 7:00:00 p.m.</t>
  </si>
  <si>
    <t>bp893zMDNxT90nm7Q5QEskAbRZX0jzCJnEkOp</t>
  </si>
  <si>
    <t>PRESTO FARE/5DK56LDNGG Scarborough ON</t>
  </si>
  <si>
    <t>gO8zvLa3NoHaQ0YpjAjgTz6wOrNX97U8Jermo</t>
  </si>
  <si>
    <t>2024-02-17, 7:00:00 p.m.</t>
  </si>
  <si>
    <t>PRESTO FARE/5DK5NJLFVD Scarborough ON</t>
  </si>
  <si>
    <t>7XKm7e1kPjSN8406PMPpHBoDkwnM6Zt0eVbAe</t>
  </si>
  <si>
    <t>Shops, Gift and Novelty</t>
  </si>
  <si>
    <t>CASHEW AND CLIVE TORONTO ON</t>
  </si>
  <si>
    <t>9XAwVpqvB4SJ7qVOnyngi8Mg3XoQPjfg1evoB</t>
  </si>
  <si>
    <t>Food and Drink, Restaurants, Fast Food</t>
  </si>
  <si>
    <t>McDonald's</t>
  </si>
  <si>
    <t>VpQOez8nNBT0NRm8n6nJCAg8mvOeq3T4V1PKg</t>
  </si>
  <si>
    <t>OpOQezXnNwT19bjmMBMvsZyjQ75eoYCxydQ9v</t>
  </si>
  <si>
    <t>MpJZezRn7XToeMmQ6r6kTn1Y9wDExAIXoZvwK</t>
  </si>
  <si>
    <t>Shops, Department Stores</t>
  </si>
  <si>
    <t>El Palacio Hierro Pola Ciudad De</t>
  </si>
  <si>
    <t>EL PALACIO HIERRO POLA CIUDAD DE MEX000 460.80 MXN @ .081100000000</t>
  </si>
  <si>
    <t>EpbNezRmxVTmn9PBE8EDupkqO6mLyrIQxmONX</t>
  </si>
  <si>
    <t>ZTL*BALLENARECORDS CIUDAD DE MEX 3030.00 MXN @ .081100000000</t>
  </si>
  <si>
    <t>RXJjezRnNDSkNOaAe7ersEnVX69vo5hewxXg0</t>
  </si>
  <si>
    <t>Travel, Car Service, Ride Share</t>
  </si>
  <si>
    <t>Uber</t>
  </si>
  <si>
    <t>UBR* PENDING.UBER.COM AMSTERDAM NH 59.91 MXN @ .081100000000</t>
  </si>
  <si>
    <t>QpJ5ezRXNLTNEw45P1PjHB0VAQrj7MtO8YAP6</t>
  </si>
  <si>
    <t>2024-02-06, 7:00:00 p.m.</t>
  </si>
  <si>
    <t>Pharmaoport Mex</t>
  </si>
  <si>
    <t>PHARMAOPORT MEX MEXICO DF DF 136.00 MXN @ .081500000000</t>
  </si>
  <si>
    <t>nN46JypjzMu8QYa5zKzrIVjqMJ6z3LIBzR1VP</t>
  </si>
  <si>
    <t>UBR* PENDING.UBER.COM AMSTERDAM NH 49.98 MXN @ .081400000000</t>
  </si>
  <si>
    <t>pb4DZkp8zRTK7y0VqjqAT7D6dOa9NYh3YEpmP</t>
  </si>
  <si>
    <t>Xp8jezanNyTBNo6ARXRZC15emqw3KxHdEAYKY</t>
  </si>
  <si>
    <t>2024-02-05, 7:00:00 p.m.</t>
  </si>
  <si>
    <t>Enviaya</t>
  </si>
  <si>
    <t>ENVIAYA 4029357733 ON</t>
  </si>
  <si>
    <t>NpJvYzRnNdTaNZ0XOMOATOvyme7ABYiojem81</t>
  </si>
  <si>
    <t>eOMxkwaqNZH7Vznj6o6XTA4vJObVpKTnBm0NP</t>
  </si>
  <si>
    <t>Shops, Supermarkets and Groceries</t>
  </si>
  <si>
    <t>2024-02-04, 7:00:00 p.m.</t>
  </si>
  <si>
    <t>Chedraui</t>
  </si>
  <si>
    <t>CHEDRAUI POLANCO MEXICO DF DF 177.00 MXN @ .081000000000</t>
  </si>
  <si>
    <t>Yepjdz7nNKt6JRzgrpr5C8LVBoYkynfJvkLEr</t>
  </si>
  <si>
    <t>CHEDRAUI POLANCO MEXICO DF DF 2889.38 MXN @ .080900000000</t>
  </si>
  <si>
    <t>zbLXY8dVz1Tm4RXq9P9buZMDN463qzCve075A</t>
  </si>
  <si>
    <t>Anam Aicm</t>
  </si>
  <si>
    <t>ANAM AICM T1 SALA E CIUDAD DE MEXDF 2484.00 MXN @ .081000000000</t>
  </si>
  <si>
    <t>mN4wx3p0zOuZMxmrzRzyCq8rkQPRe6uBbgaZM</t>
  </si>
  <si>
    <t>UBR* PENDING.UBER.COM AMSTERDAM NH 49.98 MXN @ .080800000000</t>
  </si>
  <si>
    <t>dO9xKdaPN8H9zOvYwpwosEkP31wpmBhKYXA4K</t>
  </si>
  <si>
    <t>2024-03-24, 8:00:00 p.m.</t>
  </si>
  <si>
    <t>kObx4qpAm9HOVm5g9D9QfdpqpVzYvgfoqpyob</t>
  </si>
  <si>
    <t>2024-04-02, 8:00:00 p.m.</t>
  </si>
  <si>
    <t>VpQOez8nNBT0NRm8n6YnuDMKQyq68nI4eXrEP</t>
  </si>
  <si>
    <t>2024-04-04, 8:00:00 p.m.</t>
  </si>
  <si>
    <t>Xp8jezanNyTBNo6ARXnnC5kLmXOoPDhdp1Q5K</t>
  </si>
  <si>
    <t>bp893zMDNxT90nm7Q5y0ckmYMZQKz7cPX0BQM</t>
  </si>
  <si>
    <t>Amazon.ca*8S2IQ66G3 AMAZON.CA ON</t>
  </si>
  <si>
    <t>nN46JypjzMu8QYa5zKgpsovXMDBKjvhjbZejR</t>
  </si>
  <si>
    <t>Account Name</t>
  </si>
  <si>
    <t>Bank</t>
  </si>
  <si>
    <t>Custom Category</t>
  </si>
  <si>
    <t>Operation</t>
  </si>
  <si>
    <t>BELAIR INS/ASS</t>
  </si>
  <si>
    <t>&lt;100</t>
  </si>
  <si>
    <t>Home Insurance</t>
  </si>
  <si>
    <t>&gt;100</t>
  </si>
  <si>
    <t>Row Labels</t>
  </si>
  <si>
    <t>Datetime</t>
  </si>
  <si>
    <t>Custom Categories</t>
  </si>
  <si>
    <t>Month's Total</t>
  </si>
  <si>
    <t>Month</t>
  </si>
  <si>
    <t>Recent</t>
  </si>
  <si>
    <t>NEW YORK TIMES</t>
  </si>
  <si>
    <t>Subscriptions</t>
  </si>
  <si>
    <t>McDonald</t>
  </si>
  <si>
    <t>Budget</t>
  </si>
  <si>
    <t>Spending Report</t>
  </si>
  <si>
    <t>Budgets</t>
  </si>
  <si>
    <t>Frequency</t>
  </si>
  <si>
    <t>Weekly</t>
  </si>
  <si>
    <t>Daily</t>
  </si>
  <si>
    <t>Bi-Weekly</t>
  </si>
  <si>
    <t>Monthly</t>
  </si>
  <si>
    <t>Quartery</t>
  </si>
  <si>
    <t>Bi-Yearly</t>
  </si>
  <si>
    <t>Yearly</t>
  </si>
  <si>
    <t>Factor</t>
  </si>
  <si>
    <t>6M AVG</t>
  </si>
  <si>
    <t>6M Average</t>
  </si>
  <si>
    <t>2024-05-08, 7:00:00 p.m.</t>
  </si>
  <si>
    <t>2024-05-13, 8:00:00 p.m.</t>
  </si>
  <si>
    <t>2024-05-15, 8:00:00 p.m.</t>
  </si>
  <si>
    <t>2024-05-17, 8:00:00 p.m.</t>
  </si>
  <si>
    <t>2024-05-20, 8:00:00 p.m.</t>
  </si>
  <si>
    <t>2024-05-27, 8:00:00 p.m.</t>
  </si>
  <si>
    <t>2024-05-18, 8:00:00 p.m.</t>
  </si>
  <si>
    <t>2024-05-14, 8:00:00 p.m.</t>
  </si>
  <si>
    <t>2024-05-11, 8:00:00 p.m.</t>
  </si>
  <si>
    <t>2024-05-10, 8:00:00 p.m.</t>
  </si>
  <si>
    <t>2024-05-06, 7:00:00 p.m.</t>
  </si>
  <si>
    <t>2024-05-04, 7:00:00 p.m.</t>
  </si>
  <si>
    <t>2024-05-03, 7:00:00 p.m.</t>
  </si>
  <si>
    <t>2024-05-31, 8:00:00 p.m.</t>
  </si>
  <si>
    <t>2024-05-16, 8:00:00 p.m.</t>
  </si>
  <si>
    <t>2024-05-05, 7:00:00 p.m.</t>
  </si>
  <si>
    <t>2024-05-01, 7:00:00 p.m.</t>
  </si>
  <si>
    <t>2024-05-24, 8:00:00 p.m.</t>
  </si>
  <si>
    <t>Transfer,Internal</t>
  </si>
  <si>
    <t>e-Transfer sent Paula</t>
  </si>
  <si>
    <t>e-Transfer sent Manuel</t>
  </si>
  <si>
    <t xml:space="preserve"> Budget</t>
  </si>
  <si>
    <t>Sel Month</t>
  </si>
  <si>
    <t>Montly Spending</t>
  </si>
  <si>
    <t>Total</t>
  </si>
  <si>
    <t>Used</t>
  </si>
  <si>
    <t>Subscription</t>
  </si>
  <si>
    <t>SPL</t>
  </si>
  <si>
    <t>Utilities,Electric</t>
  </si>
  <si>
    <t>Loans,Car</t>
  </si>
  <si>
    <t>Online Banking foreign exchange</t>
  </si>
  <si>
    <t>Income,Salary</t>
  </si>
  <si>
    <t>Insurance,Car</t>
  </si>
  <si>
    <t>Insurance,Home</t>
  </si>
  <si>
    <t>CITY OF TORONTO</t>
  </si>
  <si>
    <t>Utilities,Water</t>
  </si>
  <si>
    <t>Income,Interest</t>
  </si>
  <si>
    <t>A2 HOSTING</t>
  </si>
  <si>
    <t>Business,Advertising</t>
  </si>
  <si>
    <t>Life Insurance</t>
  </si>
  <si>
    <t>Insurance,Life</t>
  </si>
  <si>
    <t>Utilities,Gas</t>
  </si>
  <si>
    <t>hostinger.com</t>
  </si>
  <si>
    <t>Amazon.ca</t>
  </si>
  <si>
    <t>Home,Supplies</t>
  </si>
  <si>
    <t>Discretionary</t>
  </si>
  <si>
    <t>Groceries</t>
  </si>
  <si>
    <t>Income,Tax Refund</t>
  </si>
  <si>
    <t>AUTOMATOS CONSULTING</t>
  </si>
  <si>
    <t>Autodeposit MANUEL RICARDO AVILA</t>
  </si>
  <si>
    <t>Autodeposit PAULA ANDREA AMARILES</t>
  </si>
  <si>
    <t>&lt;0</t>
  </si>
  <si>
    <t>Income,Repayment</t>
  </si>
  <si>
    <t>Ana Maria</t>
  </si>
  <si>
    <t>Lorena</t>
  </si>
  <si>
    <t>Barian</t>
  </si>
  <si>
    <t>David Alexander</t>
  </si>
  <si>
    <t>Bridgeway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</si>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</sst>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&quot;$&quot;#,##0"/>
    <numFmt numFmtId="165" formatCode="_-&quot;$&quot;* #,##0_-;\-&quot;$&quot;* #,##0_-;_-&quot;$&quot;* &quot;-&quot;??_-;_-@_-"/>
    <numFmt numFmtId="166" formatCode="yyyy\ /\ mmmm"/>
    <numFmt numFmtId="167" formatCode="yyyy\ mmm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499984740745262"/>
        <bgColor theme="7" tint="-0.499984740745262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18" fillId="0" borderId="0" xfId="0" applyFont="1"/>
    <xf numFmtId="164" fontId="0" fillId="0" borderId="0" xfId="0" applyNumberFormat="1"/>
    <xf numFmtId="165" fontId="0" fillId="0" borderId="0" xfId="42" applyNumberFormat="1" applyFont="1"/>
    <xf numFmtId="165" fontId="0" fillId="0" borderId="0" xfId="0" applyNumberFormat="1"/>
    <xf numFmtId="0" fontId="0" fillId="0" borderId="0" xfId="0" applyAlignment="1">
      <alignment horizontal="center" wrapText="1"/>
    </xf>
    <xf numFmtId="166" fontId="0" fillId="0" borderId="0" xfId="0" applyNumberFormat="1"/>
    <xf numFmtId="0" fontId="13" fillId="33" borderId="10" xfId="0" applyFont="1" applyFill="1" applyBorder="1" applyAlignment="1">
      <alignment horizontal="center" wrapText="1"/>
    </xf>
    <xf numFmtId="167" fontId="16" fillId="34" borderId="11" xfId="0" applyNumberFormat="1" applyFont="1" applyFill="1" applyBorder="1"/>
    <xf numFmtId="164" fontId="16" fillId="0" borderId="0" xfId="42" applyNumberFormat="1" applyFont="1"/>
    <xf numFmtId="9" fontId="0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ill>
        <patternFill>
          <bgColor theme="7" tint="0.79998168889431442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i val="0"/>
        <color theme="0"/>
      </font>
      <fill>
        <patternFill>
          <bgColor theme="4" tint="-0.2499465926084170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_-&quot;$&quot;* #,##0_-;\-&quot;$&quot;* #,##0_-;_-&quot;$&quot;* &quot;-&quot;??_-;_-@_-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&quot;$&quot;* #,##0_-;\-&quot;$&quot;* #,##0_-;_-&quot;$&quot;* &quot;-&quot;??_-;_-@_-"/>
    </dxf>
    <dxf>
      <numFmt numFmtId="165" formatCode="_-&quot;$&quot;* #,##0_-;\-&quot;$&quot;* #,##0_-;_-&quot;$&quot;* &quot;-&quot;??_-;_-@_-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R Avila" refreshedDate="45438.795122453703" createdVersion="8" refreshedVersion="8" minRefreshableVersion="3" recordCount="501" xr:uid="{5FC5BD91-43B0-466F-80B0-6090B5667A20}">
  <cacheSource type="worksheet">
    <worksheetSource name="Transactions"/>
  </cacheSource>
  <cacheFields count="28">
    <cacheField name="Account ID" numFmtId="0">
      <sharedItems/>
    </cacheField>
    <cacheField name="Action" numFmtId="0">
      <sharedItems/>
    </cacheField>
    <cacheField name="Amount" numFmtId="0">
      <sharedItems containsSemiMixedTypes="0" containsString="0" containsNumber="1" minValue="-7112.06" maxValue="7112.06"/>
    </cacheField>
    <cacheField name="Categories" numFmtId="0">
      <sharedItems/>
    </cacheField>
    <cacheField name="Date" numFmtId="0">
      <sharedItems/>
    </cacheField>
    <cacheField name="ISO Currency Code" numFmtId="0">
      <sharedItems/>
    </cacheField>
    <cacheField name="Merchant Name" numFmtId="0">
      <sharedItems containsBlank="1"/>
    </cacheField>
    <cacheField name="Name" numFmtId="0">
      <sharedItems count="303">
        <s v="Online Banking transfer - 8102"/>
        <s v="Online Banking transfer - 0349"/>
        <s v="e-Transfer sent Manuel CIBC"/>
        <s v="e-Transfer sent Mon Petit Univers"/>
        <s v="e-Transfer sent Paula Amariles"/>
        <s v="Online transfer received - 5342 AUTOMATOS CONSULTING INC."/>
        <s v="Online transfer received - 2148 AUTOMATOS CONSULTING INC."/>
        <s v="Online transfer received - 4899 AUTOMATOS CONSULTING INC."/>
        <s v="Online transfer received - 8625 AUTOMATOS CONSULTING INC."/>
        <s v="e-Transfer sent LaPennaco"/>
        <s v="Online Banking foreign exchange Ref 3WW581121309410"/>
        <s v="Online transfer received - 3041 AUTOMATOS CONSULTING INC."/>
        <s v="Online Banking transfer - 4870"/>
        <s v="Online Banking transfer - 0755"/>
        <s v="Online transfer received - 3234 AUTOMATOS CONSULTING INC."/>
        <s v="Online transfer received - 1411 AUTOMATOS CONSULTING INC."/>
        <s v="Online transfer received - 0616 AUTOMATOS CONSULTING INC."/>
        <s v="Online Banking transfer - 1618"/>
        <s v="Online transfer received - 6932 AUTOMATOS CONSULTING INC."/>
        <s v="Online Banking transfer - 6501"/>
        <s v="Online transfer received - 2887 AUTOMATOS CONSULTING INC."/>
        <s v="Online Banking transfer - 2688"/>
        <s v="Online transfer received - 4351 AUTOMATOS CONSULTING INC."/>
        <s v="Online transfer received - 4127 AUTOMATOS CONSULTING INC."/>
        <s v="Online Banking transfer - 1014"/>
        <s v="Online transfer received - 7277 AUTOMATOS CONSULTING INC."/>
        <s v="Online Banking transfer - 9900"/>
        <s v="Online transfer received - 2054 AUTOMATOS CONSULTING INC."/>
        <s v="Online transfer received - 1611 AUTOMATOS CONSULTING INC."/>
        <s v="Online transfer received - 2847 AUTOMATOS CONSULTING INC."/>
        <s v="e-Transfer sent Ispak Chowdrury"/>
        <s v="Online Banking foreign exchange Ref 3WW071521104430"/>
        <s v="Online Banking transfer - 4095"/>
        <s v="Online Banking foreign exchange Ref 3WW891601318070"/>
        <s v="Online transfer received - 3221 AUTOMATOS CONSULTING INC."/>
        <s v="Online transfer received - 9162 AUTOMATOS CONSULTING INC."/>
        <s v="Online transfer received - 4483 AUTOMATOS CONSULTING INC."/>
        <s v="Online transfer received - 1408 AUTOMATOS CONSULTING INC."/>
        <s v="Online Banking transfer - 3793"/>
        <s v="Online transfer received - 6740 AUTOMATOS CONSULTING INC."/>
        <s v="Online transfer received - 8332 AUTOMATOS CONSULTING INC."/>
        <s v="Online transfer received - 0365 AUTOMATOS CONSULTING INC."/>
        <s v="Online transfer received - 5585 AUTOMATOS CONSULTING INC."/>
        <s v="Online Banking transfer - 5619"/>
        <s v="Online Banking transfer - 6093"/>
        <s v="Online transfer received - 8597 AUTOMATOS CONSULTING INC."/>
        <s v="Online transfer received - 6105 AUTOMATOS CONSULTING INC."/>
        <s v="Online transfer received - 1258"/>
        <s v="Online transfer received - 1026 AUTOMATOS CONSULTING INC."/>
        <s v="e-Transfer - Autodeposit MANUEL RICARDO AVILA RINCON"/>
        <s v="Online Banking transfer - 2606"/>
        <s v="Online Banking transfer - 6834"/>
        <s v="e-Transfer received Newton"/>
        <s v="Online Banking transfer - 9800"/>
        <s v="Online transfer received - 9448 AUTOMATOS CONSULTING INC."/>
        <s v="Online Banking transfer - 9138"/>
        <s v="Online transfer received - 8990 AUTOMATOS CONSULTING INC."/>
        <s v="Online transfer received - 1786 AUTOMATOS CONSULTING INC."/>
        <s v="Online transfer received - 0067 AUTOMATOS CONSULTING INC."/>
        <s v="Online Banking transfer - 7875"/>
        <s v="Online transfer received - 9728 AUTOMATOS CONSULTING INC."/>
        <s v="Online transfer received - 4485 AUTOMATOS CONSULTING INC."/>
        <s v="Online transfer received - 3007 AUTOMATOS CONSULTING INC."/>
        <s v="Online transfer received - 8737 AUTOMATOS CONSULTING INC."/>
        <s v="Online Banking transfer - 5392"/>
        <s v="Online Banking transfer - 4993"/>
        <s v="e-Transfer - Autodeposit PAULA ANDREA AMARILES RESTREPO"/>
        <s v="Online transfer received - 3680 AUTOMATOS CONSULTING INC."/>
        <s v="Online Banking transfer - 5395"/>
        <s v="e-Transfer sent Manuel Avila TD"/>
        <s v="Deposit interest"/>
        <s v="Online Banking transfer - 6079"/>
        <s v="Online Banking transfer - 1690"/>
        <s v="e-Transfer - Autodeposit Diana Lorena Cortes Rodriguez"/>
        <s v="Online Banking transfer - 4649"/>
        <s v="Online Banking transfer - 3777"/>
        <s v="Online Banking transfer - 8989"/>
        <s v="Online Banking transfer - 0011"/>
        <s v="Online Banking transfer - 3688"/>
        <s v="Online Banking foreign exchange Ref 3WW632771354390"/>
        <s v="Online Banking transfer - 5090"/>
        <s v="e-Transfer received ANA MARIA AVILA AMAYA"/>
        <s v="Online Banking transfer - 4485"/>
        <s v="Online Banking transfer - 5680"/>
        <s v="Online Banking transfer - 4435"/>
        <s v="Online Banking transfer - 2083"/>
        <s v="e-Transfer - Autodeposit PAULA ANDREA AMARILES RESTREPO CAY8sb9R"/>
        <s v="Online Banking transfer - 2738"/>
        <s v="e-Transfer - Autodeposit MANUEL RICARDO AVILA RINCON 0cd2f6fe66f64dd0aa925f05884d5a3f"/>
        <s v="Online Banking transfer - 2432"/>
        <s v="e-Transfer - Autodeposit Barian CAmhqnQ5"/>
        <s v="Online Banking transfer - 8644"/>
        <s v="Online Banking foreign exchange Ref 3WW653411143220"/>
        <s v="Online Banking transfer - 0154"/>
        <s v="e-Transfer - Autodeposit PAULA ANDREA AMARILES RESTREPO CAxxC563"/>
        <s v="e-Transfer - Autodeposit Diana Lorena Cortes Rodriguez CAjjxUg8"/>
        <s v="Online Banking transfer - 6257"/>
        <s v="e-Transfer - Autodeposit MANUEL RICARDO AVILA RINCON 866df5c0e6a443668856d0934814b60a"/>
        <s v="Online Banking transfer - 5187"/>
        <s v="e-Transfer - Autodeposit Barian CAUP5qeB"/>
        <s v="Online Banking foreign exchange Ref 3WW730011116110"/>
        <s v="e-Transfer - Autodeposit Diana Lorena Cortes Rodriguez CAPRWreS"/>
        <s v="Online Banking transfer - 2728"/>
        <s v="e-Transfer sent Gineth"/>
        <s v="Online Banking foreign exchange Ref 3WW940121534520"/>
        <s v="Online Banking transfer - 0982"/>
        <s v="e-Transfer - Autodeposit MANUEL RICARDO AVILA RINCON 10079616303949588b53bdb2d84ee2d2"/>
        <s v="e-Transfer - Autodeposit Diana Lorena Cortes Rodriguez CAfVTsBs"/>
        <s v="Online Banking transfer - 0080"/>
        <s v="Online Banking transfer - 9066"/>
        <s v="e-Transfer - Autodeposit MANUEL RICARDO AVILA RINCON 9db7c125b8754c2194260a0d5da219be"/>
        <s v="e-Transfer sent MANUEL RICARDO AVILA RINCON GXYSZW"/>
        <s v="Online transfer received - 0285 AUTOMATOS CONSULTING INC."/>
        <s v="Online Banking transfer - 4629"/>
        <s v="e-Transfer - Autodeposit MANUEL RICARDO AVILA RINCON fdb6f95792c54a589301ad2474056ceb"/>
        <s v="Online Banking transfer - 4731"/>
        <s v="e-Transfer - Autodeposit MANUEL RICARDO AVILA RINCON ce538d3d597a45e29ccef43baa8fdd0e"/>
        <s v="e-Transfer - Autodeposit MANUEL RICARDO AVILA RINCON 865e74ad09d14894bf88a52e952d9abd"/>
        <s v="Online Banking transfer - 1200"/>
        <s v="Online Banking transfer - 0315"/>
        <s v="e-Transfer - Autodeposit MANUEL RICARDO AVILA RINCON 8eb3f1cf86714730b60c6d2ce1730172"/>
        <s v="Online Banking transfer - 5233"/>
        <s v="e-Transfer - Autodeposit MANUEL RICARDO AVILA RINCON 828b28a5fccf4142b249a0b4f882cf2c"/>
        <s v="e-Transfer - Autodeposit PAULA ANDREA AMARILES RESTREPO C1AXmQRfsEmn"/>
        <s v="Online Banking foreign exchange Ref 3WW771732107150"/>
        <s v="e-Transfer - Autodeposit MANUEL RICARDO AVILA RINCON eaa3ceb1e76c409988d43f1754874929"/>
        <s v="Online Banking transfer - 6496"/>
        <s v="e-Transfer - Autodeposit MANUEL RICARDO AVILA RINCON 596ca157048b42dcb206a8d23b06aaa6"/>
        <s v="Online Banking transfer - 7034"/>
        <s v="e-Transfer - Autodeposit MANUEL RICARDO AVILA RINCON f03b9bd35860454292419f3195a316bc"/>
        <s v="Online Banking transfer - 6109"/>
        <s v="e-Transfer - Autodeposit PAULA ANDREA AMARILES RESTREPO C1AsY8XfTBkh"/>
        <s v="Online Banking foreign exchange Ref 3WW812401442430"/>
        <s v="e-Transfer - Autodeposit PAULA ANDREA AMARILES RESTREPO C1A7TDReBgnm"/>
        <s v="Misc Payment PAYPAL"/>
        <s v="e-Transfer - Autodeposit PAULA ANDREA AMARILES RESTREPO C1A53JMEBquV"/>
        <s v="e-Transfer - Autodeposit PAULA ANDREA AMARILES RESTREPO C1Avy9FkM43a"/>
        <s v="Utility Bill Pmt Enbridge Gas"/>
        <s v="Online Banking payment - 0118 AMEX REGULAR"/>
        <s v="e-Transfer - Autodeposit PAULA ANDREA AMARILES RESTREPO C1AXk5zvYCur"/>
        <s v="Online Banking transfer - 8029"/>
        <s v="e-Transfer - Autodeposit PAULA ANDREA AMARILES RESTREPO C1AhjycnZYz8"/>
        <s v="e-Transfer cancel"/>
        <s v="e-Transfer - Autodeposit Diana Lorena Cortes Rodriguez CADZ6cqj"/>
        <s v="e-Transfer - Autodeposit Diana Lorena Cortes Rodriguez CAUWec86"/>
        <s v="e-Transfer received David Alexander Garcia Hernandez CAfbjksk"/>
        <s v="Online Banking foreign exchange Ref 3WW342761132220"/>
        <s v="Personal Loan SPL"/>
        <s v="Online Banking transfer - 8082"/>
        <s v="Misc Payment Google LLC"/>
        <s v="e-Transfer - Autodeposit PAULA ANDREA AMARILES RESTREPO C1AC5Xj8dmVa"/>
        <s v="e-Transfer sent Costumes YCUP3R"/>
        <s v="Hydro Bill Pmt TORONTO HYDRO"/>
        <s v="e-Transfer sent Paula Amariles UAG3ZY"/>
        <s v="Climate Action Incentive CANADA"/>
        <s v="Misc Payment AMEX BILL PYMT"/>
        <s v="Insurance BELAIR INS/ASS."/>
        <s v="Life Insurance Foresters Life"/>
        <s v="e-Transfer - Autodeposit Ana Maria Avila Amaya C1ANs4zF4x4x"/>
        <s v="Online Banking foreign exchange Ref 3WW882862139100"/>
        <s v="Overdraft interest"/>
        <s v="e-Transfer sent Mina Morshed"/>
        <s v="Online Banking transfer - 6133"/>
        <s v="e-Transfer - Autodeposit PAULA ANDREA AMARILES RESTREPO C1AA8phgk9NF"/>
        <s v="e-Transfer sent Childcraft TKEJWD"/>
        <s v="e-Transfer - Autodeposit PAULA ANDREA AMARILES RESTREPO C1Ac22cpjPaj"/>
        <s v="Online transfer sent - 3876 Automatos Consulting"/>
        <s v="Misc Payment EBAY CANADA LTD"/>
        <s v="Misc Payment EBAY COMMERCE C"/>
        <s v="e-Transfer sent PAULA ANDREA AMARILES RESTREPO 278R32"/>
        <s v="e-Transfer sent Bridgeway 5RVK4S"/>
        <s v="e-Transfer sent Manuel Avila TD QKE8DT"/>
        <s v="e-Transfer - Autodeposit David Alexander Garcia Hernandez C1AGNfrBdtnD"/>
        <s v="e-Transfer - Autodeposit DIANA-LORENA CORTES-RODRIGUEZ C1AgwHkSqHbk"/>
        <s v="Online Banking transfer - 0802"/>
        <s v="e-Transfer sent Manuel CIBC ZX426H"/>
        <s v="Telephone Banking transfer Ref 091863135650660"/>
        <s v="e-Transfer sent Paula Amariles ZV9JKJ"/>
        <s v="e-Transfer - Autodeposit PAULA ANDREA AMARILES RESTREPO C1Ax3MvEyCUy"/>
        <s v="e-Transfer - Autodeposit PAULA ANDREA AMARILES RESTREPO C1AqXRXuHyNB"/>
        <s v="Online transfer received - 9143 AUTOMATOS CONSULTING INC."/>
        <s v="Online transfer received - 2633 AUTOMATOS CONSULTING INC."/>
        <s v="Funds transfer fee TT 1/THE GLOBAL"/>
        <s v="Funds transfer credit TT 1/THE GLOBAL"/>
        <s v="e-Transfer - Autodeposit David Alexander Garcia Hernandez C1AdpfCQkAdc"/>
        <s v="e-Transfer sent MANUEL RICARDO AVILA RINCON MRZYTE"/>
        <s v="e-Transfer sent Bridgeway GWV7K2"/>
        <s v="e-Transfer sent Dave BTBECY"/>
        <s v="e-Transfer - Autodeposit DIANA-LORENA CORTES-RODRIGUEZ C1AWrf2C5XsJ"/>
        <s v="e-Transfer sent Paula Amariles 8X7NYZ"/>
        <s v="Online Banking payment - 0336 CITY OF TORONTO"/>
        <s v="Online transfer received - 1425 AUTOMATOS CONSULTING INC."/>
        <s v="Online Banking transfer - 5682"/>
        <s v="e-Transfer sent Manuel Ricardo Avila Rincon GRAWRJ"/>
        <s v="Online Banking payment - 3127 QUESTRADE"/>
        <s v="e-Transfer sent David COLOCAR SF5MHE"/>
        <s v="Online transfer received - 5204 AUTOMATOS CONSULTING INC."/>
        <s v="e-Transfer - Autodeposit Ana Maria Avila Amaya C1AaVZ2Q6USQ"/>
        <s v="e-Transfer sent MANUEL RICARDO AVILA RINCON JCY9HZ"/>
        <s v="e-Transfer - Autodeposit MANUEL RICARDO AVILA RINCON C1AuTjG2u4Ef"/>
        <s v="Online Banking foreign exchange Ref 3WW773521438230"/>
        <s v="Online transfer received - 6439 AUTOMATOS CONSULTING INC."/>
        <s v="Online Banking transfer - 0179"/>
        <s v="e-Transfer sent Gineth W36CEW"/>
        <s v="e-Transfer - Autodeposit David Alexander Garcia Hernandez C1Ab2WHFeaFg"/>
        <s v="e-Transfer sent Dr Mersal 8Y6EBU"/>
        <s v="e-Transfer - Autodeposit DIANA-LORENA CORTES-RODRIGUEZ C1AR3thjcnF3"/>
        <s v="e-Transfer sent Bridgeway ULALS8"/>
        <s v="e-Transfer - Autodeposit PAULA ANDREA AMARILES RESTREPO C1AyRUXy9Kuw"/>
        <s v="Deposit"/>
        <s v="Online Banking transfer - 6332"/>
        <s v="e-Transfer sent Brendan 5P5JXR"/>
        <s v="Federal Climate Incentive CANADA"/>
        <s v="Online Banking foreign exchange Ref 3WW020161851260"/>
        <s v="e-Transfer sent MANUEL RICARDO AVILA RINCON 2VWXWY"/>
        <s v="Online transfer received - 0432 AUTOMATOS CONSULTING INC."/>
        <s v="e-Transfer sent Paula Amariles 7LZW59"/>
        <s v="e-Transfer - Autodeposit David Alexander Garcia Hernandez C1A9Q2gKph7g"/>
        <s v="e-Transfer sent Bridgeway U5DRE3"/>
        <s v="e-Transfer - Autodeposit DIANA-LORENA CORTES-RODRIGUEZ C1AEhsxepKnN"/>
        <s v="Online transfer received - 8925 AUTOMATOS CONSULTING INC."/>
        <s v="Online Banking transfer - 6378"/>
        <s v="CHEDRAUI POLANCO MEXICO DF DF 177.00 MXN @ .081000000000"/>
        <s v="CHEDRAUI POLANCO MEXICO DF DF 2889.38 MXN @ .080900000000"/>
        <s v="ANAM AICM T1 SALA E CIUDAD DE MEXDF 2484.00 MXN @ .081000000000"/>
        <s v="UBR* PENDING.UBER.COM AMSTERDAM NH 49.98 MXN @ .080800000000"/>
        <s v="ENVIAYA 4029357733 ON"/>
        <s v="Amazon"/>
        <s v="PHARMAOPORT MEX MEXICO DF DF 136.00 MXN @ .081500000000"/>
        <s v="UBR* PENDING.UBER.COM AMSTERDAM NH 49.98 MXN @ .081400000000"/>
        <s v="THE NEW YORK TIMES"/>
        <s v="EL PALACIO HIERRO POLA CIUDAD DE MEX000 460.80 MXN @ .081100000000"/>
        <s v="ZTL*BALLENARECORDS CIUDAD DE MEX 3030.00 MXN @ .081100000000"/>
        <s v="UBR* PENDING.UBER.COM AMSTERDAM NH 59.91 MXN @ .081100000000"/>
        <s v="Online Banking foreign exchange Ref 3WW730451634460"/>
        <s v="e-Transfer sent MANUEL RICARDO AVILA RINCON KPGBNJ"/>
        <s v="Online Banking transfer - 4038"/>
        <s v="PAYMENT - THANK YOU / PAIEMENT - MERCI"/>
        <s v="Service Charge MONTHLY FEES"/>
        <s v="McDonald's"/>
        <s v="PRESTO FARE/5DK5NJLFVD Scarborough ON"/>
        <s v="CASHEW AND CLIVE TORONTO ON"/>
        <s v="Tim Hortons"/>
        <s v="PRESTO FARE/5DK56LDNGG Scarborough ON"/>
        <s v="Credit Memo SERVICE FEE REVERSAL"/>
        <s v="PRESTO FARE/5DKJGH8ZSD Scarborough ON"/>
        <s v="e-Transfer sent MANUEL RICARDO AVILA RINCON ZUMCK6"/>
        <s v="Online transfer received - 7922 AUTOMATOS CONSULTING INC."/>
        <s v="Customer Transfer Dr. PC TO 364269488692"/>
        <s v="DEPOSIT FREE INTERAC E-TRANSFER"/>
        <s v="Online transfer received - 3747 AUTOMATOS CONSULTING INC."/>
        <s v="e-Transfer sent JULIA GINETH AVILA RINCON VQQCX9"/>
        <s v="e-Transfer sent MANUEL RICARDO AVILA RINCON HTXRPR"/>
        <s v="A2 HOSTING 4029357733"/>
        <s v="Online transfer received - 5500 AUTOMATOS CONSULTING INC."/>
        <s v="e-Transfer sent Manuel Scotia 6FRJDJ"/>
        <s v="PRESTO FARE/5DM217ZLBP Scarborough ON"/>
        <s v="e-Transfer - Autodeposit DIANA-LORENA CORTES-RODRIGUEZ C1AeyqcAwAY8"/>
        <s v="e-Transfer sent BridgewayPM CSX6RS"/>
        <s v="e-Transfer - Autodeposit PAULA ANDREA AMARILES RESTREPO C1AZcrCh5Cqv"/>
        <s v="Online transfer received - 9549 AUTOMATOS CONSULTING INC."/>
        <s v="e-Transfer - Autodeposit David Alexander Garcia Hernandez C1Aj6xNcxRRS"/>
        <s v="CHATGPT SUBSCRIPTION SAN FRANCISCOCA 20.00 USD @ 1.394500000000"/>
        <s v="e-Transfer sent Paula Amariles 3WTSU2"/>
        <s v="e-Transfer - Autodeposit DIANA-LORENA CORTES-RODRIGUEZ C1APqftRzbMZ"/>
        <s v="Online transfer received - 1589 AUTOMATOS CONSULTING INC."/>
        <s v="e-Transfer sent PAULA ANDREA AMARILES RESTREPO ZA5Z6C"/>
        <s v="hostinger.com Larnaka 8.99 USD @ 1.381500000000"/>
        <s v="Online Banking transfer - 6670"/>
        <s v="e-Transfer sent Manuel Scotia 3ELQ4B"/>
        <s v="e-Transfer sent Mina Morshed 6PXZ6B"/>
        <s v="Online transfer received - 9796 AUTOMATOS CONSULTING INC."/>
        <s v="e-Transfer sent Manuel CIBC HLHFWC"/>
        <s v="Online Banking foreign exchange Ref 3WW820721615550"/>
        <s v="PRESTO FARE/5D7DJHRK9P Scarborough ON"/>
        <s v="Online transfer received - 3470 AUTOMATOS CONSULTING INC."/>
        <s v="e-Transfer sent Manuel Scotia Y6YQTD"/>
        <s v="Online transfer received - 1706 AUTOMATOS CONSULTING INC."/>
        <s v="e-Transfer sent Jessica Méndez TP4Z55"/>
        <s v="Customer Transfer Cr. MB-TRANSFER"/>
        <s v="e-Transfer - Autodeposit David Alexander Garcia Hernandez C1ATTZR9a4V6"/>
        <s v="Online transfer received - 1708 AUTOMATOS CONSULTING INC."/>
        <s v="e-Transfer sent Manuel Scotia FLLCQ9"/>
        <s v="Tax Refund CANADA"/>
        <s v="PAD CCRA CANADA"/>
        <s v="Online transfer received - 9772 AUTOMATOS CONSULTING INC."/>
        <s v="e-Transfer - Autodeposit DIANA-LORENA CORTES-RODRIGUEZ C1AHADpCEhjC"/>
        <s v="e-Transfer sent Bridgeway RD9WMK"/>
        <s v="e-Transfer sent Jessica Méndez 5V8BGE"/>
        <s v="e-Transfer - Autodeposit Ana Maria Avila Amaya C1A8ej3wMDEZ"/>
        <s v="Online transfer received - 7267"/>
        <s v="e-Transfer sent Jessica Méndez RLTQVP"/>
        <s v="Online Banking transfer - 0925"/>
        <s v="Online Banking payment - 6719 VISA - CIBC"/>
        <s v="Online transfer received - 5634 AUTOMATOS CONSULTING INC."/>
        <s v="e-Transfer sent PAULA ANDREA AMARILES RESTREPO 7QD6Y9"/>
        <s v="Online transfer received - 6689 AUTOMATOS CONSULTING INC."/>
        <s v="Amazon.ca*8S2IQ66G3 AMAZON.CA ON"/>
        <s v="e-Transfer sent MANUEL RICARDO AVILA RINCON UWL6YL" u="1"/>
        <s v="Online Banking transfer - 8831" u="1"/>
        <s v="e-Transfer sent Manuel CIBC EC8XRS" u="1"/>
        <s v="Online Banking transfer - 4244" u="1"/>
        <s v="Online transfer received - 5415 AUTOMATOS CONSULTING INC." u="1"/>
      </sharedItems>
    </cacheField>
    <cacheField name="Payment Channel" numFmtId="0">
      <sharedItems/>
    </cacheField>
    <cacheField name="Pending" numFmtId="0">
      <sharedItems/>
    </cacheField>
    <cacheField name="Transaction ID" numFmtId="0">
      <sharedItems/>
    </cacheField>
    <cacheField name="Account Name" numFmtId="0">
      <sharedItems/>
    </cacheField>
    <cacheField name="Bank" numFmtId="0">
      <sharedItems/>
    </cacheField>
    <cacheField name="Operation" numFmtId="0">
      <sharedItems/>
    </cacheField>
    <cacheField name="Custom Category" numFmtId="0">
      <sharedItems containsMixedTypes="1" containsNumber="1" containsInteger="1" minValue="0" maxValue="0" count="28">
        <s v="Transfer, Debit"/>
        <s v="Transfer,Internal"/>
        <s v="Income,Salary"/>
        <s v="Transfer, Credit"/>
        <s v="Income,Interest"/>
        <s v="Income,Repayment"/>
        <s v="Utilities,Gas"/>
        <s v="Loans,Car"/>
        <s v="Utilities,Electric"/>
        <s v="Transfer, Payroll, Benefits"/>
        <s v="Insurance,Car"/>
        <s v="Insurance,Life"/>
        <s v="Insurance,Home"/>
        <s v="Bank Fees"/>
        <s v="Rent"/>
        <s v="Utilities,Water"/>
        <s v="Transfer, Deposit"/>
        <s v="Groceries"/>
        <s v="Food and Drink, Restaurants"/>
        <s v="Travel, Car Service, Ride Share"/>
        <s v="Transfer, Third Party, PayPal"/>
        <s v="Home,Supplies"/>
        <s v="Subscriptions"/>
        <s v="Travel, Public Transportation Services"/>
        <s v="Discretionary"/>
        <s v="Business,Advertising"/>
        <s v="Income,Tax Refund"/>
        <n v="0" u="1"/>
      </sharedItems>
    </cacheField>
    <cacheField name="Datetime" numFmtId="14">
      <sharedItems containsSemiMixedTypes="0" containsNonDate="0" containsDate="1" containsString="0" minDate="2022-04-03T00:00:00" maxDate="2024-06-01T00:00:00" count="204">
        <d v="2022-04-03T00:00:00"/>
        <d v="2022-04-13T00:00:00"/>
        <d v="2022-04-21T00:00:00"/>
        <d v="2022-04-28T00:00:00"/>
        <d v="2022-05-01T00:00:00"/>
        <d v="2022-05-02T00:00:00"/>
        <d v="2022-05-12T00:00:00"/>
        <d v="2022-05-15T00:00:00"/>
        <d v="2022-05-26T00:00:00"/>
        <d v="2022-05-29T00:00:00"/>
        <d v="2022-05-31T00:00:00"/>
        <d v="2022-06-08T00:00:00"/>
        <d v="2022-06-09T00:00:00"/>
        <d v="2022-06-12T00:00:00"/>
        <d v="2022-06-23T00:00:00"/>
        <d v="2022-06-26T00:00:00"/>
        <d v="2022-07-10T00:00:00"/>
        <d v="2022-07-13T00:00:00"/>
        <d v="2022-07-14T00:00:00"/>
        <d v="2022-07-17T00:00:00"/>
        <d v="2022-07-21T00:00:00"/>
        <d v="2022-07-24T00:00:00"/>
        <d v="2022-07-25T00:00:00"/>
        <d v="2022-07-28T00:00:00"/>
        <d v="2022-07-31T00:00:00"/>
        <d v="2022-08-07T00:00:00"/>
        <d v="2022-08-08T00:00:00"/>
        <d v="2022-08-14T00:00:00"/>
        <d v="2022-08-15T00:00:00"/>
        <d v="2022-08-18T00:00:00"/>
        <d v="2022-08-21T00:00:00"/>
        <d v="2022-08-24T00:00:00"/>
        <d v="2022-08-31T00:00:00"/>
        <d v="2022-09-05T00:00:00"/>
        <d v="2022-09-07T00:00:00"/>
        <d v="2022-09-11T00:00:00"/>
        <d v="2022-09-14T00:00:00"/>
        <d v="2022-09-18T00:00:00"/>
        <d v="2022-09-19T00:00:00"/>
        <d v="2022-09-22T00:00:00"/>
        <d v="2022-09-28T00:00:00"/>
        <d v="2022-10-02T00:00:00"/>
        <d v="2022-10-03T00:00:00"/>
        <d v="2022-10-04T00:00:00"/>
        <d v="2022-10-10T00:00:00"/>
        <d v="2022-10-11T00:00:00"/>
        <d v="2022-10-12T00:00:00"/>
        <d v="2022-10-13T00:00:00"/>
        <d v="2022-10-16T00:00:00"/>
        <d v="2022-10-20T00:00:00"/>
        <d v="2022-10-30T00:00:00"/>
        <d v="2022-10-31T00:00:00"/>
        <d v="2022-11-01T00:00:00"/>
        <d v="2022-11-20T00:00:00"/>
        <d v="2022-11-27T00:00:00"/>
        <d v="2022-11-30T00:00:00"/>
        <d v="2022-12-06T00:00:00"/>
        <d v="2022-12-12T00:00:00"/>
        <d v="2022-12-18T00:00:00"/>
        <d v="2022-12-22T00:00:00"/>
        <d v="2023-01-02T00:00:00"/>
        <d v="2023-01-05T00:00:00"/>
        <d v="2023-01-08T00:00:00"/>
        <d v="2023-01-11T00:00:00"/>
        <d v="2023-01-18T00:00:00"/>
        <d v="2023-01-22T00:00:00"/>
        <d v="2023-02-13T00:00:00"/>
        <d v="2023-02-21T00:00:00"/>
        <d v="2023-03-01T00:00:00"/>
        <d v="2023-03-22T00:00:00"/>
        <d v="2023-04-16T00:00:00"/>
        <d v="2023-05-22T00:00:00"/>
        <d v="2023-05-23T00:00:00"/>
        <d v="2023-06-11T00:00:00"/>
        <d v="2023-06-20T00:00:00"/>
        <d v="2023-06-21T00:00:00"/>
        <d v="2023-07-19T00:00:00"/>
        <d v="2023-08-09T00:00:00"/>
        <d v="2023-08-13T00:00:00"/>
        <d v="2023-08-27T00:00:00"/>
        <d v="2023-09-05T00:00:00"/>
        <d v="2023-09-07T00:00:00"/>
        <d v="2023-09-10T00:00:00"/>
        <d v="2023-09-11T00:00:00"/>
        <d v="2023-09-12T00:00:00"/>
        <d v="2023-09-17T00:00:00"/>
        <d v="2023-09-18T00:00:00"/>
        <d v="2023-09-20T00:00:00"/>
        <d v="2023-09-28T00:00:00"/>
        <d v="2023-10-02T00:00:00"/>
        <d v="2023-10-05T00:00:00"/>
        <d v="2023-10-09T00:00:00"/>
        <d v="2023-10-10T00:00:00"/>
        <d v="2023-10-11T00:00:00"/>
        <d v="2023-10-12T00:00:00"/>
        <d v="2023-10-15T00:00:00"/>
        <d v="2023-10-16T00:00:00"/>
        <d v="2023-10-18T00:00:00"/>
        <d v="2023-10-19T00:00:00"/>
        <d v="2023-10-22T00:00:00"/>
        <d v="2023-10-24T00:00:00"/>
        <d v="2023-10-29T00:00:00"/>
        <d v="2023-10-31T00:00:00"/>
        <d v="2023-11-02T00:00:00"/>
        <d v="2023-11-08T00:00:00"/>
        <d v="2023-11-13T00:00:00"/>
        <d v="2023-11-14T00:00:00"/>
        <d v="2023-11-15T00:00:00"/>
        <d v="2023-11-16T00:00:00"/>
        <d v="2023-11-19T00:00:00"/>
        <d v="2023-11-20T00:00:00"/>
        <d v="2023-11-22T00:00:00"/>
        <d v="2023-11-28T00:00:00"/>
        <d v="2023-11-29T00:00:00"/>
        <d v="2023-11-30T00:00:00"/>
        <d v="2023-12-04T00:00:00"/>
        <d v="2023-12-05T00:00:00"/>
        <d v="2023-12-06T00:00:00"/>
        <d v="2023-12-07T00:00:00"/>
        <d v="2023-12-10T00:00:00"/>
        <d v="2023-12-11T00:00:00"/>
        <d v="2023-12-12T00:00:00"/>
        <d v="2023-12-13T00:00:00"/>
        <d v="2023-12-14T00:00:00"/>
        <d v="2023-12-17T00:00:00"/>
        <d v="2023-12-18T00:00:00"/>
        <d v="2023-12-26T00:00:00"/>
        <d v="2023-12-28T00:00:00"/>
        <d v="2024-01-01T00:00:00"/>
        <d v="2024-01-07T00:00:00"/>
        <d v="2024-01-08T00:00:00"/>
        <d v="2024-01-11T00:00:00"/>
        <d v="2024-01-14T00:00:00"/>
        <d v="2024-01-15T00:00:00"/>
        <d v="2024-01-16T00:00:00"/>
        <d v="2024-01-17T00:00:00"/>
        <d v="2024-01-18T00:00:00"/>
        <d v="2024-01-22T00:00:00"/>
        <d v="2024-01-28T00:00:00"/>
        <d v="2024-01-31T00:00:00"/>
        <d v="2024-02-01T00:00:00"/>
        <d v="2024-02-04T00:00:00"/>
        <d v="2024-02-05T00:00:00"/>
        <d v="2024-02-06T00:00:00"/>
        <d v="2024-02-08T00:00:00"/>
        <d v="2024-02-11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7T00:00:00"/>
        <d v="2024-02-29T00:00:00"/>
        <d v="2024-03-01T00:00:00"/>
        <d v="2024-03-03T00:00:00"/>
        <d v="2024-03-04T00:00:00"/>
        <d v="2024-03-05T00:00:00"/>
        <d v="2024-03-06T00:00:00"/>
        <d v="2024-03-08T00:00:00"/>
        <d v="2024-03-10T00:00:00"/>
        <d v="2024-03-11T00:00:00"/>
        <d v="2024-03-13T00:00:00"/>
        <d v="2024-03-14T00:00:00"/>
        <d v="2024-03-15T00:00:00"/>
        <d v="2024-03-16T00:00:00"/>
        <d v="2024-03-17T00:00:00"/>
        <d v="2024-03-18T00:00:00"/>
        <d v="2024-03-20T00:00:00"/>
        <d v="2024-03-24T00:00:00"/>
        <d v="2024-03-27T00:00:00"/>
        <d v="2024-03-31T00:00:00"/>
        <d v="2024-04-02T00:00:00"/>
        <d v="2024-04-04T00:00:00"/>
        <d v="2024-04-07T00:00:00"/>
        <d v="2024-04-08T00:00:00"/>
        <d v="2024-04-09T00:00:00"/>
        <d v="2024-04-10T00:00:00"/>
        <d v="2024-04-11T00:00:00"/>
        <d v="2024-05-01T00:00:00"/>
        <d v="2024-05-03T00:00:00"/>
        <d v="2024-05-04T00:00:00"/>
        <d v="2024-05-05T00:00:00"/>
        <d v="2024-05-06T00:00:00"/>
        <d v="2024-05-08T00:00:00"/>
        <d v="2024-05-10T00:00:00"/>
        <d v="2024-05-11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4T00:00:00"/>
        <d v="2024-05-27T00:00:00"/>
        <d v="2024-05-31T00:00:00"/>
      </sharedItems>
      <fieldGroup par="24"/>
    </cacheField>
    <cacheField name="Month" numFmtId="14">
      <sharedItems containsSemiMixedTypes="0" containsNonDate="0" containsDate="1" containsString="0" minDate="2022-04-01T00:00:00" maxDate="2024-05-02T00:00:00" count="26"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  <fieldGroup par="27"/>
    </cacheField>
    <cacheField name="Recent" numFmtId="0">
      <sharedItems/>
    </cacheField>
    <cacheField name="6M AVG" numFmtId="165">
      <sharedItems containsSemiMixedTypes="0" containsString="0" containsNumber="1" minValue="-18125.097037037034" maxValue="14532.989714285719"/>
    </cacheField>
    <cacheField name="Month's Total" numFmtId="0">
      <sharedItems containsSemiMixedTypes="0" containsString="0" containsNumber="1" minValue="-22459.99" maxValue="25434.52"/>
    </cacheField>
    <cacheField name="Budget" numFmtId="0">
      <sharedItems containsSemiMixedTypes="0" containsString="0" containsNumber="1" minValue="-18125.097037037034" maxValue="14532.989714285719"/>
    </cacheField>
    <cacheField name="Sel Month" numFmtId="0">
      <sharedItems containsSemiMixedTypes="0" containsString="0" containsNumber="1" minValue="-7112.06" maxValue="7112.06"/>
    </cacheField>
    <cacheField name="Months (Datetime)" numFmtId="0" databaseField="0">
      <fieldGroup base="15">
        <rangePr groupBy="months" startDate="2022-04-03T00:00:00" endDate="2024-06-01T00:00:00"/>
        <groupItems count="14">
          <s v="&lt;2022-04-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06-01"/>
        </groupItems>
      </fieldGroup>
    </cacheField>
    <cacheField name="Quarters (Datetime)" numFmtId="0" databaseField="0">
      <fieldGroup base="15">
        <rangePr groupBy="quarters" startDate="2022-04-03T00:00:00" endDate="2024-06-01T00:00:00"/>
        <groupItems count="6">
          <s v="&lt;2022-04-03"/>
          <s v="Qtr1"/>
          <s v="Qtr2"/>
          <s v="Qtr3"/>
          <s v="Qtr4"/>
          <s v="&gt;2024-06-01"/>
        </groupItems>
      </fieldGroup>
    </cacheField>
    <cacheField name="Years (Datetime)" numFmtId="0" databaseField="0">
      <fieldGroup base="15">
        <rangePr groupBy="years" startDate="2022-04-03T00:00:00" endDate="2024-06-01T00:00:00"/>
        <groupItems count="5">
          <s v="&lt;2022-04-03"/>
          <s v="2022"/>
          <s v="2023"/>
          <s v="2024"/>
          <s v="&gt;2024-06-01"/>
        </groupItems>
      </fieldGroup>
    </cacheField>
    <cacheField name="Months (Month)" numFmtId="0" databaseField="0">
      <fieldGroup base="16">
        <rangePr groupBy="months" startDate="2022-04-01T00:00:00" endDate="2024-05-02T00:00:00"/>
        <groupItems count="14">
          <s v="&lt;2022-04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05-02"/>
        </groupItems>
      </fieldGroup>
    </cacheField>
    <cacheField name="Quarters (Month)" numFmtId="0" databaseField="0">
      <fieldGroup base="16">
        <rangePr groupBy="quarters" startDate="2022-04-01T00:00:00" endDate="2024-05-02T00:00:00"/>
        <groupItems count="6">
          <s v="&lt;2022-04-01"/>
          <s v="Qtr1"/>
          <s v="Qtr2"/>
          <s v="Qtr3"/>
          <s v="Qtr4"/>
          <s v="&gt;2024-05-02"/>
        </groupItems>
      </fieldGroup>
    </cacheField>
    <cacheField name="Years (Month)" numFmtId="0" databaseField="0">
      <fieldGroup base="16">
        <rangePr groupBy="years" startDate="2022-04-01T00:00:00" endDate="2024-05-02T00:00:00"/>
        <groupItems count="5">
          <s v="&lt;2022-04-01"/>
          <s v="2022"/>
          <s v="2023"/>
          <s v="2024"/>
          <s v="&gt;2024-05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eOMxkwaqNZH7Vznj6o6XTA4KJOvewbhnEVmgd"/>
    <s v="added"/>
    <n v="2000"/>
    <s v="Transfer, Debit"/>
    <s v="2022-04-03, 8:00:00 p.m."/>
    <s v="CAD"/>
    <m/>
    <x v="0"/>
    <s v="other"/>
    <b v="0"/>
    <s v="BXVyezjPrgSxXRna9M9wIa65QjPRpru3BPr6o"/>
    <s v="RBC Staff Banking"/>
    <s v="RBC Royal Bank"/>
    <s v="debit"/>
    <x v="0"/>
    <x v="0"/>
    <x v="0"/>
    <b v="0"/>
    <n v="12589.494482758622"/>
    <n v="5295.62"/>
    <n v="12589.494482758622"/>
    <n v="0"/>
  </r>
  <r>
    <s v="eOMxkwaqNZH7Vznj6o6XTA4KJOvewbhnEVmgd"/>
    <s v="added"/>
    <n v="1444.17"/>
    <s v="Transfer, Debit"/>
    <s v="2022-04-03, 8:00:00 p.m."/>
    <s v="CAD"/>
    <m/>
    <x v="1"/>
    <s v="other"/>
    <b v="0"/>
    <s v="3XqR5pwB6kSDXQKBzEzJcMaqRzJov7Io13Rbp"/>
    <s v="RBC Staff Banking"/>
    <s v="RBC Royal Bank"/>
    <s v="debit"/>
    <x v="0"/>
    <x v="0"/>
    <x v="0"/>
    <b v="0"/>
    <n v="12589.494482758622"/>
    <n v="5295.62"/>
    <n v="12589.494482758622"/>
    <n v="0"/>
  </r>
  <r>
    <s v="eOMxkwaqNZH7Vznj6o6XTA4KJOvewbhnEVmgd"/>
    <s v="added"/>
    <n v="1500"/>
    <s v="Transfer, Debit"/>
    <s v="2022-04-03, 8:00:00 p.m."/>
    <s v="CAD"/>
    <m/>
    <x v="2"/>
    <s v="other"/>
    <b v="0"/>
    <s v="yb6XYJp8zDT3z0Oj6P61uAR95LwZj7TpQev04"/>
    <s v="RBC Staff Banking"/>
    <s v="RBC Royal Bank"/>
    <s v="debit"/>
    <x v="1"/>
    <x v="0"/>
    <x v="0"/>
    <b v="0"/>
    <n v="14532.989714285719"/>
    <n v="8446.1299999999992"/>
    <n v="14532.989714285719"/>
    <n v="0"/>
  </r>
  <r>
    <s v="eOMxkwaqNZH7Vznj6o6XTA4KJOvewbhnEVmgd"/>
    <s v="added"/>
    <n v="1100"/>
    <s v="Transfer, Debit"/>
    <s v="2022-04-03, 8:00:00 p.m."/>
    <s v="CAD"/>
    <m/>
    <x v="3"/>
    <s v="other"/>
    <b v="0"/>
    <s v="KYmvezN0bnso8Rk5dDdyTx4XOVejyKUE9a60r"/>
    <s v="RBC Staff Banking"/>
    <s v="RBC Royal Bank"/>
    <s v="debit"/>
    <x v="0"/>
    <x v="0"/>
    <x v="0"/>
    <b v="0"/>
    <n v="12589.494482758622"/>
    <n v="5295.62"/>
    <n v="12589.494482758622"/>
    <n v="0"/>
  </r>
  <r>
    <s v="eOMxkwaqNZH7Vznj6o6XTA4KJOvewbhnEVmgd"/>
    <s v="added"/>
    <n v="800"/>
    <s v="Transfer, Debit"/>
    <s v="2022-04-03, 8:00:00 p.m."/>
    <s v="CAD"/>
    <m/>
    <x v="4"/>
    <s v="other"/>
    <b v="0"/>
    <s v="kObx4qpAm9HOVm5g9D90iNbgweVADmHo5znM5"/>
    <s v="RBC Staff Banking"/>
    <s v="RBC Royal Bank"/>
    <s v="debit"/>
    <x v="1"/>
    <x v="0"/>
    <x v="0"/>
    <b v="0"/>
    <n v="14532.989714285719"/>
    <n v="8446.1299999999992"/>
    <n v="14532.989714285719"/>
    <n v="0"/>
  </r>
  <r>
    <s v="eOMxkwaqNZH7Vznj6o6XTA4KJOvewbhnEVmgd"/>
    <s v="added"/>
    <n v="359.58"/>
    <s v="Transfer, Debit"/>
    <s v="2022-04-03, 8:00:00 p.m."/>
    <s v="CAD"/>
    <m/>
    <x v="2"/>
    <s v="other"/>
    <b v="0"/>
    <s v="AXN3ez01jbS3APoek4kdu09LwN1vAaCMVrzdy"/>
    <s v="RBC Staff Banking"/>
    <s v="RBC Royal Bank"/>
    <s v="debit"/>
    <x v="1"/>
    <x v="0"/>
    <x v="0"/>
    <b v="0"/>
    <n v="14532.989714285719"/>
    <n v="8446.1299999999992"/>
    <n v="14532.989714285719"/>
    <n v="0"/>
  </r>
  <r>
    <s v="eOMxkwaqNZH7Vznj6o6XTA4KJOvewbhnEVmgd"/>
    <s v="added"/>
    <n v="-2000"/>
    <s v="Transfer, Credit"/>
    <s v="2022-04-03, 8:00:00 p.m."/>
    <s v="CAD"/>
    <m/>
    <x v="5"/>
    <s v="other"/>
    <b v="0"/>
    <s v="0XDrJpO173S7XKVnMwM4TZO9yeN74wCApZmgq"/>
    <s v="RBC Staff Banking"/>
    <s v="RBC Royal Bank"/>
    <s v="credit"/>
    <x v="2"/>
    <x v="0"/>
    <x v="0"/>
    <b v="0"/>
    <n v="-18125.097037037034"/>
    <n v="-11741.75"/>
    <n v="-18125.097037037034"/>
    <n v="0"/>
  </r>
  <r>
    <s v="eOMxkwaqNZH7Vznj6o6XTA4KJOvewbhnEVmgd"/>
    <s v="added"/>
    <n v="-2000"/>
    <s v="Transfer, Credit"/>
    <s v="2022-04-03, 8:00:00 p.m."/>
    <s v="CAD"/>
    <m/>
    <x v="6"/>
    <s v="other"/>
    <b v="0"/>
    <s v="jOoXrPpkN7HKQmxMzAzLTXvM6gnwZYHexgJ0n"/>
    <s v="RBC Staff Banking"/>
    <s v="RBC Royal Bank"/>
    <s v="credit"/>
    <x v="2"/>
    <x v="0"/>
    <x v="0"/>
    <b v="0"/>
    <n v="-18125.097037037034"/>
    <n v="-11741.75"/>
    <n v="-18125.097037037034"/>
    <n v="0"/>
  </r>
  <r>
    <s v="eOMxkwaqNZH7Vznj6o6XTA4KJOvewbhnEVmgd"/>
    <s v="added"/>
    <n v="-1203.75"/>
    <s v="Transfer, Credit"/>
    <s v="2022-04-03, 8:00:00 p.m."/>
    <s v="CAD"/>
    <m/>
    <x v="7"/>
    <s v="other"/>
    <b v="0"/>
    <s v="rb4Povp8znTzYwXg9A9rIP8EwJAjozHVXqz3k"/>
    <s v="RBC Staff Banking"/>
    <s v="RBC Royal Bank"/>
    <s v="credit"/>
    <x v="2"/>
    <x v="0"/>
    <x v="0"/>
    <b v="0"/>
    <n v="-18125.097037037034"/>
    <n v="-11741.75"/>
    <n v="-18125.097037037034"/>
    <n v="0"/>
  </r>
  <r>
    <s v="eOMxkwaqNZH7Vznj6o6XTA4KJOvewbhnEVmgd"/>
    <s v="added"/>
    <n v="2000"/>
    <s v="Transfer, Debit"/>
    <s v="2022-04-13, 8:00:00 p.m."/>
    <s v="CAD"/>
    <m/>
    <x v="2"/>
    <s v="other"/>
    <b v="0"/>
    <s v="PpbjezRnN6TVNZrBQMQ0UYbVLx7r4zIo90BXz"/>
    <s v="RBC Staff Banking"/>
    <s v="RBC Royal Bank"/>
    <s v="debit"/>
    <x v="1"/>
    <x v="1"/>
    <x v="0"/>
    <b v="0"/>
    <n v="14532.989714285719"/>
    <n v="8446.1299999999992"/>
    <n v="14532.989714285719"/>
    <n v="0"/>
  </r>
  <r>
    <s v="eOMxkwaqNZH7Vznj6o6XTA4KJOvewbhnEVmgd"/>
    <s v="added"/>
    <n v="-2000"/>
    <s v="Transfer, Credit"/>
    <s v="2022-04-13, 8:00:00 p.m."/>
    <s v="CAD"/>
    <m/>
    <x v="8"/>
    <s v="other"/>
    <b v="0"/>
    <s v="qbx15Ap8zQTerAqKYXY1SVoL9aNBdRIDdm7ej"/>
    <s v="RBC Staff Banking"/>
    <s v="RBC Royal Bank"/>
    <s v="credit"/>
    <x v="2"/>
    <x v="1"/>
    <x v="0"/>
    <b v="0"/>
    <n v="-18125.097037037034"/>
    <n v="-11741.75"/>
    <n v="-18125.097037037034"/>
    <n v="0"/>
  </r>
  <r>
    <s v="eOMxkwaqNZH7Vznj6o6XTA4KJOvewbhnEVmgd"/>
    <s v="added"/>
    <n v="1749"/>
    <s v="Transfer, Debit"/>
    <s v="2022-04-21, 8:00:00 p.m."/>
    <s v="CAD"/>
    <m/>
    <x v="2"/>
    <s v="other"/>
    <b v="0"/>
    <s v="LNJEezRjgpuv83A7wmwKTZaP56woj1CZqbn9b"/>
    <s v="RBC Staff Banking"/>
    <s v="RBC Royal Bank"/>
    <s v="debit"/>
    <x v="1"/>
    <x v="2"/>
    <x v="0"/>
    <b v="0"/>
    <n v="14532.989714285719"/>
    <n v="8446.1299999999992"/>
    <n v="14532.989714285719"/>
    <n v="0"/>
  </r>
  <r>
    <s v="eOMxkwaqNZH7Vznj6o6XTA4KJOvewbhnEVmgd"/>
    <s v="added"/>
    <n v="751.45"/>
    <s v="Transfer, Debit"/>
    <s v="2022-04-21, 8:00:00 p.m."/>
    <s v="CAD"/>
    <m/>
    <x v="9"/>
    <s v="other"/>
    <b v="0"/>
    <s v="DpYkezRBa9T69a1DqJqLC0nKeY5LyvCw5x9J4"/>
    <s v="RBC Staff Banking"/>
    <s v="RBC Royal Bank"/>
    <s v="debit"/>
    <x v="0"/>
    <x v="2"/>
    <x v="0"/>
    <b v="0"/>
    <n v="12589.494482758622"/>
    <n v="5295.62"/>
    <n v="12589.494482758622"/>
    <n v="0"/>
  </r>
  <r>
    <s v="eOMxkwaqNZH7Vznj6o6XTA4KJOvewbhnEVmgd"/>
    <s v="added"/>
    <n v="-2538"/>
    <s v="Bank Fees, Foreign Transaction"/>
    <s v="2022-04-21, 8:00:00 p.m."/>
    <s v="CAD"/>
    <m/>
    <x v="10"/>
    <s v="other"/>
    <b v="0"/>
    <s v="1X148pJPdyS3OmV1M6MauzwEebajN6UnPze3v"/>
    <s v="RBC Staff Banking"/>
    <s v="RBC Royal Bank"/>
    <s v="credit"/>
    <x v="2"/>
    <x v="2"/>
    <x v="0"/>
    <b v="0"/>
    <n v="-18125.097037037034"/>
    <n v="-11741.75"/>
    <n v="-18125.097037037034"/>
    <n v="0"/>
  </r>
  <r>
    <s v="eOMxkwaqNZH7Vznj6o6XTA4KJOvewbhnEVmgd"/>
    <s v="added"/>
    <n v="2037.55"/>
    <s v="Transfer, Debit"/>
    <s v="2022-04-28, 8:00:00 p.m."/>
    <s v="CAD"/>
    <m/>
    <x v="2"/>
    <s v="other"/>
    <b v="0"/>
    <s v="wbdKVap8z6T7VjE84p4vT0RyPZOqzpCKQ0jP9"/>
    <s v="RBC Staff Banking"/>
    <s v="RBC Royal Bank"/>
    <s v="debit"/>
    <x v="1"/>
    <x v="3"/>
    <x v="0"/>
    <b v="0"/>
    <n v="14532.989714285719"/>
    <n v="8446.1299999999992"/>
    <n v="14532.989714285719"/>
    <n v="0"/>
  </r>
  <r>
    <s v="eOMxkwaqNZH7Vznj6o6XTA4KJOvewbhnEVmgd"/>
    <s v="added"/>
    <n v="-2000"/>
    <s v="Transfer, Credit"/>
    <s v="2022-04-28, 8:00:00 p.m."/>
    <s v="CAD"/>
    <m/>
    <x v="11"/>
    <s v="other"/>
    <b v="0"/>
    <s v="6XyrgpDK10SB8yvazqz5CNov40aVwOHw8g4MM"/>
    <s v="RBC Staff Banking"/>
    <s v="RBC Royal Bank"/>
    <s v="credit"/>
    <x v="2"/>
    <x v="3"/>
    <x v="0"/>
    <b v="0"/>
    <n v="-18125.097037037034"/>
    <n v="-11741.75"/>
    <n v="-18125.097037037034"/>
    <n v="0"/>
  </r>
  <r>
    <s v="eOMxkwaqNZH7Vznj6o6XTA4KJOvewbhnEVmgd"/>
    <s v="added"/>
    <n v="2000"/>
    <s v="Transfer, Debit"/>
    <s v="2022-05-01, 8:00:00 p.m."/>
    <s v="CAD"/>
    <m/>
    <x v="12"/>
    <s v="other"/>
    <b v="0"/>
    <s v="NpJvYzRnNdTaNZ0XOMOATOvyme7ABYioje1vn"/>
    <s v="RBC Staff Banking"/>
    <s v="RBC Royal Bank"/>
    <s v="debit"/>
    <x v="0"/>
    <x v="4"/>
    <x v="1"/>
    <b v="0"/>
    <n v="12589.494482758622"/>
    <n v="9751.16"/>
    <n v="12589.494482758622"/>
    <n v="0"/>
  </r>
  <r>
    <s v="eOMxkwaqNZH7Vznj6o6XTA4KJOvewbhnEVmgd"/>
    <s v="added"/>
    <n v="2000"/>
    <s v="Transfer, Debit"/>
    <s v="2022-05-01, 8:00:00 p.m."/>
    <s v="CAD"/>
    <m/>
    <x v="13"/>
    <s v="other"/>
    <b v="0"/>
    <s v="eOMxkwaqNZH7Vznj6o6XTA4vJObVpKTnBm8Q1"/>
    <s v="RBC Staff Banking"/>
    <s v="RBC Royal Bank"/>
    <s v="debit"/>
    <x v="0"/>
    <x v="4"/>
    <x v="1"/>
    <b v="0"/>
    <n v="12589.494482758622"/>
    <n v="9751.16"/>
    <n v="12589.494482758622"/>
    <n v="0"/>
  </r>
  <r>
    <s v="eOMxkwaqNZH7Vznj6o6XTA4KJOvewbhnEVmgd"/>
    <s v="added"/>
    <n v="2000"/>
    <s v="Transfer, Debit"/>
    <s v="2022-05-01, 8:00:00 p.m."/>
    <s v="CAD"/>
    <m/>
    <x v="4"/>
    <s v="other"/>
    <b v="0"/>
    <s v="Yepjdz7nNKt6JRzgrpr5C8LVBoYkynfJvkK1N"/>
    <s v="RBC Staff Banking"/>
    <s v="RBC Royal Bank"/>
    <s v="debit"/>
    <x v="1"/>
    <x v="4"/>
    <x v="1"/>
    <b v="0"/>
    <n v="14532.989714285719"/>
    <n v="10743.57"/>
    <n v="14532.989714285719"/>
    <n v="0"/>
  </r>
  <r>
    <s v="eOMxkwaqNZH7Vznj6o6XTA4KJOvewbhnEVmgd"/>
    <s v="added"/>
    <n v="-2000"/>
    <s v="Transfer, Credit"/>
    <s v="2022-05-01, 8:00:00 p.m."/>
    <s v="CAD"/>
    <m/>
    <x v="14"/>
    <s v="other"/>
    <b v="0"/>
    <s v="zbLXY8dVz1Tm4RXq9P9buZMDN463qzCve06NL"/>
    <s v="RBC Staff Banking"/>
    <s v="RBC Royal Bank"/>
    <s v="credit"/>
    <x v="2"/>
    <x v="4"/>
    <x v="1"/>
    <b v="0"/>
    <n v="-18125.097037037034"/>
    <n v="-20495.73"/>
    <n v="-18125.097037037034"/>
    <n v="0"/>
  </r>
  <r>
    <s v="eOMxkwaqNZH7Vznj6o6XTA4KJOvewbhnEVmgd"/>
    <s v="added"/>
    <n v="-2000"/>
    <s v="Transfer, Credit"/>
    <s v="2022-05-01, 8:00:00 p.m."/>
    <s v="CAD"/>
    <m/>
    <x v="15"/>
    <s v="other"/>
    <b v="0"/>
    <s v="mN4wx3p0zOuZMxmrzRzyCq8rkQPRe6uBbgLzD"/>
    <s v="RBC Staff Banking"/>
    <s v="RBC Royal Bank"/>
    <s v="credit"/>
    <x v="2"/>
    <x v="4"/>
    <x v="1"/>
    <b v="0"/>
    <n v="-18125.097037037034"/>
    <n v="-20495.73"/>
    <n v="-18125.097037037034"/>
    <n v="0"/>
  </r>
  <r>
    <s v="eOMxkwaqNZH7Vznj6o6XTA4KJOvewbhnEVmgd"/>
    <s v="added"/>
    <n v="-2000"/>
    <s v="Transfer, Credit"/>
    <s v="2022-05-01, 8:00:00 p.m."/>
    <s v="CAD"/>
    <m/>
    <x v="16"/>
    <s v="other"/>
    <b v="0"/>
    <s v="dO9xKdaPN8H9zOvYwpwosEkP31wpmBhKYXxMP"/>
    <s v="RBC Staff Banking"/>
    <s v="RBC Royal Bank"/>
    <s v="credit"/>
    <x v="2"/>
    <x v="4"/>
    <x v="1"/>
    <b v="0"/>
    <n v="-18125.097037037034"/>
    <n v="-20495.73"/>
    <n v="-18125.097037037034"/>
    <n v="0"/>
  </r>
  <r>
    <s v="eOMxkwaqNZH7Vznj6o6XTA4KJOvewbhnEVmgd"/>
    <s v="added"/>
    <n v="1345"/>
    <s v="Transfer, Debit"/>
    <s v="2022-05-02, 8:00:00 p.m."/>
    <s v="CAD"/>
    <m/>
    <x v="17"/>
    <s v="other"/>
    <b v="0"/>
    <s v="nN46JypjzMu8QYa5zKzrIVjqMJ6z3LIBzRbLa"/>
    <s v="RBC Staff Banking"/>
    <s v="RBC Royal Bank"/>
    <s v="debit"/>
    <x v="0"/>
    <x v="5"/>
    <x v="1"/>
    <b v="0"/>
    <n v="12589.494482758622"/>
    <n v="9751.16"/>
    <n v="12589.494482758622"/>
    <n v="0"/>
  </r>
  <r>
    <s v="eOMxkwaqNZH7Vznj6o6XTA4KJOvewbhnEVmgd"/>
    <s v="added"/>
    <n v="175.99"/>
    <s v="Transfer, Debit"/>
    <s v="2022-05-02, 8:00:00 p.m."/>
    <s v="CAD"/>
    <m/>
    <x v="2"/>
    <s v="other"/>
    <b v="0"/>
    <s v="pb4DZkp8zRTK7y0VqjqAT7D6dOa9NYh3YE9zm"/>
    <s v="RBC Staff Banking"/>
    <s v="RBC Royal Bank"/>
    <s v="debit"/>
    <x v="1"/>
    <x v="5"/>
    <x v="1"/>
    <b v="0"/>
    <n v="14532.989714285719"/>
    <n v="10743.57"/>
    <n v="14532.989714285719"/>
    <n v="0"/>
  </r>
  <r>
    <s v="eOMxkwaqNZH7Vznj6o6XTA4KJOvewbhnEVmgd"/>
    <s v="added"/>
    <n v="-1520.99"/>
    <s v="Transfer, Credit"/>
    <s v="2022-05-02, 8:00:00 p.m."/>
    <s v="CAD"/>
    <m/>
    <x v="18"/>
    <s v="other"/>
    <b v="0"/>
    <s v="Xp8jezanNyTBNo6ARXRZC15emqw3KxHdEA3qk"/>
    <s v="RBC Staff Banking"/>
    <s v="RBC Royal Bank"/>
    <s v="credit"/>
    <x v="2"/>
    <x v="5"/>
    <x v="1"/>
    <b v="0"/>
    <n v="-18125.097037037034"/>
    <n v="-20495.73"/>
    <n v="-18125.097037037034"/>
    <n v="0"/>
  </r>
  <r>
    <s v="eOMxkwaqNZH7Vznj6o6XTA4KJOvewbhnEVmgd"/>
    <s v="added"/>
    <n v="1000"/>
    <s v="Transfer, Debit"/>
    <s v="2022-05-12, 8:00:00 p.m."/>
    <s v="CAD"/>
    <m/>
    <x v="19"/>
    <s v="other"/>
    <b v="0"/>
    <s v="EpbNezRmxVTmn9PBE8EDupkqO6mLyrIQxmV15"/>
    <s v="RBC Staff Banking"/>
    <s v="RBC Royal Bank"/>
    <s v="debit"/>
    <x v="0"/>
    <x v="6"/>
    <x v="1"/>
    <b v="0"/>
    <n v="12589.494482758622"/>
    <n v="9751.16"/>
    <n v="12589.494482758622"/>
    <n v="0"/>
  </r>
  <r>
    <s v="eOMxkwaqNZH7Vznj6o6XTA4KJOvewbhnEVmgd"/>
    <s v="added"/>
    <n v="1000"/>
    <s v="Transfer, Debit"/>
    <s v="2022-05-12, 8:00:00 p.m."/>
    <s v="CAD"/>
    <m/>
    <x v="4"/>
    <s v="other"/>
    <b v="0"/>
    <s v="RXJjezRnNDSkNOaAe7ersEnVX69vo5hewxMA1"/>
    <s v="RBC Staff Banking"/>
    <s v="RBC Royal Bank"/>
    <s v="debit"/>
    <x v="1"/>
    <x v="6"/>
    <x v="1"/>
    <b v="0"/>
    <n v="14532.989714285719"/>
    <n v="10743.57"/>
    <n v="14532.989714285719"/>
    <n v="0"/>
  </r>
  <r>
    <s v="eOMxkwaqNZH7Vznj6o6XTA4KJOvewbhnEVmgd"/>
    <s v="added"/>
    <n v="-2000"/>
    <s v="Transfer, Credit"/>
    <s v="2022-05-12, 8:00:00 p.m."/>
    <s v="CAD"/>
    <m/>
    <x v="20"/>
    <s v="other"/>
    <b v="0"/>
    <s v="QpJ5ezRXNLTNEw45P1PjHB0VAQrj7MtO8Yp0M"/>
    <s v="RBC Staff Banking"/>
    <s v="RBC Royal Bank"/>
    <s v="credit"/>
    <x v="2"/>
    <x v="6"/>
    <x v="1"/>
    <b v="0"/>
    <n v="-18125.097037037034"/>
    <n v="-20495.73"/>
    <n v="-18125.097037037034"/>
    <n v="0"/>
  </r>
  <r>
    <s v="eOMxkwaqNZH7Vznj6o6XTA4KJOvewbhnEVmgd"/>
    <s v="added"/>
    <n v="1100"/>
    <s v="Transfer, Debit"/>
    <s v="2022-05-15, 8:00:00 p.m."/>
    <s v="CAD"/>
    <m/>
    <x v="21"/>
    <s v="other"/>
    <b v="0"/>
    <s v="7XKm7e1kPjSN8406PMPpHBoDkwnM6Zt0eVoB0"/>
    <s v="RBC Staff Banking"/>
    <s v="RBC Royal Bank"/>
    <s v="debit"/>
    <x v="0"/>
    <x v="7"/>
    <x v="1"/>
    <b v="0"/>
    <n v="12589.494482758622"/>
    <n v="9751.16"/>
    <n v="12589.494482758622"/>
    <n v="0"/>
  </r>
  <r>
    <s v="eOMxkwaqNZH7Vznj6o6XTA4KJOvewbhnEVmgd"/>
    <s v="added"/>
    <n v="1758"/>
    <s v="Transfer, Debit"/>
    <s v="2022-05-15, 8:00:00 p.m."/>
    <s v="CAD"/>
    <m/>
    <x v="2"/>
    <s v="other"/>
    <b v="0"/>
    <s v="9XAwVpqvB4SJ7qVOnyngi8Mg3XoQPjfg1e3p6"/>
    <s v="RBC Staff Banking"/>
    <s v="RBC Royal Bank"/>
    <s v="debit"/>
    <x v="1"/>
    <x v="7"/>
    <x v="1"/>
    <b v="0"/>
    <n v="14532.989714285719"/>
    <n v="10743.57"/>
    <n v="14532.989714285719"/>
    <n v="0"/>
  </r>
  <r>
    <s v="eOMxkwaqNZH7Vznj6o6XTA4KJOvewbhnEVmgd"/>
    <s v="added"/>
    <n v="900"/>
    <s v="Transfer, Debit"/>
    <s v="2022-05-15, 8:00:00 p.m."/>
    <s v="CAD"/>
    <m/>
    <x v="2"/>
    <s v="other"/>
    <b v="0"/>
    <s v="VpQOez8nNBT0NRm8n6nJCAg8mvOeq3T4V1b7j"/>
    <s v="RBC Staff Banking"/>
    <s v="RBC Royal Bank"/>
    <s v="debit"/>
    <x v="1"/>
    <x v="7"/>
    <x v="1"/>
    <b v="0"/>
    <n v="14532.989714285719"/>
    <n v="10743.57"/>
    <n v="14532.989714285719"/>
    <n v="0"/>
  </r>
  <r>
    <s v="eOMxkwaqNZH7Vznj6o6XTA4KJOvewbhnEVmgd"/>
    <s v="added"/>
    <n v="-2000"/>
    <s v="Transfer, Credit"/>
    <s v="2022-05-15, 8:00:00 p.m."/>
    <s v="CAD"/>
    <m/>
    <x v="22"/>
    <s v="other"/>
    <b v="0"/>
    <s v="OpOQezXnNwT19bjmMBMvsZyjQ75eoYCxyd0JV"/>
    <s v="RBC Staff Banking"/>
    <s v="RBC Royal Bank"/>
    <s v="credit"/>
    <x v="2"/>
    <x v="7"/>
    <x v="1"/>
    <b v="0"/>
    <n v="-18125.097037037034"/>
    <n v="-20495.73"/>
    <n v="-18125.097037037034"/>
    <n v="0"/>
  </r>
  <r>
    <s v="eOMxkwaqNZH7Vznj6o6XTA4KJOvewbhnEVmgd"/>
    <s v="added"/>
    <n v="-1758"/>
    <s v="Transfer, Credit"/>
    <s v="2022-05-15, 8:00:00 p.m."/>
    <s v="CAD"/>
    <m/>
    <x v="23"/>
    <s v="other"/>
    <b v="0"/>
    <s v="MpJZezRn7XToeMmQ6r6kTn1Y9wDExAIXoZLmB"/>
    <s v="RBC Staff Banking"/>
    <s v="RBC Royal Bank"/>
    <s v="credit"/>
    <x v="2"/>
    <x v="7"/>
    <x v="1"/>
    <b v="0"/>
    <n v="-18125.097037037034"/>
    <n v="-20495.73"/>
    <n v="-18125.097037037034"/>
    <n v="0"/>
  </r>
  <r>
    <s v="eOMxkwaqNZH7Vznj6o6XTA4KJOvewbhnEVmgd"/>
    <s v="added"/>
    <n v="2000"/>
    <s v="Transfer, Debit"/>
    <s v="2022-05-26, 8:00:00 p.m."/>
    <s v="CAD"/>
    <m/>
    <x v="24"/>
    <s v="other"/>
    <b v="0"/>
    <s v="bp893zMDNxT90nm7Q5QEskAbRZX0jzCJnEX86"/>
    <s v="RBC Staff Banking"/>
    <s v="RBC Royal Bank"/>
    <s v="debit"/>
    <x v="0"/>
    <x v="8"/>
    <x v="1"/>
    <b v="0"/>
    <n v="12589.494482758622"/>
    <n v="9751.16"/>
    <n v="12589.494482758622"/>
    <n v="0"/>
  </r>
  <r>
    <s v="eOMxkwaqNZH7Vznj6o6XTA4KJOvewbhnEVmgd"/>
    <s v="added"/>
    <n v="-2000"/>
    <s v="Transfer, Credit"/>
    <s v="2022-05-26, 8:00:00 p.m."/>
    <s v="CAD"/>
    <m/>
    <x v="25"/>
    <s v="other"/>
    <b v="0"/>
    <s v="gO8zvLa3NoHaQ0YpjAjgTz6wOrNX97U8Jeyxq"/>
    <s v="RBC Staff Banking"/>
    <s v="RBC Royal Bank"/>
    <s v="credit"/>
    <x v="2"/>
    <x v="8"/>
    <x v="1"/>
    <b v="0"/>
    <n v="-18125.097037037034"/>
    <n v="-20495.73"/>
    <n v="-18125.097037037034"/>
    <n v="0"/>
  </r>
  <r>
    <s v="eOMxkwaqNZH7Vznj6o6XTA4KJOvewbhnEVmgd"/>
    <s v="added"/>
    <n v="294.16000000000003"/>
    <s v="Transfer, Debit"/>
    <s v="2022-05-29, 8:00:00 p.m."/>
    <s v="CAD"/>
    <m/>
    <x v="26"/>
    <s v="other"/>
    <b v="0"/>
    <s v="aOmnBzRLeaHw07Ken5nMiKY1XRyknxI76JmwE"/>
    <s v="RBC Staff Banking"/>
    <s v="RBC Royal Bank"/>
    <s v="debit"/>
    <x v="0"/>
    <x v="9"/>
    <x v="1"/>
    <b v="0"/>
    <n v="12589.494482758622"/>
    <n v="9751.16"/>
    <n v="12589.494482758622"/>
    <n v="0"/>
  </r>
  <r>
    <s v="eOMxkwaqNZH7Vznj6o6XTA4KJOvewbhnEVmgd"/>
    <s v="added"/>
    <n v="2000"/>
    <s v="Transfer, Debit"/>
    <s v="2022-05-29, 8:00:00 p.m."/>
    <s v="CAD"/>
    <m/>
    <x v="2"/>
    <s v="other"/>
    <b v="0"/>
    <s v="xbwkYxX7zLT9rJvXa0a1swmEBLdAn0hOdw9k0"/>
    <s v="RBC Staff Banking"/>
    <s v="RBC Royal Bank"/>
    <s v="debit"/>
    <x v="1"/>
    <x v="9"/>
    <x v="1"/>
    <b v="0"/>
    <n v="14532.989714285719"/>
    <n v="10743.57"/>
    <n v="14532.989714285719"/>
    <n v="0"/>
  </r>
  <r>
    <s v="eOMxkwaqNZH7Vznj6o6XTA4KJOvewbhnEVmgd"/>
    <s v="added"/>
    <n v="1705.84"/>
    <s v="Transfer, Debit"/>
    <s v="2022-05-29, 8:00:00 p.m."/>
    <s v="CAD"/>
    <m/>
    <x v="2"/>
    <s v="other"/>
    <b v="0"/>
    <s v="JpJrezRvoQTpmz9wbZb3IX5DmZejR0HmyJeBr"/>
    <s v="RBC Staff Banking"/>
    <s v="RBC Royal Bank"/>
    <s v="debit"/>
    <x v="1"/>
    <x v="9"/>
    <x v="1"/>
    <b v="0"/>
    <n v="14532.989714285719"/>
    <n v="10743.57"/>
    <n v="14532.989714285719"/>
    <n v="0"/>
  </r>
  <r>
    <s v="eOMxkwaqNZH7Vznj6o6XTA4KJOvewbhnEVmgd"/>
    <s v="added"/>
    <n v="1203.74"/>
    <s v="Transfer, Debit"/>
    <s v="2022-05-29, 8:00:00 p.m."/>
    <s v="CAD"/>
    <m/>
    <x v="2"/>
    <s v="other"/>
    <b v="0"/>
    <s v="8ekd9pPAqrtQrAjep3pmc6b3P1gLRmIxDbPRo"/>
    <s v="RBC Staff Banking"/>
    <s v="RBC Royal Bank"/>
    <s v="debit"/>
    <x v="1"/>
    <x v="9"/>
    <x v="1"/>
    <b v="0"/>
    <n v="14532.989714285719"/>
    <n v="10743.57"/>
    <n v="14532.989714285719"/>
    <n v="0"/>
  </r>
  <r>
    <s v="eOMxkwaqNZH7Vznj6o6XTA4KJOvewbhnEVmgd"/>
    <s v="added"/>
    <n v="-2000"/>
    <s v="Transfer, Credit"/>
    <s v="2022-05-29, 8:00:00 p.m."/>
    <s v="CAD"/>
    <m/>
    <x v="27"/>
    <s v="other"/>
    <b v="0"/>
    <s v="ZORJwzanNkHyVPDOemeocB6pX7EqzMtbmYM3M"/>
    <s v="RBC Staff Banking"/>
    <s v="RBC Royal Bank"/>
    <s v="credit"/>
    <x v="2"/>
    <x v="9"/>
    <x v="1"/>
    <b v="0"/>
    <n v="-18125.097037037034"/>
    <n v="-20495.73"/>
    <n v="-18125.097037037034"/>
    <n v="0"/>
  </r>
  <r>
    <s v="eOMxkwaqNZH7Vznj6o6XTA4KJOvewbhnEVmgd"/>
    <s v="added"/>
    <n v="-2000"/>
    <s v="Transfer, Credit"/>
    <s v="2022-05-29, 8:00:00 p.m."/>
    <s v="CAD"/>
    <m/>
    <x v="28"/>
    <s v="other"/>
    <b v="0"/>
    <s v="5X3rbpLyDvSjXnV1EPEZi9zQ3D1jgwcwvj3O7"/>
    <s v="RBC Staff Banking"/>
    <s v="RBC Royal Bank"/>
    <s v="credit"/>
    <x v="2"/>
    <x v="9"/>
    <x v="1"/>
    <b v="0"/>
    <n v="-18125.097037037034"/>
    <n v="-20495.73"/>
    <n v="-18125.097037037034"/>
    <n v="0"/>
  </r>
  <r>
    <s v="eOMxkwaqNZH7Vznj6o6XTA4KJOvewbhnEVmgd"/>
    <s v="added"/>
    <n v="-1203.74"/>
    <s v="Transfer, Credit"/>
    <s v="2022-05-29, 8:00:00 p.m."/>
    <s v="CAD"/>
    <m/>
    <x v="29"/>
    <s v="other"/>
    <b v="0"/>
    <s v="oN4L8KpOzEuYrb1g4k4vTxr91PjR3pU4wmD3a"/>
    <s v="RBC Staff Banking"/>
    <s v="RBC Royal Bank"/>
    <s v="credit"/>
    <x v="2"/>
    <x v="9"/>
    <x v="1"/>
    <b v="0"/>
    <n v="-18125.097037037034"/>
    <n v="-20495.73"/>
    <n v="-18125.097037037034"/>
    <n v="0"/>
  </r>
  <r>
    <s v="eOMxkwaqNZH7Vznj6o6XTA4KJOvewbhnEVmgd"/>
    <s v="added"/>
    <n v="12"/>
    <s v="Transfer, Debit"/>
    <s v="2022-05-31, 8:00:00 p.m."/>
    <s v="CAD"/>
    <m/>
    <x v="30"/>
    <s v="other"/>
    <b v="0"/>
    <s v="rb4Povp8znTzYwXg9A9rIP8EwJAjozHVXqzdk"/>
    <s v="RBC Staff Banking"/>
    <s v="RBC Royal Bank"/>
    <s v="debit"/>
    <x v="0"/>
    <x v="10"/>
    <x v="1"/>
    <b v="0"/>
    <n v="12589.494482758622"/>
    <n v="9751.16"/>
    <n v="12589.494482758622"/>
    <n v="0"/>
  </r>
  <r>
    <s v="eOMxkwaqNZH7Vznj6o6XTA4KJOvewbhnEVmgd"/>
    <s v="added"/>
    <n v="-13"/>
    <s v="Bank Fees, Foreign Transaction"/>
    <s v="2022-05-31, 8:00:00 p.m."/>
    <s v="CAD"/>
    <m/>
    <x v="31"/>
    <s v="other"/>
    <b v="0"/>
    <s v="4XBJop63LASgpJk40108SNX9nADgJBHR3PvMB"/>
    <s v="RBC Staff Banking"/>
    <s v="RBC Royal Bank"/>
    <s v="credit"/>
    <x v="2"/>
    <x v="10"/>
    <x v="1"/>
    <b v="0"/>
    <n v="-18125.097037037034"/>
    <n v="-20495.73"/>
    <n v="-18125.097037037034"/>
    <n v="0"/>
  </r>
  <r>
    <s v="eOMxkwaqNZH7Vznj6o6XTA4KJOvewbhnEVmgd"/>
    <s v="added"/>
    <n v="2036.51"/>
    <s v="Transfer, Debit"/>
    <s v="2022-06-08, 8:00:00 p.m."/>
    <s v="CAD"/>
    <m/>
    <x v="32"/>
    <s v="other"/>
    <b v="0"/>
    <s v="vbVy94p8zwTZVRYD787pCbvAOBy1zeFVZxAO4"/>
    <s v="RBC Staff Banking"/>
    <s v="RBC Royal Bank"/>
    <s v="debit"/>
    <x v="0"/>
    <x v="11"/>
    <x v="2"/>
    <b v="0"/>
    <n v="12589.494482758622"/>
    <n v="3965.91"/>
    <n v="12589.494482758622"/>
    <n v="0"/>
  </r>
  <r>
    <s v="eOMxkwaqNZH7Vznj6o6XTA4KJOvewbhnEVmgd"/>
    <s v="added"/>
    <n v="1753.82"/>
    <s v="Transfer, Debit"/>
    <s v="2022-06-08, 8:00:00 p.m."/>
    <s v="CAD"/>
    <m/>
    <x v="2"/>
    <s v="other"/>
    <b v="0"/>
    <s v="0XDrJpO173S7XKVnMwM4TZO9yeN74wCApZmPq"/>
    <s v="RBC Staff Banking"/>
    <s v="RBC Royal Bank"/>
    <s v="debit"/>
    <x v="1"/>
    <x v="11"/>
    <x v="2"/>
    <b v="0"/>
    <n v="14532.989714285719"/>
    <n v="12786.17"/>
    <n v="14532.989714285719"/>
    <n v="0"/>
  </r>
  <r>
    <s v="eOMxkwaqNZH7Vznj6o6XTA4KJOvewbhnEVmgd"/>
    <s v="added"/>
    <n v="-3789.33"/>
    <s v="Bank Fees, Foreign Transaction"/>
    <s v="2022-06-08, 8:00:00 p.m."/>
    <s v="CAD"/>
    <m/>
    <x v="33"/>
    <s v="other"/>
    <b v="0"/>
    <s v="jOoXrPpkN7HKQmxMzAzLTXvM6gnwZYHexgJ8n"/>
    <s v="RBC Staff Banking"/>
    <s v="RBC Royal Bank"/>
    <s v="credit"/>
    <x v="2"/>
    <x v="11"/>
    <x v="2"/>
    <b v="0"/>
    <n v="-18125.097037037034"/>
    <n v="-16751.079999999998"/>
    <n v="-18125.097037037034"/>
    <n v="0"/>
  </r>
  <r>
    <s v="eOMxkwaqNZH7Vznj6o6XTA4KJOvewbhnEVmgd"/>
    <s v="added"/>
    <n v="2000"/>
    <s v="Transfer, Debit"/>
    <s v="2022-06-09, 8:00:00 p.m."/>
    <s v="CAD"/>
    <m/>
    <x v="2"/>
    <s v="other"/>
    <b v="0"/>
    <s v="kObx4qpAm9HOVm5g9D90iNbgweVADmHo5znx5"/>
    <s v="RBC Staff Banking"/>
    <s v="RBC Royal Bank"/>
    <s v="debit"/>
    <x v="1"/>
    <x v="12"/>
    <x v="2"/>
    <b v="0"/>
    <n v="14532.989714285719"/>
    <n v="12786.17"/>
    <n v="14532.989714285719"/>
    <n v="0"/>
  </r>
  <r>
    <s v="eOMxkwaqNZH7Vznj6o6XTA4KJOvewbhnEVmgd"/>
    <s v="added"/>
    <n v="-2000"/>
    <s v="Transfer, Credit"/>
    <s v="2022-06-09, 8:00:00 p.m."/>
    <s v="CAD"/>
    <m/>
    <x v="34"/>
    <s v="other"/>
    <b v="0"/>
    <s v="AXN3ez01jbS3APoek4kdu09LwN1vAaCMVrz8y"/>
    <s v="RBC Staff Banking"/>
    <s v="RBC Royal Bank"/>
    <s v="credit"/>
    <x v="2"/>
    <x v="12"/>
    <x v="2"/>
    <b v="0"/>
    <n v="-18125.097037037034"/>
    <n v="-16751.079999999998"/>
    <n v="-18125.097037037034"/>
    <n v="0"/>
  </r>
  <r>
    <s v="eOMxkwaqNZH7Vznj6o6XTA4KJOvewbhnEVmgd"/>
    <s v="added"/>
    <n v="2000"/>
    <s v="Transfer, Debit"/>
    <s v="2022-06-12, 8:00:00 p.m."/>
    <s v="CAD"/>
    <m/>
    <x v="2"/>
    <s v="other"/>
    <b v="0"/>
    <s v="1X148pJPdyS3OmV1M6MauzwEebajN6UnPzeRv"/>
    <s v="RBC Staff Banking"/>
    <s v="RBC Royal Bank"/>
    <s v="debit"/>
    <x v="1"/>
    <x v="13"/>
    <x v="2"/>
    <b v="0"/>
    <n v="14532.989714285719"/>
    <n v="12786.17"/>
    <n v="14532.989714285719"/>
    <n v="0"/>
  </r>
  <r>
    <s v="eOMxkwaqNZH7Vznj6o6XTA4KJOvewbhnEVmgd"/>
    <s v="added"/>
    <n v="1482"/>
    <s v="Transfer, Debit"/>
    <s v="2022-06-12, 8:00:00 p.m."/>
    <s v="CAD"/>
    <m/>
    <x v="2"/>
    <s v="other"/>
    <b v="0"/>
    <s v="PpbjezRnN6TVNZrBQMQ0UYbVLx7r4zIo90Bnz"/>
    <s v="RBC Staff Banking"/>
    <s v="RBC Royal Bank"/>
    <s v="debit"/>
    <x v="1"/>
    <x v="13"/>
    <x v="2"/>
    <b v="0"/>
    <n v="14532.989714285719"/>
    <n v="12786.17"/>
    <n v="14532.989714285719"/>
    <n v="0"/>
  </r>
  <r>
    <s v="eOMxkwaqNZH7Vznj6o6XTA4KJOvewbhnEVmgd"/>
    <s v="added"/>
    <n v="518"/>
    <s v="Transfer, Debit"/>
    <s v="2022-06-12, 8:00:00 p.m."/>
    <s v="CAD"/>
    <m/>
    <x v="4"/>
    <s v="other"/>
    <b v="0"/>
    <s v="qbx15Ap8zQTerAqKYXY1SVoL9aNBdRIDdm7Oj"/>
    <s v="RBC Staff Banking"/>
    <s v="RBC Royal Bank"/>
    <s v="debit"/>
    <x v="1"/>
    <x v="13"/>
    <x v="2"/>
    <b v="0"/>
    <n v="14532.989714285719"/>
    <n v="12786.17"/>
    <n v="14532.989714285719"/>
    <n v="0"/>
  </r>
  <r>
    <s v="eOMxkwaqNZH7Vznj6o6XTA4KJOvewbhnEVmgd"/>
    <s v="added"/>
    <n v="478.38"/>
    <s v="Transfer, Debit"/>
    <s v="2022-06-12, 8:00:00 p.m."/>
    <s v="CAD"/>
    <m/>
    <x v="2"/>
    <s v="other"/>
    <b v="0"/>
    <s v="BXVyezjPrgSxXRna9M9wIa65QjPRpru3BPrMo"/>
    <s v="RBC Staff Banking"/>
    <s v="RBC Royal Bank"/>
    <s v="debit"/>
    <x v="1"/>
    <x v="13"/>
    <x v="2"/>
    <b v="0"/>
    <n v="14532.989714285719"/>
    <n v="12786.17"/>
    <n v="14532.989714285719"/>
    <n v="0"/>
  </r>
  <r>
    <s v="eOMxkwaqNZH7Vznj6o6XTA4KJOvewbhnEVmgd"/>
    <s v="added"/>
    <n v="-2000"/>
    <s v="Transfer, Credit"/>
    <s v="2022-06-12, 8:00:00 p.m."/>
    <s v="CAD"/>
    <m/>
    <x v="35"/>
    <s v="other"/>
    <b v="0"/>
    <s v="3XqR5pwB6kSDXQKBzEzJcMaqRzJov7Io13RYp"/>
    <s v="RBC Staff Banking"/>
    <s v="RBC Royal Bank"/>
    <s v="credit"/>
    <x v="2"/>
    <x v="13"/>
    <x v="2"/>
    <b v="0"/>
    <n v="-18125.097037037034"/>
    <n v="-16751.079999999998"/>
    <n v="-18125.097037037034"/>
    <n v="0"/>
  </r>
  <r>
    <s v="eOMxkwaqNZH7Vznj6o6XTA4KJOvewbhnEVmgd"/>
    <s v="added"/>
    <n v="-2000"/>
    <s v="Transfer, Credit"/>
    <s v="2022-06-12, 8:00:00 p.m."/>
    <s v="CAD"/>
    <m/>
    <x v="36"/>
    <s v="other"/>
    <b v="0"/>
    <s v="yb6XYJp8zDT3z0Oj6P61uAR95LwZj7TpQevk4"/>
    <s v="RBC Staff Banking"/>
    <s v="RBC Royal Bank"/>
    <s v="credit"/>
    <x v="2"/>
    <x v="13"/>
    <x v="2"/>
    <b v="0"/>
    <n v="-18125.097037037034"/>
    <n v="-16751.079999999998"/>
    <n v="-18125.097037037034"/>
    <n v="0"/>
  </r>
  <r>
    <s v="eOMxkwaqNZH7Vznj6o6XTA4KJOvewbhnEVmgd"/>
    <s v="added"/>
    <n v="-478.38"/>
    <s v="Transfer, Credit"/>
    <s v="2022-06-12, 8:00:00 p.m."/>
    <s v="CAD"/>
    <m/>
    <x v="37"/>
    <s v="other"/>
    <b v="0"/>
    <s v="KYmvezN0bnso8Rk5dDdyTx4XOVejyKUE9a63r"/>
    <s v="RBC Staff Banking"/>
    <s v="RBC Royal Bank"/>
    <s v="credit"/>
    <x v="2"/>
    <x v="13"/>
    <x v="2"/>
    <b v="0"/>
    <n v="-18125.097037037034"/>
    <n v="-16751.079999999998"/>
    <n v="-18125.097037037034"/>
    <n v="0"/>
  </r>
  <r>
    <s v="eOMxkwaqNZH7Vznj6o6XTA4KJOvewbhnEVmgd"/>
    <s v="added"/>
    <n v="1929.4"/>
    <s v="Transfer, Debit"/>
    <s v="2022-06-23, 8:00:00 p.m."/>
    <s v="CAD"/>
    <m/>
    <x v="38"/>
    <s v="other"/>
    <b v="0"/>
    <s v="LNJEezRjgpuv83A7wmwKTZaP56woj1CZqbnAb"/>
    <s v="RBC Staff Banking"/>
    <s v="RBC Royal Bank"/>
    <s v="debit"/>
    <x v="0"/>
    <x v="14"/>
    <x v="2"/>
    <b v="0"/>
    <n v="12589.494482758622"/>
    <n v="3965.91"/>
    <n v="12589.494482758622"/>
    <n v="0"/>
  </r>
  <r>
    <s v="eOMxkwaqNZH7Vznj6o6XTA4KJOvewbhnEVmgd"/>
    <s v="added"/>
    <n v="-2000"/>
    <s v="Transfer, Credit"/>
    <s v="2022-06-23, 8:00:00 p.m."/>
    <s v="CAD"/>
    <m/>
    <x v="39"/>
    <s v="other"/>
    <b v="0"/>
    <s v="DpYkezRBa9T69a1DqJqLC0nKeY5LyvCw5x9n4"/>
    <s v="RBC Staff Banking"/>
    <s v="RBC Royal Bank"/>
    <s v="credit"/>
    <x v="2"/>
    <x v="14"/>
    <x v="2"/>
    <b v="0"/>
    <n v="-18125.097037037034"/>
    <n v="-16751.079999999998"/>
    <n v="-18125.097037037034"/>
    <n v="0"/>
  </r>
  <r>
    <s v="eOMxkwaqNZH7Vznj6o6XTA4KJOvewbhnEVmgd"/>
    <s v="added"/>
    <n v="2070.6"/>
    <s v="Transfer, Debit"/>
    <s v="2022-06-26, 8:00:00 p.m."/>
    <s v="CAD"/>
    <m/>
    <x v="2"/>
    <s v="other"/>
    <b v="0"/>
    <s v="kObx4qpAm9HOVm5g9D90iNbgweVADmHo5znZ6"/>
    <s v="RBC Staff Banking"/>
    <s v="RBC Royal Bank"/>
    <s v="debit"/>
    <x v="1"/>
    <x v="15"/>
    <x v="2"/>
    <b v="0"/>
    <n v="14532.989714285719"/>
    <n v="12786.17"/>
    <n v="14532.989714285719"/>
    <n v="0"/>
  </r>
  <r>
    <s v="eOMxkwaqNZH7Vznj6o6XTA4KJOvewbhnEVmgd"/>
    <s v="added"/>
    <n v="2000"/>
    <s v="Transfer, Debit"/>
    <s v="2022-06-26, 8:00:00 p.m."/>
    <s v="CAD"/>
    <m/>
    <x v="2"/>
    <s v="other"/>
    <b v="0"/>
    <s v="AXN3ez01jbS3APoek4kdu09LwN1vAaCMVrzxX"/>
    <s v="RBC Staff Banking"/>
    <s v="RBC Royal Bank"/>
    <s v="debit"/>
    <x v="1"/>
    <x v="15"/>
    <x v="2"/>
    <b v="0"/>
    <n v="14532.989714285719"/>
    <n v="12786.17"/>
    <n v="14532.989714285719"/>
    <n v="0"/>
  </r>
  <r>
    <s v="eOMxkwaqNZH7Vznj6o6XTA4KJOvewbhnEVmgd"/>
    <s v="added"/>
    <n v="483.37"/>
    <s v="Transfer, Debit"/>
    <s v="2022-06-26, 8:00:00 p.m."/>
    <s v="CAD"/>
    <m/>
    <x v="2"/>
    <s v="other"/>
    <b v="0"/>
    <s v="mN4wx3p0zOuZMxmrzRzyCq8rkQPRe6uBbgLqD"/>
    <s v="RBC Staff Banking"/>
    <s v="RBC Royal Bank"/>
    <s v="debit"/>
    <x v="1"/>
    <x v="15"/>
    <x v="2"/>
    <b v="0"/>
    <n v="14532.989714285719"/>
    <n v="12786.17"/>
    <n v="14532.989714285719"/>
    <n v="0"/>
  </r>
  <r>
    <s v="eOMxkwaqNZH7Vznj6o6XTA4KJOvewbhnEVmgd"/>
    <s v="added"/>
    <n v="-2000"/>
    <s v="Transfer, Credit"/>
    <s v="2022-06-26, 8:00:00 p.m."/>
    <s v="CAD"/>
    <m/>
    <x v="40"/>
    <s v="other"/>
    <b v="0"/>
    <s v="dO9xKdaPN8H9zOvYwpwosEkP31wpmBhKYXxEP"/>
    <s v="RBC Staff Banking"/>
    <s v="RBC Royal Bank"/>
    <s v="credit"/>
    <x v="2"/>
    <x v="15"/>
    <x v="2"/>
    <b v="0"/>
    <n v="-18125.097037037034"/>
    <n v="-16751.079999999998"/>
    <n v="-18125.097037037034"/>
    <n v="0"/>
  </r>
  <r>
    <s v="eOMxkwaqNZH7Vznj6o6XTA4KJOvewbhnEVmgd"/>
    <s v="added"/>
    <n v="-2000"/>
    <s v="Transfer, Credit"/>
    <s v="2022-06-26, 8:00:00 p.m."/>
    <s v="CAD"/>
    <m/>
    <x v="41"/>
    <s v="other"/>
    <b v="0"/>
    <s v="wbdKVap8z6T7VjE84p4vT0RyPZOqzpCKQ0j99"/>
    <s v="RBC Staff Banking"/>
    <s v="RBC Royal Bank"/>
    <s v="credit"/>
    <x v="2"/>
    <x v="15"/>
    <x v="2"/>
    <b v="0"/>
    <n v="-18125.097037037034"/>
    <n v="-16751.079999999998"/>
    <n v="-18125.097037037034"/>
    <n v="0"/>
  </r>
  <r>
    <s v="eOMxkwaqNZH7Vznj6o6XTA4KJOvewbhnEVmgd"/>
    <s v="added"/>
    <n v="-483.37"/>
    <s v="Transfer, Credit"/>
    <s v="2022-06-26, 8:00:00 p.m."/>
    <s v="CAD"/>
    <m/>
    <x v="42"/>
    <s v="other"/>
    <b v="0"/>
    <s v="6XyrgpDK10SB8yvazqz5CNov40aVwOHw8g4vM"/>
    <s v="RBC Staff Banking"/>
    <s v="RBC Royal Bank"/>
    <s v="credit"/>
    <x v="2"/>
    <x v="15"/>
    <x v="2"/>
    <b v="0"/>
    <n v="-18125.097037037034"/>
    <n v="-16751.079999999998"/>
    <n v="-18125.097037037034"/>
    <n v="0"/>
  </r>
  <r>
    <s v="eOMxkwaqNZH7Vznj6o6XTA4KJOvewbhnEVmgd"/>
    <s v="added"/>
    <n v="2000"/>
    <s v="Transfer, Debit"/>
    <s v="2022-07-10, 8:00:00 p.m."/>
    <s v="CAD"/>
    <m/>
    <x v="43"/>
    <s v="other"/>
    <b v="0"/>
    <s v="6XyrgpDK10SB8yvazqz5CNov40aVwOHw8g4Zy"/>
    <s v="RBC Staff Banking"/>
    <s v="RBC Royal Bank"/>
    <s v="debit"/>
    <x v="0"/>
    <x v="16"/>
    <x v="3"/>
    <b v="0"/>
    <n v="12589.494482758622"/>
    <n v="7958.3099999999995"/>
    <n v="12589.494482758622"/>
    <n v="0"/>
  </r>
  <r>
    <s v="eOMxkwaqNZH7Vznj6o6XTA4KJOvewbhnEVmgd"/>
    <s v="added"/>
    <n v="198.75"/>
    <s v="Transfer, Debit"/>
    <s v="2022-07-10, 8:00:00 p.m."/>
    <s v="CAD"/>
    <m/>
    <x v="44"/>
    <s v="other"/>
    <b v="0"/>
    <s v="LNJEezRjgpuv83A7wmwKTZaP56woj1CZqbnjd"/>
    <s v="RBC Staff Banking"/>
    <s v="RBC Royal Bank"/>
    <s v="debit"/>
    <x v="0"/>
    <x v="16"/>
    <x v="3"/>
    <b v="0"/>
    <n v="12589.494482758622"/>
    <n v="7958.3099999999995"/>
    <n v="12589.494482758622"/>
    <n v="0"/>
  </r>
  <r>
    <s v="eOMxkwaqNZH7Vznj6o6XTA4KJOvewbhnEVmgd"/>
    <s v="added"/>
    <n v="2000"/>
    <s v="Transfer, Debit"/>
    <s v="2022-07-10, 8:00:00 p.m."/>
    <s v="CAD"/>
    <m/>
    <x v="2"/>
    <s v="other"/>
    <b v="0"/>
    <s v="DpYkezRBa9T69a1DqJqLC0nKeY5LyvCw5x9Qq"/>
    <s v="RBC Staff Banking"/>
    <s v="RBC Royal Bank"/>
    <s v="debit"/>
    <x v="1"/>
    <x v="16"/>
    <x v="3"/>
    <b v="0"/>
    <n v="14532.989714285719"/>
    <n v="6070"/>
    <n v="14532.989714285719"/>
    <n v="0"/>
  </r>
  <r>
    <s v="eOMxkwaqNZH7Vznj6o6XTA4KJOvewbhnEVmgd"/>
    <s v="added"/>
    <n v="1000"/>
    <s v="Transfer, Debit"/>
    <s v="2022-07-10, 8:00:00 p.m."/>
    <s v="CAD"/>
    <m/>
    <x v="4"/>
    <s v="other"/>
    <b v="0"/>
    <s v="1X148pJPdyS3OmV1M6MauzwEebajN6UnPzerA"/>
    <s v="RBC Staff Banking"/>
    <s v="RBC Royal Bank"/>
    <s v="debit"/>
    <x v="1"/>
    <x v="16"/>
    <x v="3"/>
    <b v="0"/>
    <n v="14532.989714285719"/>
    <n v="6070"/>
    <n v="14532.989714285719"/>
    <n v="0"/>
  </r>
  <r>
    <s v="eOMxkwaqNZH7Vznj6o6XTA4KJOvewbhnEVmgd"/>
    <s v="added"/>
    <n v="1000"/>
    <s v="Transfer, Debit"/>
    <s v="2022-07-10, 8:00:00 p.m."/>
    <s v="CAD"/>
    <m/>
    <x v="2"/>
    <s v="other"/>
    <b v="0"/>
    <s v="PpbjezRnN6TVNZrBQMQ0UYbVLx7r4zIo90B5D"/>
    <s v="RBC Staff Banking"/>
    <s v="RBC Royal Bank"/>
    <s v="debit"/>
    <x v="1"/>
    <x v="16"/>
    <x v="3"/>
    <b v="0"/>
    <n v="14532.989714285719"/>
    <n v="6070"/>
    <n v="14532.989714285719"/>
    <n v="0"/>
  </r>
  <r>
    <s v="eOMxkwaqNZH7Vznj6o6XTA4KJOvewbhnEVmgd"/>
    <s v="added"/>
    <n v="1000"/>
    <s v="Transfer, Debit"/>
    <s v="2022-07-10, 8:00:00 p.m."/>
    <s v="CAD"/>
    <m/>
    <x v="2"/>
    <s v="other"/>
    <b v="0"/>
    <s v="qbx15Ap8zQTerAqKYXY1SVoL9aNBdRIDdm75k"/>
    <s v="RBC Staff Banking"/>
    <s v="RBC Royal Bank"/>
    <s v="debit"/>
    <x v="1"/>
    <x v="16"/>
    <x v="3"/>
    <b v="0"/>
    <n v="14532.989714285719"/>
    <n v="6070"/>
    <n v="14532.989714285719"/>
    <n v="0"/>
  </r>
  <r>
    <s v="eOMxkwaqNZH7Vznj6o6XTA4KJOvewbhnEVmgd"/>
    <s v="added"/>
    <n v="-2000"/>
    <s v="Transfer, Credit"/>
    <s v="2022-07-10, 8:00:00 p.m."/>
    <s v="CAD"/>
    <m/>
    <x v="45"/>
    <s v="other"/>
    <b v="0"/>
    <s v="BXVyezjPrgSxXRna9M9wIa65QjPRpru3BPrRO"/>
    <s v="RBC Staff Banking"/>
    <s v="RBC Royal Bank"/>
    <s v="credit"/>
    <x v="2"/>
    <x v="16"/>
    <x v="3"/>
    <b v="0"/>
    <n v="-18125.097037037034"/>
    <n v="-11682.13"/>
    <n v="-18125.097037037034"/>
    <n v="0"/>
  </r>
  <r>
    <s v="eOMxkwaqNZH7Vznj6o6XTA4KJOvewbhnEVmgd"/>
    <s v="added"/>
    <n v="-2000"/>
    <s v="Transfer, Credit"/>
    <s v="2022-07-10, 8:00:00 p.m."/>
    <s v="CAD"/>
    <m/>
    <x v="46"/>
    <s v="other"/>
    <b v="0"/>
    <s v="3XqR5pwB6kSDXQKBzEzJcMaqRzJov7Io13RMJ"/>
    <s v="RBC Staff Banking"/>
    <s v="RBC Royal Bank"/>
    <s v="credit"/>
    <x v="2"/>
    <x v="16"/>
    <x v="3"/>
    <b v="0"/>
    <n v="-18125.097037037034"/>
    <n v="-11682.13"/>
    <n v="-18125.097037037034"/>
    <n v="0"/>
  </r>
  <r>
    <s v="eOMxkwaqNZH7Vznj6o6XTA4KJOvewbhnEVmgd"/>
    <s v="added"/>
    <n v="-2000"/>
    <s v="Transfer, Credit"/>
    <s v="2022-07-10, 8:00:00 p.m."/>
    <s v="CAD"/>
    <m/>
    <x v="47"/>
    <s v="other"/>
    <b v="0"/>
    <s v="yb6XYJp8zDT3z0Oj6P61uAR95LwZj7TpQevPY"/>
    <s v="RBC Staff Banking"/>
    <s v="RBC Royal Bank"/>
    <s v="credit"/>
    <x v="3"/>
    <x v="16"/>
    <x v="3"/>
    <b v="0"/>
    <n v="-333.34666666666664"/>
    <n v="-2354.5099999999998"/>
    <n v="-333.34666666666664"/>
    <n v="0"/>
  </r>
  <r>
    <s v="eOMxkwaqNZH7Vznj6o6XTA4KJOvewbhnEVmgd"/>
    <s v="added"/>
    <n v="-1198.75"/>
    <s v="Transfer, Credit"/>
    <s v="2022-07-10, 8:00:00 p.m."/>
    <s v="CAD"/>
    <m/>
    <x v="48"/>
    <s v="other"/>
    <b v="0"/>
    <s v="KYmvezN0bnso8Rk5dDdyTx4XOVejyKUE9a6K7"/>
    <s v="RBC Staff Banking"/>
    <s v="RBC Royal Bank"/>
    <s v="credit"/>
    <x v="2"/>
    <x v="16"/>
    <x v="3"/>
    <b v="0"/>
    <n v="-18125.097037037034"/>
    <n v="-11682.13"/>
    <n v="-18125.097037037034"/>
    <n v="0"/>
  </r>
  <r>
    <s v="eOMxkwaqNZH7Vznj6o6XTA4KJOvewbhnEVmgd"/>
    <s v="added"/>
    <n v="-1000"/>
    <s v="Transfer, Credit"/>
    <s v="2022-07-13, 8:00:00 p.m."/>
    <s v="CAD"/>
    <m/>
    <x v="49"/>
    <s v="other"/>
    <b v="0"/>
    <s v="wbdKVap8z6T7VjE84p4vT0RyPZOqzpCKQ0jJv"/>
    <s v="RBC Staff Banking"/>
    <s v="RBC Royal Bank"/>
    <s v="credit"/>
    <x v="1"/>
    <x v="17"/>
    <x v="3"/>
    <b v="0"/>
    <n v="14532.989714285719"/>
    <n v="6070"/>
    <n v="14532.989714285719"/>
    <n v="0"/>
  </r>
  <r>
    <s v="eOMxkwaqNZH7Vznj6o6XTA4KJOvewbhnEVmgd"/>
    <s v="added"/>
    <n v="1000"/>
    <s v="Transfer, Debit"/>
    <s v="2022-07-14, 8:00:00 p.m."/>
    <s v="CAD"/>
    <m/>
    <x v="50"/>
    <s v="other"/>
    <b v="0"/>
    <s v="dO9xKdaPN8H9zOvYwpwosEkP31wpmBhKYXxPo"/>
    <s v="RBC Staff Banking"/>
    <s v="RBC Royal Bank"/>
    <s v="debit"/>
    <x v="0"/>
    <x v="18"/>
    <x v="3"/>
    <b v="0"/>
    <n v="12589.494482758622"/>
    <n v="7958.3099999999995"/>
    <n v="12589.494482758622"/>
    <n v="0"/>
  </r>
  <r>
    <s v="eOMxkwaqNZH7Vznj6o6XTA4KJOvewbhnEVmgd"/>
    <s v="added"/>
    <n v="159.56"/>
    <s v="Transfer, Debit"/>
    <s v="2022-07-17, 8:00:00 p.m."/>
    <s v="CAD"/>
    <m/>
    <x v="51"/>
    <s v="other"/>
    <b v="0"/>
    <s v="zbLXY8dVz1Tm4RXq9P9buZMDN463qzCve06kO"/>
    <s v="RBC Staff Banking"/>
    <s v="RBC Royal Bank"/>
    <s v="debit"/>
    <x v="0"/>
    <x v="19"/>
    <x v="3"/>
    <b v="0"/>
    <n v="12589.494482758622"/>
    <n v="7958.3099999999995"/>
    <n v="12589.494482758622"/>
    <n v="0"/>
  </r>
  <r>
    <s v="eOMxkwaqNZH7Vznj6o6XTA4KJOvewbhnEVmgd"/>
    <s v="added"/>
    <n v="-159.56"/>
    <s v="Transfer, Credit"/>
    <s v="2022-07-17, 8:00:00 p.m."/>
    <s v="CAD"/>
    <m/>
    <x v="52"/>
    <s v="other"/>
    <b v="0"/>
    <s v="mN4wx3p0zOuZMxmrzRzyCq8rkQPRe6uBbgLEB"/>
    <s v="RBC Staff Banking"/>
    <s v="RBC Royal Bank"/>
    <s v="credit"/>
    <x v="3"/>
    <x v="19"/>
    <x v="3"/>
    <b v="0"/>
    <n v="-333.34666666666664"/>
    <n v="-2354.5099999999998"/>
    <n v="-333.34666666666664"/>
    <n v="0"/>
  </r>
  <r>
    <s v="eOMxkwaqNZH7Vznj6o6XTA4KJOvewbhnEVmgd"/>
    <s v="added"/>
    <n v="2000"/>
    <s v="Transfer, Debit"/>
    <s v="2022-07-21, 8:00:00 p.m."/>
    <s v="CAD"/>
    <m/>
    <x v="53"/>
    <s v="other"/>
    <b v="0"/>
    <s v="eOMxkwaqNZH7Vznj6o6XTA4vJObVpKTnBm89j"/>
    <s v="RBC Staff Banking"/>
    <s v="RBC Royal Bank"/>
    <s v="debit"/>
    <x v="0"/>
    <x v="20"/>
    <x v="3"/>
    <b v="0"/>
    <n v="12589.494482758622"/>
    <n v="7958.3099999999995"/>
    <n v="12589.494482758622"/>
    <n v="0"/>
  </r>
  <r>
    <s v="eOMxkwaqNZH7Vznj6o6XTA4KJOvewbhnEVmgd"/>
    <s v="added"/>
    <n v="-2000"/>
    <s v="Transfer, Credit"/>
    <s v="2022-07-21, 8:00:00 p.m."/>
    <s v="CAD"/>
    <m/>
    <x v="54"/>
    <s v="other"/>
    <b v="0"/>
    <s v="Yepjdz7nNKt6JRzgrpr5C8LVBoYkynfJvkK7e"/>
    <s v="RBC Staff Banking"/>
    <s v="RBC Royal Bank"/>
    <s v="credit"/>
    <x v="2"/>
    <x v="20"/>
    <x v="3"/>
    <b v="0"/>
    <n v="-18125.097037037034"/>
    <n v="-11682.13"/>
    <n v="-18125.097037037034"/>
    <n v="0"/>
  </r>
  <r>
    <s v="eOMxkwaqNZH7Vznj6o6XTA4KJOvewbhnEVmgd"/>
    <s v="added"/>
    <n v="500"/>
    <s v="Transfer, Debit"/>
    <s v="2022-07-24, 8:00:00 p.m."/>
    <s v="CAD"/>
    <m/>
    <x v="55"/>
    <s v="other"/>
    <b v="0"/>
    <s v="RXJjezRnNDSkNOaAe7ersEnVX69vo5hewxMrY"/>
    <s v="RBC Staff Banking"/>
    <s v="RBC Royal Bank"/>
    <s v="debit"/>
    <x v="0"/>
    <x v="21"/>
    <x v="3"/>
    <b v="0"/>
    <n v="12589.494482758622"/>
    <n v="7958.3099999999995"/>
    <n v="12589.494482758622"/>
    <n v="0"/>
  </r>
  <r>
    <s v="eOMxkwaqNZH7Vznj6o6XTA4KJOvewbhnEVmgd"/>
    <s v="added"/>
    <n v="1500"/>
    <s v="Transfer, Debit"/>
    <s v="2022-07-24, 8:00:00 p.m."/>
    <s v="CAD"/>
    <m/>
    <x v="2"/>
    <s v="other"/>
    <b v="0"/>
    <s v="QpJ5ezRXNLTNEw45P1PjHB0VAQrj7MtO8YpoB"/>
    <s v="RBC Staff Banking"/>
    <s v="RBC Royal Bank"/>
    <s v="debit"/>
    <x v="1"/>
    <x v="21"/>
    <x v="3"/>
    <b v="0"/>
    <n v="14532.989714285719"/>
    <n v="6070"/>
    <n v="14532.989714285719"/>
    <n v="0"/>
  </r>
  <r>
    <s v="eOMxkwaqNZH7Vznj6o6XTA4KJOvewbhnEVmgd"/>
    <s v="added"/>
    <n v="310"/>
    <s v="Transfer, Debit"/>
    <s v="2022-07-24, 8:00:00 p.m."/>
    <s v="CAD"/>
    <m/>
    <x v="2"/>
    <s v="other"/>
    <b v="0"/>
    <s v="nN46JypjzMu8QYa5zKzrIVjqMJ6z3LIBzRbXO"/>
    <s v="RBC Staff Banking"/>
    <s v="RBC Royal Bank"/>
    <s v="debit"/>
    <x v="1"/>
    <x v="21"/>
    <x v="3"/>
    <b v="0"/>
    <n v="14532.989714285719"/>
    <n v="6070"/>
    <n v="14532.989714285719"/>
    <n v="0"/>
  </r>
  <r>
    <s v="eOMxkwaqNZH7Vznj6o6XTA4KJOvewbhnEVmgd"/>
    <s v="added"/>
    <n v="260"/>
    <s v="Transfer, Debit"/>
    <s v="2022-07-24, 8:00:00 p.m."/>
    <s v="CAD"/>
    <m/>
    <x v="4"/>
    <s v="other"/>
    <b v="0"/>
    <s v="pb4DZkp8zRTK7y0VqjqAT7D6dOa9NYh3YE9Lp"/>
    <s v="RBC Staff Banking"/>
    <s v="RBC Royal Bank"/>
    <s v="debit"/>
    <x v="1"/>
    <x v="21"/>
    <x v="3"/>
    <b v="0"/>
    <n v="14532.989714285719"/>
    <n v="6070"/>
    <n v="14532.989714285719"/>
    <n v="0"/>
  </r>
  <r>
    <s v="eOMxkwaqNZH7Vznj6o6XTA4KJOvewbhnEVmgd"/>
    <s v="added"/>
    <n v="-2000"/>
    <s v="Transfer, Credit"/>
    <s v="2022-07-24, 8:00:00 p.m."/>
    <s v="CAD"/>
    <m/>
    <x v="56"/>
    <s v="other"/>
    <b v="0"/>
    <s v="Xp8jezanNyTBNo6ARXRZC15emqw3KxHdEA3j3"/>
    <s v="RBC Staff Banking"/>
    <s v="RBC Royal Bank"/>
    <s v="credit"/>
    <x v="2"/>
    <x v="21"/>
    <x v="3"/>
    <b v="0"/>
    <n v="-18125.097037037034"/>
    <n v="-11682.13"/>
    <n v="-18125.097037037034"/>
    <n v="0"/>
  </r>
  <r>
    <s v="eOMxkwaqNZH7Vznj6o6XTA4KJOvewbhnEVmgd"/>
    <s v="added"/>
    <n v="-2000"/>
    <s v="Transfer, Credit"/>
    <s v="2022-07-24, 8:00:00 p.m."/>
    <s v="CAD"/>
    <m/>
    <x v="57"/>
    <s v="other"/>
    <b v="0"/>
    <s v="NpJvYzRnNdTaNZ0XOMOATOvyme7ABYioje1zg"/>
    <s v="RBC Staff Banking"/>
    <s v="RBC Royal Bank"/>
    <s v="credit"/>
    <x v="2"/>
    <x v="21"/>
    <x v="3"/>
    <b v="0"/>
    <n v="-18125.097037037034"/>
    <n v="-11682.13"/>
    <n v="-18125.097037037034"/>
    <n v="0"/>
  </r>
  <r>
    <s v="eOMxkwaqNZH7Vznj6o6XTA4KJOvewbhnEVmgd"/>
    <s v="added"/>
    <n v="-483.38"/>
    <s v="Transfer, Credit"/>
    <s v="2022-07-25, 8:00:00 p.m."/>
    <s v="CAD"/>
    <m/>
    <x v="58"/>
    <s v="other"/>
    <b v="0"/>
    <s v="EpbNezRmxVTmn9PBE8EDupkqO6mLyrIQxmVqM"/>
    <s v="RBC Staff Banking"/>
    <s v="RBC Royal Bank"/>
    <s v="credit"/>
    <x v="2"/>
    <x v="22"/>
    <x v="3"/>
    <b v="0"/>
    <n v="-18125.097037037034"/>
    <n v="-11682.13"/>
    <n v="-18125.097037037034"/>
    <n v="0"/>
  </r>
  <r>
    <s v="eOMxkwaqNZH7Vznj6o6XTA4KJOvewbhnEVmgd"/>
    <s v="added"/>
    <n v="-194.95"/>
    <s v="Transfer, Credit"/>
    <s v="2022-07-28, 8:00:00 p.m."/>
    <s v="CAD"/>
    <m/>
    <x v="52"/>
    <s v="other"/>
    <b v="0"/>
    <s v="MpJZezRn7XToeMmQ6r6kTn1Y9wDExAIXoZLgz"/>
    <s v="RBC Staff Banking"/>
    <s v="RBC Royal Bank"/>
    <s v="credit"/>
    <x v="3"/>
    <x v="23"/>
    <x v="3"/>
    <b v="0"/>
    <n v="-333.34666666666664"/>
    <n v="-2354.5099999999998"/>
    <n v="-333.34666666666664"/>
    <n v="0"/>
  </r>
  <r>
    <s v="eOMxkwaqNZH7Vznj6o6XTA4KJOvewbhnEVmgd"/>
    <s v="added"/>
    <n v="2100"/>
    <s v="Transfer, Debit"/>
    <s v="2022-07-31, 8:00:00 p.m."/>
    <s v="CAD"/>
    <m/>
    <x v="30"/>
    <s v="other"/>
    <b v="0"/>
    <s v="OpOQezXnNwT19bjmMBMvsZyjQ75eoYCxyd0PO"/>
    <s v="RBC Staff Banking"/>
    <s v="RBC Royal Bank"/>
    <s v="debit"/>
    <x v="0"/>
    <x v="24"/>
    <x v="3"/>
    <b v="0"/>
    <n v="12589.494482758622"/>
    <n v="7958.3099999999995"/>
    <n v="12589.494482758622"/>
    <n v="0"/>
  </r>
  <r>
    <s v="eOMxkwaqNZH7Vznj6o6XTA4KJOvewbhnEVmgd"/>
    <s v="added"/>
    <n v="2008.33"/>
    <s v="Transfer, Debit"/>
    <s v="2022-08-07, 8:00:00 p.m."/>
    <s v="CAD"/>
    <m/>
    <x v="59"/>
    <s v="other"/>
    <b v="0"/>
    <s v="ZORJwzanNkHyVPDOemeocB6pX7EqzMtbmYMPA"/>
    <s v="RBC Staff Banking"/>
    <s v="RBC Royal Bank"/>
    <s v="debit"/>
    <x v="0"/>
    <x v="25"/>
    <x v="4"/>
    <b v="0"/>
    <n v="12589.494482758622"/>
    <n v="6337.6099999999988"/>
    <n v="12589.494482758622"/>
    <n v="0"/>
  </r>
  <r>
    <s v="eOMxkwaqNZH7Vznj6o6XTA4KJOvewbhnEVmgd"/>
    <s v="added"/>
    <n v="1400"/>
    <s v="Transfer, Debit"/>
    <s v="2022-08-07, 8:00:00 p.m."/>
    <s v="CAD"/>
    <m/>
    <x v="4"/>
    <s v="other"/>
    <b v="0"/>
    <s v="5X3rbpLyDvSjXnV1EPEZi9zQ3D1jgwcwvj3mk"/>
    <s v="RBC Staff Banking"/>
    <s v="RBC Royal Bank"/>
    <s v="debit"/>
    <x v="1"/>
    <x v="25"/>
    <x v="4"/>
    <b v="0"/>
    <n v="14532.989714285719"/>
    <n v="3646.9700000000003"/>
    <n v="14532.989714285719"/>
    <n v="0"/>
  </r>
  <r>
    <s v="eOMxkwaqNZH7Vznj6o6XTA4KJOvewbhnEVmgd"/>
    <s v="added"/>
    <n v="1100"/>
    <s v="Transfer, Debit"/>
    <s v="2022-08-07, 8:00:00 p.m."/>
    <s v="CAD"/>
    <m/>
    <x v="3"/>
    <s v="other"/>
    <b v="0"/>
    <s v="oN4L8KpOzEuYrb1g4k4vTxr91PjR3pU4wmD08"/>
    <s v="RBC Staff Banking"/>
    <s v="RBC Royal Bank"/>
    <s v="debit"/>
    <x v="0"/>
    <x v="25"/>
    <x v="4"/>
    <b v="0"/>
    <n v="12589.494482758622"/>
    <n v="6337.6099999999988"/>
    <n v="12589.494482758622"/>
    <n v="0"/>
  </r>
  <r>
    <s v="eOMxkwaqNZH7Vznj6o6XTA4KJOvewbhnEVmgd"/>
    <s v="added"/>
    <n v="900"/>
    <s v="Transfer, Debit"/>
    <s v="2022-08-07, 8:00:00 p.m."/>
    <s v="CAD"/>
    <m/>
    <x v="2"/>
    <s v="other"/>
    <b v="0"/>
    <s v="bp893zMDNxT90nm7Q5QEskAbRZX0jzCJnEXa0"/>
    <s v="RBC Staff Banking"/>
    <s v="RBC Royal Bank"/>
    <s v="debit"/>
    <x v="1"/>
    <x v="25"/>
    <x v="4"/>
    <b v="0"/>
    <n v="14532.989714285719"/>
    <n v="3646.9700000000003"/>
    <n v="14532.989714285719"/>
    <n v="0"/>
  </r>
  <r>
    <s v="eOMxkwaqNZH7Vznj6o6XTA4KJOvewbhnEVmgd"/>
    <s v="added"/>
    <n v="600"/>
    <s v="Transfer, Debit"/>
    <s v="2022-08-07, 8:00:00 p.m."/>
    <s v="CAD"/>
    <m/>
    <x v="2"/>
    <s v="other"/>
    <b v="0"/>
    <s v="gO8zvLa3NoHaQ0YpjAjgTz6wOrNX97U8JeyEJ"/>
    <s v="RBC Staff Banking"/>
    <s v="RBC Royal Bank"/>
    <s v="debit"/>
    <x v="1"/>
    <x v="25"/>
    <x v="4"/>
    <b v="0"/>
    <n v="14532.989714285719"/>
    <n v="3646.9700000000003"/>
    <n v="14532.989714285719"/>
    <n v="0"/>
  </r>
  <r>
    <s v="eOMxkwaqNZH7Vznj6o6XTA4KJOvewbhnEVmgd"/>
    <s v="added"/>
    <n v="-2000"/>
    <s v="Transfer, Credit"/>
    <s v="2022-08-07, 8:00:00 p.m."/>
    <s v="CAD"/>
    <m/>
    <x v="60"/>
    <s v="other"/>
    <b v="0"/>
    <s v="7XKm7e1kPjSN8406PMPpHBoDkwnM6Zt0eVoZL"/>
    <s v="RBC Staff Banking"/>
    <s v="RBC Royal Bank"/>
    <s v="credit"/>
    <x v="2"/>
    <x v="25"/>
    <x v="4"/>
    <b v="0"/>
    <n v="-18125.097037037034"/>
    <n v="-10080.25"/>
    <n v="-18125.097037037034"/>
    <n v="0"/>
  </r>
  <r>
    <s v="eOMxkwaqNZH7Vznj6o6XTA4KJOvewbhnEVmgd"/>
    <s v="added"/>
    <n v="-2000"/>
    <s v="Transfer, Credit"/>
    <s v="2022-08-07, 8:00:00 p.m."/>
    <s v="CAD"/>
    <m/>
    <x v="61"/>
    <s v="other"/>
    <b v="0"/>
    <s v="9XAwVpqvB4SJ7qVOnyngi8Mg3XoQPjfg1e3JE"/>
    <s v="RBC Staff Banking"/>
    <s v="RBC Royal Bank"/>
    <s v="credit"/>
    <x v="2"/>
    <x v="25"/>
    <x v="4"/>
    <b v="0"/>
    <n v="-18125.097037037034"/>
    <n v="-10080.25"/>
    <n v="-18125.097037037034"/>
    <n v="0"/>
  </r>
  <r>
    <s v="eOMxkwaqNZH7Vznj6o6XTA4KJOvewbhnEVmgd"/>
    <s v="added"/>
    <n v="-2000"/>
    <s v="Transfer, Credit"/>
    <s v="2022-08-07, 8:00:00 p.m."/>
    <s v="CAD"/>
    <m/>
    <x v="62"/>
    <s v="other"/>
    <b v="0"/>
    <s v="VpQOez8nNBT0NRm8n6nJCAg8mvOeq3T4V1bJ3"/>
    <s v="RBC Staff Banking"/>
    <s v="RBC Royal Bank"/>
    <s v="credit"/>
    <x v="2"/>
    <x v="25"/>
    <x v="4"/>
    <b v="0"/>
    <n v="-18125.097037037034"/>
    <n v="-10080.25"/>
    <n v="-18125.097037037034"/>
    <n v="0"/>
  </r>
  <r>
    <s v="eOMxkwaqNZH7Vznj6o6XTA4KJOvewbhnEVmgd"/>
    <s v="added"/>
    <n v="478.38"/>
    <s v="Transfer, Debit"/>
    <s v="2022-08-08, 8:00:00 p.m."/>
    <s v="CAD"/>
    <m/>
    <x v="2"/>
    <s v="other"/>
    <b v="0"/>
    <s v="JpJrezRvoQTpmz9wbZb3IX5DmZejR0HmyJe31"/>
    <s v="RBC Staff Banking"/>
    <s v="RBC Royal Bank"/>
    <s v="debit"/>
    <x v="1"/>
    <x v="26"/>
    <x v="4"/>
    <b v="0"/>
    <n v="14532.989714285719"/>
    <n v="3646.9700000000003"/>
    <n v="14532.989714285719"/>
    <n v="0"/>
  </r>
  <r>
    <s v="eOMxkwaqNZH7Vznj6o6XTA4KJOvewbhnEVmgd"/>
    <s v="added"/>
    <n v="-478.38"/>
    <s v="Transfer, Credit"/>
    <s v="2022-08-08, 8:00:00 p.m."/>
    <s v="CAD"/>
    <m/>
    <x v="63"/>
    <s v="other"/>
    <b v="0"/>
    <s v="8ekd9pPAqrtQrAjep3pmc6b3P1gLRmIxDbPk6"/>
    <s v="RBC Staff Banking"/>
    <s v="RBC Royal Bank"/>
    <s v="credit"/>
    <x v="2"/>
    <x v="26"/>
    <x v="4"/>
    <b v="0"/>
    <n v="-18125.097037037034"/>
    <n v="-10080.25"/>
    <n v="-18125.097037037034"/>
    <n v="0"/>
  </r>
  <r>
    <s v="eOMxkwaqNZH7Vznj6o6XTA4KJOvewbhnEVmgd"/>
    <s v="added"/>
    <n v="1821.74"/>
    <s v="Transfer, Debit"/>
    <s v="2022-08-14, 8:00:00 p.m."/>
    <s v="CAD"/>
    <m/>
    <x v="64"/>
    <s v="other"/>
    <b v="0"/>
    <s v="aOmnBzRLeaHw07Ken5nMiKY1XRyknxI76Jm3x"/>
    <s v="RBC Staff Banking"/>
    <s v="RBC Royal Bank"/>
    <s v="debit"/>
    <x v="0"/>
    <x v="27"/>
    <x v="4"/>
    <b v="0"/>
    <n v="12589.494482758622"/>
    <n v="6337.6099999999988"/>
    <n v="12589.494482758622"/>
    <n v="0"/>
  </r>
  <r>
    <s v="eOMxkwaqNZH7Vznj6o6XTA4KJOvewbhnEVmgd"/>
    <s v="added"/>
    <n v="-1897.41"/>
    <s v="Transfer, Credit"/>
    <s v="2022-08-14, 8:00:00 p.m."/>
    <s v="CAD"/>
    <m/>
    <x v="49"/>
    <s v="other"/>
    <b v="0"/>
    <s v="xbwkYxX7zLT9rJvXa0a1swmEBLdAn0hOdw9p1"/>
    <s v="RBC Staff Banking"/>
    <s v="RBC Royal Bank"/>
    <s v="credit"/>
    <x v="1"/>
    <x v="27"/>
    <x v="4"/>
    <b v="0"/>
    <n v="14532.989714285719"/>
    <n v="3646.9700000000003"/>
    <n v="14532.989714285719"/>
    <n v="0"/>
  </r>
  <r>
    <s v="eOMxkwaqNZH7Vznj6o6XTA4KJOvewbhnEVmgd"/>
    <s v="added"/>
    <n v="70.819999999999993"/>
    <s v="Transfer, Debit"/>
    <s v="2022-08-15, 8:00:00 p.m."/>
    <s v="CAD"/>
    <m/>
    <x v="65"/>
    <s v="other"/>
    <b v="0"/>
    <s v="4XBJop63LASgpJk40108SNX9nADgJBHR3PvzP"/>
    <s v="RBC Staff Banking"/>
    <s v="RBC Royal Bank"/>
    <s v="debit"/>
    <x v="0"/>
    <x v="28"/>
    <x v="4"/>
    <b v="0"/>
    <n v="12589.494482758622"/>
    <n v="6337.6099999999988"/>
    <n v="12589.494482758622"/>
    <n v="0"/>
  </r>
  <r>
    <s v="eOMxkwaqNZH7Vznj6o6XTA4KJOvewbhnEVmgd"/>
    <s v="added"/>
    <n v="-280"/>
    <s v="Transfer, Credit"/>
    <s v="2022-08-18, 8:00:00 p.m."/>
    <s v="CAD"/>
    <m/>
    <x v="66"/>
    <s v="other"/>
    <b v="0"/>
    <s v="jOoXrPpkN7HKQmxMzAzLTXvM6gnwZYHexgJk8"/>
    <s v="RBC Staff Banking"/>
    <s v="RBC Royal Bank"/>
    <s v="credit"/>
    <x v="1"/>
    <x v="29"/>
    <x v="4"/>
    <b v="0"/>
    <n v="14532.989714285719"/>
    <n v="3646.9700000000003"/>
    <n v="14532.989714285719"/>
    <n v="0"/>
  </r>
  <r>
    <s v="eOMxkwaqNZH7Vznj6o6XTA4KJOvewbhnEVmgd"/>
    <s v="added"/>
    <n v="-3601.87"/>
    <s v="Transfer, Credit"/>
    <s v="2022-08-18, 8:00:00 p.m."/>
    <s v="CAD"/>
    <m/>
    <x v="67"/>
    <s v="other"/>
    <b v="0"/>
    <s v="rb4Povp8znTzYwXg9A9rIP8EwJAjozHVXqzj3"/>
    <s v="RBC Staff Banking"/>
    <s v="RBC Royal Bank"/>
    <s v="credit"/>
    <x v="2"/>
    <x v="29"/>
    <x v="4"/>
    <b v="0"/>
    <n v="-18125.097037037034"/>
    <n v="-10080.25"/>
    <n v="-18125.097037037034"/>
    <n v="0"/>
  </r>
  <r>
    <s v="eOMxkwaqNZH7Vznj6o6XTA4KJOvewbhnEVmgd"/>
    <s v="added"/>
    <n v="427.69"/>
    <s v="Transfer, Debit"/>
    <s v="2022-08-21, 8:00:00 p.m."/>
    <s v="CAD"/>
    <m/>
    <x v="68"/>
    <s v="other"/>
    <b v="0"/>
    <s v="vbVy94p8zwTZVRYD787pCbvAOBy1zeFVZxAPN"/>
    <s v="RBC Staff Banking"/>
    <s v="RBC Royal Bank"/>
    <s v="debit"/>
    <x v="0"/>
    <x v="30"/>
    <x v="4"/>
    <b v="0"/>
    <n v="12589.494482758622"/>
    <n v="6337.6099999999988"/>
    <n v="12589.494482758622"/>
    <n v="0"/>
  </r>
  <r>
    <s v="eOMxkwaqNZH7Vznj6o6XTA4KJOvewbhnEVmgd"/>
    <s v="added"/>
    <n v="2500"/>
    <s v="Transfer, Debit"/>
    <s v="2022-08-21, 8:00:00 p.m."/>
    <s v="CAD"/>
    <m/>
    <x v="69"/>
    <s v="other"/>
    <b v="0"/>
    <s v="0XDrJpO173S7XKVnMwM4TZO9yeN74wCApZmBB"/>
    <s v="RBC Staff Banking"/>
    <s v="RBC Royal Bank"/>
    <s v="debit"/>
    <x v="1"/>
    <x v="30"/>
    <x v="4"/>
    <b v="0"/>
    <n v="14532.989714285719"/>
    <n v="3646.9700000000003"/>
    <n v="14532.989714285719"/>
    <n v="0"/>
  </r>
  <r>
    <s v="eOMxkwaqNZH7Vznj6o6XTA4KJOvewbhnEVmgd"/>
    <s v="added"/>
    <n v="50"/>
    <s v="Transfer, Debit"/>
    <s v="2022-08-24, 8:00:00 p.m."/>
    <s v="CAD"/>
    <m/>
    <x v="4"/>
    <s v="other"/>
    <b v="0"/>
    <s v="AXN3ez01jbS3APoek4kdu09LwN1vAaCMVrzgX"/>
    <s v="RBC Staff Banking"/>
    <s v="RBC Royal Bank"/>
    <s v="debit"/>
    <x v="1"/>
    <x v="31"/>
    <x v="4"/>
    <b v="0"/>
    <n v="14532.989714285719"/>
    <n v="3646.9700000000003"/>
    <n v="14532.989714285719"/>
    <n v="0"/>
  </r>
  <r>
    <s v="eOMxkwaqNZH7Vznj6o6XTA4KJOvewbhnEVmgd"/>
    <s v="added"/>
    <n v="-0.01"/>
    <s v="Interest, Interest Earned"/>
    <s v="2022-08-31, 8:00:00 p.m."/>
    <s v="CAD"/>
    <m/>
    <x v="70"/>
    <s v="other"/>
    <b v="0"/>
    <s v="yb6XYJp8zDT3z0Oj6P61uAR95LwZj7TpQev1Y"/>
    <s v="RBC Staff Banking"/>
    <s v="RBC Royal Bank"/>
    <s v="credit"/>
    <x v="4"/>
    <x v="32"/>
    <x v="4"/>
    <b v="0"/>
    <n v="-0.01"/>
    <n v="-0.01"/>
    <n v="-0.01"/>
    <n v="0"/>
  </r>
  <r>
    <s v="eOMxkwaqNZH7Vznj6o6XTA4KJOvewbhnEVmgd"/>
    <s v="added"/>
    <n v="909.03"/>
    <s v="Transfer, Debit"/>
    <s v="2022-08-31, 8:00:00 p.m."/>
    <s v="CAD"/>
    <m/>
    <x v="71"/>
    <s v="other"/>
    <b v="0"/>
    <s v="KYmvezN0bnso8Rk5dDdyTx4XOVejyKUE9a6Y7"/>
    <s v="RBC Staff Banking"/>
    <s v="RBC Royal Bank"/>
    <s v="debit"/>
    <x v="0"/>
    <x v="32"/>
    <x v="4"/>
    <b v="0"/>
    <n v="12589.494482758622"/>
    <n v="6337.6099999999988"/>
    <n v="12589.494482758622"/>
    <n v="0"/>
  </r>
  <r>
    <s v="eOMxkwaqNZH7Vznj6o6XTA4KJOvewbhnEVmgd"/>
    <s v="added"/>
    <n v="-104"/>
    <s v="Transfer, Credit"/>
    <s v="2022-08-31, 8:00:00 p.m."/>
    <s v="CAD"/>
    <m/>
    <x v="66"/>
    <s v="other"/>
    <b v="0"/>
    <s v="kObx4qpAm9HOVm5g9D90iNbgweVADmHo5znw6"/>
    <s v="RBC Staff Banking"/>
    <s v="RBC Royal Bank"/>
    <s v="credit"/>
    <x v="1"/>
    <x v="32"/>
    <x v="4"/>
    <b v="0"/>
    <n v="14532.989714285719"/>
    <n v="3646.9700000000003"/>
    <n v="14532.989714285719"/>
    <n v="0"/>
  </r>
  <r>
    <s v="eOMxkwaqNZH7Vznj6o6XTA4KJOvewbhnEVmgd"/>
    <s v="added"/>
    <n v="-2000"/>
    <s v="Transfer, Credit"/>
    <s v="2022-09-05, 8:00:00 p.m."/>
    <s v="CAD"/>
    <m/>
    <x v="66"/>
    <s v="other"/>
    <b v="0"/>
    <s v="3XqR5pwB6kSDXQKBzEzJcMaqRzJov7Io13RZJ"/>
    <s v="RBC Staff Banking"/>
    <s v="RBC Royal Bank"/>
    <s v="credit"/>
    <x v="1"/>
    <x v="33"/>
    <x v="5"/>
    <b v="0"/>
    <n v="14532.989714285719"/>
    <n v="-2869"/>
    <n v="14532.989714285719"/>
    <n v="0"/>
  </r>
  <r>
    <s v="eOMxkwaqNZH7Vznj6o6XTA4KJOvewbhnEVmgd"/>
    <s v="added"/>
    <n v="-1800"/>
    <s v="Transfer, Credit"/>
    <s v="2022-09-07, 8:00:00 p.m."/>
    <s v="CAD"/>
    <m/>
    <x v="66"/>
    <s v="other"/>
    <b v="0"/>
    <s v="BXVyezjPrgSxXRna9M9wIa65QjPRpru3BPrqO"/>
    <s v="RBC Staff Banking"/>
    <s v="RBC Royal Bank"/>
    <s v="credit"/>
    <x v="1"/>
    <x v="34"/>
    <x v="5"/>
    <b v="0"/>
    <n v="14532.989714285719"/>
    <n v="-2869"/>
    <n v="14532.989714285719"/>
    <n v="0"/>
  </r>
  <r>
    <s v="eOMxkwaqNZH7Vznj6o6XTA4KJOvewbhnEVmgd"/>
    <s v="added"/>
    <n v="4035.93"/>
    <s v="Transfer, Debit"/>
    <s v="2022-09-11, 8:00:00 p.m."/>
    <s v="CAD"/>
    <m/>
    <x v="72"/>
    <s v="other"/>
    <b v="0"/>
    <s v="PpbjezRnN6TVNZrBQMQ0UYbVLx7r4zIo90BQD"/>
    <s v="RBC Staff Banking"/>
    <s v="RBC Royal Bank"/>
    <s v="debit"/>
    <x v="0"/>
    <x v="35"/>
    <x v="5"/>
    <b v="0"/>
    <n v="12589.494482758622"/>
    <n v="7356.01"/>
    <n v="12589.494482758622"/>
    <n v="0"/>
  </r>
  <r>
    <s v="eOMxkwaqNZH7Vznj6o6XTA4KJOvewbhnEVmgd"/>
    <s v="added"/>
    <n v="-155"/>
    <s v="Transfer, Credit"/>
    <s v="2022-09-11, 8:00:00 p.m."/>
    <s v="CAD"/>
    <m/>
    <x v="66"/>
    <s v="other"/>
    <b v="0"/>
    <s v="qbx15Ap8zQTerAqKYXY1SVoL9aNBdRIDdm7Zk"/>
    <s v="RBC Staff Banking"/>
    <s v="RBC Royal Bank"/>
    <s v="credit"/>
    <x v="1"/>
    <x v="35"/>
    <x v="5"/>
    <b v="0"/>
    <n v="14532.989714285719"/>
    <n v="-2869"/>
    <n v="14532.989714285719"/>
    <n v="0"/>
  </r>
  <r>
    <s v="eOMxkwaqNZH7Vznj6o6XTA4KJOvewbhnEVmgd"/>
    <s v="added"/>
    <n v="-64"/>
    <s v="Transfer, Credit"/>
    <s v="2022-09-14, 8:00:00 p.m."/>
    <s v="CAD"/>
    <m/>
    <x v="66"/>
    <s v="other"/>
    <b v="0"/>
    <s v="1X148pJPdyS3OmV1M6MauzwEebajN6UnPzeBA"/>
    <s v="RBC Staff Banking"/>
    <s v="RBC Royal Bank"/>
    <s v="credit"/>
    <x v="1"/>
    <x v="36"/>
    <x v="5"/>
    <b v="0"/>
    <n v="14532.989714285719"/>
    <n v="-2869"/>
    <n v="14532.989714285719"/>
    <n v="0"/>
  </r>
  <r>
    <s v="eOMxkwaqNZH7Vznj6o6XTA4KJOvewbhnEVmgd"/>
    <s v="added"/>
    <n v="-2000"/>
    <s v="Transfer, Credit"/>
    <s v="2022-09-18, 8:00:00 p.m."/>
    <s v="CAD"/>
    <m/>
    <x v="73"/>
    <s v="other"/>
    <b v="0"/>
    <s v="DpYkezRBa9T69a1DqJqLC0nKeY5LyvCw5x9vq"/>
    <s v="RBC Staff Banking"/>
    <s v="RBC Royal Bank"/>
    <s v="credit"/>
    <x v="5"/>
    <x v="37"/>
    <x v="5"/>
    <b v="0"/>
    <n v="-3209.0714285714284"/>
    <n v="-4733"/>
    <n v="-3209.0714285714284"/>
    <n v="0"/>
  </r>
  <r>
    <s v="eOMxkwaqNZH7Vznj6o6XTA4KJOvewbhnEVmgd"/>
    <s v="added"/>
    <n v="1198.1500000000001"/>
    <s v="Transfer, Debit"/>
    <s v="2022-09-19, 8:00:00 p.m."/>
    <s v="CAD"/>
    <m/>
    <x v="74"/>
    <s v="other"/>
    <b v="0"/>
    <s v="dO9xKdaPN8H9zOvYwpwosEkP31wpmBhKYXx3o"/>
    <s v="RBC Staff Banking"/>
    <s v="RBC Royal Bank"/>
    <s v="debit"/>
    <x v="0"/>
    <x v="38"/>
    <x v="5"/>
    <b v="0"/>
    <n v="12589.494482758622"/>
    <n v="7356.01"/>
    <n v="12589.494482758622"/>
    <n v="0"/>
  </r>
  <r>
    <s v="eOMxkwaqNZH7Vznj6o6XTA4KJOvewbhnEVmgd"/>
    <s v="added"/>
    <n v="1500"/>
    <s v="Transfer, Debit"/>
    <s v="2022-09-19, 8:00:00 p.m."/>
    <s v="CAD"/>
    <m/>
    <x v="69"/>
    <s v="other"/>
    <b v="0"/>
    <s v="wbdKVap8z6T7VjE84p4vT0RyPZOqzpCKQ0j6v"/>
    <s v="RBC Staff Banking"/>
    <s v="RBC Royal Bank"/>
    <s v="debit"/>
    <x v="1"/>
    <x v="38"/>
    <x v="5"/>
    <b v="0"/>
    <n v="14532.989714285719"/>
    <n v="-2869"/>
    <n v="14532.989714285719"/>
    <n v="0"/>
  </r>
  <r>
    <s v="eOMxkwaqNZH7Vznj6o6XTA4KJOvewbhnEVmgd"/>
    <s v="added"/>
    <n v="-2000"/>
    <s v="Transfer, Credit"/>
    <s v="2022-09-19, 8:00:00 p.m."/>
    <s v="CAD"/>
    <m/>
    <x v="73"/>
    <s v="other"/>
    <b v="0"/>
    <s v="6XyrgpDK10SB8yvazqz5CNov40aVwOHw8g4oy"/>
    <s v="RBC Staff Banking"/>
    <s v="RBC Royal Bank"/>
    <s v="credit"/>
    <x v="5"/>
    <x v="38"/>
    <x v="5"/>
    <b v="0"/>
    <n v="-3209.0714285714284"/>
    <n v="-4733"/>
    <n v="-3209.0714285714284"/>
    <n v="0"/>
  </r>
  <r>
    <s v="eOMxkwaqNZH7Vznj6o6XTA4KJOvewbhnEVmgd"/>
    <s v="added"/>
    <n v="-733"/>
    <s v="Transfer, Credit"/>
    <s v="2022-09-19, 8:00:00 p.m."/>
    <s v="CAD"/>
    <m/>
    <x v="73"/>
    <s v="other"/>
    <b v="0"/>
    <s v="LNJEezRjgpuv83A7wmwKTZaP56woj1CZqbnKd"/>
    <s v="RBC Staff Banking"/>
    <s v="RBC Royal Bank"/>
    <s v="credit"/>
    <x v="5"/>
    <x v="38"/>
    <x v="5"/>
    <b v="0"/>
    <n v="-3209.0714285714284"/>
    <n v="-4733"/>
    <n v="-3209.0714285714284"/>
    <n v="0"/>
  </r>
  <r>
    <s v="eOMxkwaqNZH7Vznj6o6XTA4KJOvewbhnEVmgd"/>
    <s v="added"/>
    <n v="2121.9299999999998"/>
    <s v="Transfer, Debit"/>
    <s v="2022-09-22, 8:00:00 p.m."/>
    <s v="CAD"/>
    <m/>
    <x v="75"/>
    <s v="other"/>
    <b v="0"/>
    <s v="mN4wx3p0zOuZMxmrzRzyCq8rkQPRe6uBbgLDB"/>
    <s v="RBC Staff Banking"/>
    <s v="RBC Royal Bank"/>
    <s v="debit"/>
    <x v="0"/>
    <x v="39"/>
    <x v="5"/>
    <b v="0"/>
    <n v="12589.494482758622"/>
    <n v="7356.01"/>
    <n v="12589.494482758622"/>
    <n v="0"/>
  </r>
  <r>
    <s v="eOMxkwaqNZH7Vznj6o6XTA4KJOvewbhnEVmgd"/>
    <s v="added"/>
    <n v="-350"/>
    <s v="Transfer, Credit"/>
    <s v="2022-09-28, 8:00:00 p.m."/>
    <s v="CAD"/>
    <m/>
    <x v="66"/>
    <s v="other"/>
    <b v="0"/>
    <s v="zbLXY8dVz1Tm4RXq9P9buZMDN463qzCve06ZO"/>
    <s v="RBC Staff Banking"/>
    <s v="RBC Royal Bank"/>
    <s v="credit"/>
    <x v="1"/>
    <x v="40"/>
    <x v="5"/>
    <b v="0"/>
    <n v="14532.989714285719"/>
    <n v="-2869"/>
    <n v="14532.989714285719"/>
    <n v="0"/>
  </r>
  <r>
    <s v="eOMxkwaqNZH7Vznj6o6XTA4KJOvewbhnEVmgd"/>
    <s v="added"/>
    <n v="520"/>
    <s v="Transfer, Debit"/>
    <s v="2022-10-02, 8:00:00 p.m."/>
    <s v="CAD"/>
    <m/>
    <x v="76"/>
    <s v="other"/>
    <b v="0"/>
    <s v="Xp8jezanNyTBNo6ARXRZC15emqw3KxHdEA3w3"/>
    <s v="RBC Staff Banking"/>
    <s v="RBC Royal Bank"/>
    <s v="debit"/>
    <x v="0"/>
    <x v="41"/>
    <x v="6"/>
    <b v="0"/>
    <n v="12589.494482758622"/>
    <n v="6060.5199999999995"/>
    <n v="12589.494482758622"/>
    <n v="0"/>
  </r>
  <r>
    <s v="eOMxkwaqNZH7Vznj6o6XTA4KJOvewbhnEVmgd"/>
    <s v="added"/>
    <n v="350"/>
    <s v="Transfer, Debit"/>
    <s v="2022-10-02, 8:00:00 p.m."/>
    <s v="CAD"/>
    <m/>
    <x v="77"/>
    <s v="other"/>
    <b v="0"/>
    <s v="NpJvYzRnNdTaNZ0XOMOATOvyme7ABYioje1Jg"/>
    <s v="RBC Staff Banking"/>
    <s v="RBC Royal Bank"/>
    <s v="debit"/>
    <x v="0"/>
    <x v="41"/>
    <x v="6"/>
    <b v="0"/>
    <n v="12589.494482758622"/>
    <n v="6060.5199999999995"/>
    <n v="12589.494482758622"/>
    <n v="0"/>
  </r>
  <r>
    <s v="eOMxkwaqNZH7Vznj6o6XTA4KJOvewbhnEVmgd"/>
    <s v="added"/>
    <n v="250"/>
    <s v="Transfer, Debit"/>
    <s v="2022-10-02, 8:00:00 p.m."/>
    <s v="CAD"/>
    <m/>
    <x v="2"/>
    <s v="other"/>
    <b v="0"/>
    <s v="eOMxkwaqNZH7Vznj6o6XTA4vJObVpKTnBm8Jj"/>
    <s v="RBC Staff Banking"/>
    <s v="RBC Royal Bank"/>
    <s v="debit"/>
    <x v="1"/>
    <x v="41"/>
    <x v="6"/>
    <b v="0"/>
    <n v="14532.989714285719"/>
    <n v="-69.13"/>
    <n v="14532.989714285719"/>
    <n v="0"/>
  </r>
  <r>
    <s v="eOMxkwaqNZH7Vznj6o6XTA4KJOvewbhnEVmgd"/>
    <s v="added"/>
    <n v="-770"/>
    <s v="Transfer, Credit"/>
    <s v="2022-10-02, 8:00:00 p.m."/>
    <s v="CAD"/>
    <m/>
    <x v="73"/>
    <s v="other"/>
    <b v="0"/>
    <s v="Yepjdz7nNKt6JRzgrpr5C8LVBoYkynfJvkKxe"/>
    <s v="RBC Staff Banking"/>
    <s v="RBC Royal Bank"/>
    <s v="credit"/>
    <x v="5"/>
    <x v="41"/>
    <x v="6"/>
    <b v="0"/>
    <n v="-3209.0714285714284"/>
    <n v="-2388"/>
    <n v="-3209.0714285714284"/>
    <n v="0"/>
  </r>
  <r>
    <s v="eOMxkwaqNZH7Vznj6o6XTA4KJOvewbhnEVmgd"/>
    <s v="added"/>
    <n v="2523.39"/>
    <s v="Transfer, Debit"/>
    <s v="2022-10-03, 8:00:00 p.m."/>
    <s v="CAD"/>
    <m/>
    <x v="78"/>
    <s v="other"/>
    <b v="0"/>
    <s v="QpJ5ezRXNLTNEw45P1PjHB0VAQrj7MtO8YpDB"/>
    <s v="RBC Staff Banking"/>
    <s v="RBC Royal Bank"/>
    <s v="debit"/>
    <x v="0"/>
    <x v="42"/>
    <x v="6"/>
    <b v="0"/>
    <n v="12589.494482758622"/>
    <n v="6060.5199999999995"/>
    <n v="12589.494482758622"/>
    <n v="0"/>
  </r>
  <r>
    <s v="eOMxkwaqNZH7Vznj6o6XTA4KJOvewbhnEVmgd"/>
    <s v="added"/>
    <n v="1500"/>
    <s v="Transfer, Debit"/>
    <s v="2022-10-03, 8:00:00 p.m."/>
    <s v="CAD"/>
    <m/>
    <x v="69"/>
    <s v="other"/>
    <b v="0"/>
    <s v="nN46JypjzMu8QYa5zKzrIVjqMJ6z3LIBzRbnO"/>
    <s v="RBC Staff Banking"/>
    <s v="RBC Royal Bank"/>
    <s v="debit"/>
    <x v="1"/>
    <x v="42"/>
    <x v="6"/>
    <b v="0"/>
    <n v="14532.989714285719"/>
    <n v="-69.13"/>
    <n v="14532.989714285719"/>
    <n v="0"/>
  </r>
  <r>
    <s v="eOMxkwaqNZH7Vznj6o6XTA4KJOvewbhnEVmgd"/>
    <s v="added"/>
    <n v="-4023.39"/>
    <s v="Bank Fees, Foreign Transaction"/>
    <s v="2022-10-03, 8:00:00 p.m."/>
    <s v="CAD"/>
    <m/>
    <x v="79"/>
    <s v="other"/>
    <b v="0"/>
    <s v="pb4DZkp8zRTK7y0VqjqAT7D6dOa9NYh3YE91p"/>
    <s v="RBC Staff Banking"/>
    <s v="RBC Royal Bank"/>
    <s v="credit"/>
    <x v="2"/>
    <x v="42"/>
    <x v="6"/>
    <b v="0"/>
    <n v="-18125.097037037034"/>
    <n v="-4023.39"/>
    <n v="-18125.097037037034"/>
    <n v="0"/>
  </r>
  <r>
    <s v="eOMxkwaqNZH7Vznj6o6XTA4KJOvewbhnEVmgd"/>
    <s v="added"/>
    <n v="770"/>
    <s v="Transfer, Debit"/>
    <s v="2022-10-04, 8:00:00 p.m."/>
    <s v="CAD"/>
    <m/>
    <x v="80"/>
    <s v="other"/>
    <b v="0"/>
    <s v="EpbNezRmxVTmn9PBE8EDupkqO6mLyrIQxmVkM"/>
    <s v="RBC Staff Banking"/>
    <s v="RBC Royal Bank"/>
    <s v="debit"/>
    <x v="0"/>
    <x v="43"/>
    <x v="6"/>
    <b v="0"/>
    <n v="12589.494482758622"/>
    <n v="6060.5199999999995"/>
    <n v="12589.494482758622"/>
    <n v="0"/>
  </r>
  <r>
    <s v="eOMxkwaqNZH7Vznj6o6XTA4KJOvewbhnEVmgd"/>
    <s v="added"/>
    <n v="-770"/>
    <s v="Transfer, Credit"/>
    <s v="2022-10-04, 8:00:00 p.m."/>
    <s v="CAD"/>
    <m/>
    <x v="81"/>
    <s v="other"/>
    <b v="0"/>
    <s v="RXJjezRnNDSkNOaAe7ersEnVX69vo5hewxMQY"/>
    <s v="RBC Staff Banking"/>
    <s v="RBC Royal Bank"/>
    <s v="credit"/>
    <x v="5"/>
    <x v="43"/>
    <x v="6"/>
    <b v="0"/>
    <n v="-3209.0714285714284"/>
    <n v="-2388"/>
    <n v="-3209.0714285714284"/>
    <n v="0"/>
  </r>
  <r>
    <s v="eOMxkwaqNZH7Vznj6o6XTA4KJOvewbhnEVmgd"/>
    <s v="added"/>
    <n v="-22"/>
    <s v="Transfer, Credit"/>
    <s v="2022-10-10, 8:00:00 p.m."/>
    <s v="CAD"/>
    <m/>
    <x v="73"/>
    <s v="other"/>
    <b v="0"/>
    <s v="MpJZezRn7XToeMmQ6r6kTn1Y9wDExAIXoZLez"/>
    <s v="RBC Staff Banking"/>
    <s v="RBC Royal Bank"/>
    <s v="credit"/>
    <x v="5"/>
    <x v="44"/>
    <x v="6"/>
    <b v="0"/>
    <n v="-3209.0714285714284"/>
    <n v="-2388"/>
    <n v="-3209.0714285714284"/>
    <n v="0"/>
  </r>
  <r>
    <s v="eOMxkwaqNZH7Vznj6o6XTA4KJOvewbhnEVmgd"/>
    <s v="added"/>
    <n v="-35"/>
    <s v="Transfer, Credit"/>
    <s v="2022-10-11, 8:00:00 p.m."/>
    <s v="CAD"/>
    <m/>
    <x v="66"/>
    <s v="other"/>
    <b v="0"/>
    <s v="OpOQezXnNwT19bjmMBMvsZyjQ75eoYCxyd0aO"/>
    <s v="RBC Staff Banking"/>
    <s v="RBC Royal Bank"/>
    <s v="credit"/>
    <x v="1"/>
    <x v="45"/>
    <x v="6"/>
    <b v="0"/>
    <n v="14532.989714285719"/>
    <n v="-69.13"/>
    <n v="14532.989714285719"/>
    <n v="0"/>
  </r>
  <r>
    <s v="eOMxkwaqNZH7Vznj6o6XTA4KJOvewbhnEVmgd"/>
    <s v="added"/>
    <n v="57"/>
    <s v="Transfer, Debit"/>
    <s v="2022-10-12, 8:00:00 p.m."/>
    <s v="CAD"/>
    <m/>
    <x v="26"/>
    <s v="other"/>
    <b v="0"/>
    <s v="VpQOez8nNBT0NRm8n6nJCAg8mvOeq3T4V1bw3"/>
    <s v="RBC Staff Banking"/>
    <s v="RBC Royal Bank"/>
    <s v="debit"/>
    <x v="0"/>
    <x v="46"/>
    <x v="6"/>
    <b v="0"/>
    <n v="12589.494482758622"/>
    <n v="6060.5199999999995"/>
    <n v="12589.494482758622"/>
    <n v="0"/>
  </r>
  <r>
    <s v="eOMxkwaqNZH7Vznj6o6XTA4KJOvewbhnEVmgd"/>
    <s v="added"/>
    <n v="-884.13"/>
    <s v="Transfer, Credit"/>
    <s v="2022-10-13, 8:00:00 p.m."/>
    <s v="CAD"/>
    <m/>
    <x v="49"/>
    <s v="other"/>
    <b v="0"/>
    <s v="9XAwVpqvB4SJ7qVOnyngi8Mg3XoQPjfg1e3DE"/>
    <s v="RBC Staff Banking"/>
    <s v="RBC Royal Bank"/>
    <s v="credit"/>
    <x v="1"/>
    <x v="47"/>
    <x v="6"/>
    <b v="0"/>
    <n v="14532.989714285719"/>
    <n v="-69.13"/>
    <n v="14532.989714285719"/>
    <n v="0"/>
  </r>
  <r>
    <s v="eOMxkwaqNZH7Vznj6o6XTA4KJOvewbhnEVmgd"/>
    <s v="added"/>
    <n v="884.13"/>
    <s v="Transfer, Debit"/>
    <s v="2022-10-16, 8:00:00 p.m."/>
    <s v="CAD"/>
    <m/>
    <x v="82"/>
    <s v="other"/>
    <b v="0"/>
    <s v="7XKm7e1kPjSN8406PMPpHBoDkwnM6Zt0eVojL"/>
    <s v="RBC Staff Banking"/>
    <s v="RBC Royal Bank"/>
    <s v="debit"/>
    <x v="0"/>
    <x v="48"/>
    <x v="6"/>
    <b v="0"/>
    <n v="12589.494482758622"/>
    <n v="6060.5199999999995"/>
    <n v="12589.494482758622"/>
    <n v="0"/>
  </r>
  <r>
    <s v="eOMxkwaqNZH7Vznj6o6XTA4KJOvewbhnEVmgd"/>
    <s v="added"/>
    <n v="-400"/>
    <s v="Transfer, Credit"/>
    <s v="2022-10-20, 8:00:00 p.m."/>
    <s v="CAD"/>
    <m/>
    <x v="66"/>
    <s v="other"/>
    <b v="0"/>
    <s v="gO8zvLa3NoHaQ0YpjAjgTz6wOrNX97U8JeyLJ"/>
    <s v="RBC Staff Banking"/>
    <s v="RBC Royal Bank"/>
    <s v="credit"/>
    <x v="1"/>
    <x v="49"/>
    <x v="6"/>
    <b v="0"/>
    <n v="14532.989714285719"/>
    <n v="-69.13"/>
    <n v="14532.989714285719"/>
    <n v="0"/>
  </r>
  <r>
    <s v="eOMxkwaqNZH7Vznj6o6XTA4KJOvewbhnEVmgd"/>
    <s v="added"/>
    <n v="900"/>
    <s v="Transfer, Debit"/>
    <s v="2022-10-30, 8:00:00 p.m."/>
    <s v="CAD"/>
    <m/>
    <x v="83"/>
    <s v="other"/>
    <b v="0"/>
    <s v="5X3rbpLyDvSjXnV1EPEZi9zQ3D1jgwcwvj39k"/>
    <s v="RBC Staff Banking"/>
    <s v="RBC Royal Bank"/>
    <s v="debit"/>
    <x v="0"/>
    <x v="50"/>
    <x v="6"/>
    <b v="0"/>
    <n v="12589.494482758622"/>
    <n v="6060.5199999999995"/>
    <n v="12589.494482758622"/>
    <n v="0"/>
  </r>
  <r>
    <s v="eOMxkwaqNZH7Vznj6o6XTA4KJOvewbhnEVmgd"/>
    <s v="added"/>
    <n v="-500"/>
    <s v="Transfer, Credit"/>
    <s v="2022-10-30, 8:00:00 p.m."/>
    <s v="CAD"/>
    <m/>
    <x v="49"/>
    <s v="other"/>
    <b v="0"/>
    <s v="oN4L8KpOzEuYrb1g4k4vTxr91PjR3pU4wmDZ8"/>
    <s v="RBC Staff Banking"/>
    <s v="RBC Royal Bank"/>
    <s v="credit"/>
    <x v="1"/>
    <x v="50"/>
    <x v="6"/>
    <b v="0"/>
    <n v="14532.989714285719"/>
    <n v="-69.13"/>
    <n v="14532.989714285719"/>
    <n v="0"/>
  </r>
  <r>
    <s v="eOMxkwaqNZH7Vznj6o6XTA4KJOvewbhnEVmgd"/>
    <s v="added"/>
    <n v="-56"/>
    <s v="Transfer, Credit"/>
    <s v="2022-10-30, 8:00:00 p.m."/>
    <s v="CAD"/>
    <m/>
    <x v="73"/>
    <s v="other"/>
    <b v="0"/>
    <s v="bp893zMDNxT90nm7Q5QEskAbRZX0jzCJnEXw0"/>
    <s v="RBC Staff Banking"/>
    <s v="RBC Royal Bank"/>
    <s v="credit"/>
    <x v="5"/>
    <x v="50"/>
    <x v="6"/>
    <b v="0"/>
    <n v="-3209.0714285714284"/>
    <n v="-2388"/>
    <n v="-3209.0714285714284"/>
    <n v="0"/>
  </r>
  <r>
    <s v="eOMxkwaqNZH7Vznj6o6XTA4KJOvewbhnEVmgd"/>
    <s v="added"/>
    <n v="56"/>
    <s v="Transfer, Debit"/>
    <s v="2022-10-31, 8:00:00 p.m."/>
    <s v="CAD"/>
    <m/>
    <x v="84"/>
    <s v="other"/>
    <b v="0"/>
    <s v="8ekd9pPAqrtQrAjep3pmc6b3P1gLRmIxDbPQ6"/>
    <s v="RBC Staff Banking"/>
    <s v="RBC Royal Bank"/>
    <s v="debit"/>
    <x v="0"/>
    <x v="51"/>
    <x v="6"/>
    <b v="0"/>
    <n v="12589.494482758622"/>
    <n v="6060.5199999999995"/>
    <n v="12589.494482758622"/>
    <n v="0"/>
  </r>
  <r>
    <s v="eOMxkwaqNZH7Vznj6o6XTA4KJOvewbhnEVmgd"/>
    <s v="added"/>
    <n v="-770"/>
    <s v="Transfer, Credit"/>
    <s v="2022-10-31, 8:00:00 p.m."/>
    <s v="CAD"/>
    <m/>
    <x v="73"/>
    <s v="other"/>
    <b v="0"/>
    <s v="ZORJwzanNkHyVPDOemeocB6pX7EqzMtbmYMJA"/>
    <s v="RBC Staff Banking"/>
    <s v="RBC Royal Bank"/>
    <s v="credit"/>
    <x v="5"/>
    <x v="51"/>
    <x v="6"/>
    <b v="0"/>
    <n v="-3209.0714285714284"/>
    <n v="-2388"/>
    <n v="-3209.0714285714284"/>
    <n v="0"/>
  </r>
  <r>
    <s v="eOMxkwaqNZH7Vznj6o6XTA4KJOvewbhnEVmgd"/>
    <s v="added"/>
    <n v="770"/>
    <s v="Transfer, Debit"/>
    <s v="2022-11-01, 8:00:00 p.m."/>
    <s v="CAD"/>
    <m/>
    <x v="69"/>
    <s v="other"/>
    <b v="0"/>
    <s v="JpJrezRvoQTpmz9wbZb3IX5DmZejR0HmyJeo1"/>
    <s v="RBC Staff Banking"/>
    <s v="RBC Royal Bank"/>
    <s v="debit"/>
    <x v="1"/>
    <x v="52"/>
    <x v="7"/>
    <b v="0"/>
    <n v="14532.989714285719"/>
    <n v="-482.64"/>
    <n v="14532.989714285719"/>
    <n v="0"/>
  </r>
  <r>
    <s v="eOMxkwaqNZH7Vznj6o6XTA4KJOvewbhnEVmgd"/>
    <s v="added"/>
    <n v="252"/>
    <s v="Transfer, Debit"/>
    <s v="2022-11-20, 7:00:00 p.m."/>
    <s v="CAD"/>
    <m/>
    <x v="85"/>
    <s v="other"/>
    <b v="0"/>
    <s v="aOmnBzRLeaHw07Ken5nMiKY1XRyknxI76JmYx"/>
    <s v="RBC Staff Banking"/>
    <s v="RBC Royal Bank"/>
    <s v="debit"/>
    <x v="0"/>
    <x v="53"/>
    <x v="7"/>
    <b v="0"/>
    <n v="12589.494482758622"/>
    <n v="2022.6399999999999"/>
    <n v="12589.494482758622"/>
    <n v="0"/>
  </r>
  <r>
    <s v="eOMxkwaqNZH7Vznj6o6XTA4KJOvewbhnEVmgd"/>
    <s v="added"/>
    <n v="-252"/>
    <s v="Transfer, Credit"/>
    <s v="2022-11-20, 7:00:00 p.m."/>
    <s v="CAD"/>
    <m/>
    <x v="86"/>
    <s v="other"/>
    <b v="0"/>
    <s v="xbwkYxX7zLT9rJvXa0a1swmEBLdAn0hOdw9r1"/>
    <s v="RBC Staff Banking"/>
    <s v="RBC Royal Bank"/>
    <s v="credit"/>
    <x v="1"/>
    <x v="53"/>
    <x v="7"/>
    <b v="0"/>
    <n v="14532.989714285719"/>
    <n v="-482.64"/>
    <n v="14532.989714285719"/>
    <n v="0"/>
  </r>
  <r>
    <s v="eOMxkwaqNZH7Vznj6o6XTA4KJOvewbhnEVmgd"/>
    <s v="added"/>
    <n v="1000.64"/>
    <s v="Transfer, Debit"/>
    <s v="2022-11-27, 7:00:00 p.m."/>
    <s v="CAD"/>
    <m/>
    <x v="87"/>
    <s v="other"/>
    <b v="0"/>
    <s v="rb4Povp8znTzYwXg9A9rIP8EwJAjozHVXqzE3"/>
    <s v="RBC Staff Banking"/>
    <s v="RBC Royal Bank"/>
    <s v="debit"/>
    <x v="0"/>
    <x v="54"/>
    <x v="7"/>
    <b v="0"/>
    <n v="12589.494482758622"/>
    <n v="2022.6399999999999"/>
    <n v="12589.494482758622"/>
    <n v="0"/>
  </r>
  <r>
    <s v="eOMxkwaqNZH7Vznj6o6XTA4KJOvewbhnEVmgd"/>
    <s v="added"/>
    <n v="-1000.64"/>
    <s v="Transfer, Credit"/>
    <s v="2022-11-27, 7:00:00 p.m."/>
    <s v="CAD"/>
    <m/>
    <x v="88"/>
    <s v="other"/>
    <b v="0"/>
    <s v="4XBJop63LASgpJk40108SNX9nADgJBHR3PvNP"/>
    <s v="RBC Staff Banking"/>
    <s v="RBC Royal Bank"/>
    <s v="credit"/>
    <x v="1"/>
    <x v="54"/>
    <x v="7"/>
    <b v="0"/>
    <n v="14532.989714285719"/>
    <n v="-482.64"/>
    <n v="14532.989714285719"/>
    <n v="0"/>
  </r>
  <r>
    <s v="eOMxkwaqNZH7Vznj6o6XTA4KJOvewbhnEVmgd"/>
    <s v="added"/>
    <n v="770"/>
    <s v="Transfer, Debit"/>
    <s v="2022-11-30, 7:00:00 p.m."/>
    <s v="CAD"/>
    <m/>
    <x v="89"/>
    <s v="other"/>
    <b v="0"/>
    <s v="0XDrJpO173S7XKVnMwM4TZO9yeN74wCApZm8B"/>
    <s v="RBC Staff Banking"/>
    <s v="RBC Royal Bank"/>
    <s v="debit"/>
    <x v="0"/>
    <x v="55"/>
    <x v="7"/>
    <b v="0"/>
    <n v="12589.494482758622"/>
    <n v="2022.6399999999999"/>
    <n v="12589.494482758622"/>
    <n v="0"/>
  </r>
  <r>
    <s v="eOMxkwaqNZH7Vznj6o6XTA4KJOvewbhnEVmgd"/>
    <s v="added"/>
    <n v="-770"/>
    <s v="Transfer, Credit"/>
    <s v="2022-11-30, 7:00:00 p.m."/>
    <s v="CAD"/>
    <m/>
    <x v="90"/>
    <s v="other"/>
    <b v="0"/>
    <s v="jOoXrPpkN7HKQmxMzAzLTXvM6gnwZYHexgJO8"/>
    <s v="RBC Staff Banking"/>
    <s v="RBC Royal Bank"/>
    <s v="credit"/>
    <x v="5"/>
    <x v="55"/>
    <x v="7"/>
    <b v="0"/>
    <n v="-3209.0714285714284"/>
    <n v="-770"/>
    <n v="-3209.0714285714284"/>
    <n v="0"/>
  </r>
  <r>
    <s v="eOMxkwaqNZH7Vznj6o6XTA4KJOvewbhnEVmgd"/>
    <s v="added"/>
    <n v="1299.3900000000001"/>
    <s v="Transfer, Debit"/>
    <s v="2022-12-06, 7:00:00 p.m."/>
    <s v="CAD"/>
    <m/>
    <x v="91"/>
    <s v="other"/>
    <b v="0"/>
    <s v="kObx4qpAm9HOVm5g9D90iNbgweVADmHo5zka6"/>
    <s v="RBC Staff Banking"/>
    <s v="RBC Royal Bank"/>
    <s v="debit"/>
    <x v="0"/>
    <x v="56"/>
    <x v="8"/>
    <b v="0"/>
    <n v="12589.494482758622"/>
    <n v="3180.3900000000003"/>
    <n v="12589.494482758622"/>
    <n v="0"/>
  </r>
  <r>
    <s v="eOMxkwaqNZH7Vznj6o6XTA4KJOvewbhnEVmgd"/>
    <s v="added"/>
    <n v="743.46"/>
    <s v="Transfer, Debit"/>
    <s v="2022-12-06, 7:00:00 p.m."/>
    <s v="CAD"/>
    <m/>
    <x v="69"/>
    <s v="other"/>
    <b v="0"/>
    <s v="AXN3ez01jbS3APoek4kdu09LwN1vAaCMVrmXX"/>
    <s v="RBC Staff Banking"/>
    <s v="RBC Royal Bank"/>
    <s v="debit"/>
    <x v="1"/>
    <x v="56"/>
    <x v="8"/>
    <b v="0"/>
    <n v="14532.989714285719"/>
    <n v="-1097.54"/>
    <n v="14532.989714285719"/>
    <n v="0"/>
  </r>
  <r>
    <s v="eOMxkwaqNZH7Vznj6o6XTA4KJOvewbhnEVmgd"/>
    <s v="added"/>
    <n v="-2042.85"/>
    <s v="Bank Fees, Foreign Transaction"/>
    <s v="2022-12-06, 7:00:00 p.m."/>
    <s v="CAD"/>
    <m/>
    <x v="92"/>
    <s v="other"/>
    <b v="0"/>
    <s v="vbVy94p8zwTZVRYD787pCbvAOBy1zeFVZxANN"/>
    <s v="RBC Staff Banking"/>
    <s v="RBC Royal Bank"/>
    <s v="credit"/>
    <x v="2"/>
    <x v="56"/>
    <x v="8"/>
    <b v="0"/>
    <n v="-18125.097037037034"/>
    <n v="-2042.85"/>
    <n v="-18125.097037037034"/>
    <n v="0"/>
  </r>
  <r>
    <s v="eOMxkwaqNZH7Vznj6o6XTA4KJOvewbhnEVmgd"/>
    <s v="added"/>
    <n v="541"/>
    <s v="Transfer, Debit"/>
    <s v="2022-12-12, 7:00:00 p.m."/>
    <s v="CAD"/>
    <m/>
    <x v="93"/>
    <s v="other"/>
    <b v="0"/>
    <s v="yb6XYJp8zDT3z0Oj6P61uAR95LwZj7TpQewAY"/>
    <s v="RBC Staff Banking"/>
    <s v="RBC Royal Bank"/>
    <s v="debit"/>
    <x v="0"/>
    <x v="57"/>
    <x v="8"/>
    <b v="0"/>
    <n v="12589.494482758622"/>
    <n v="3180.3900000000003"/>
    <n v="12589.494482758622"/>
    <n v="0"/>
  </r>
  <r>
    <s v="eOMxkwaqNZH7Vznj6o6XTA4KJOvewbhnEVmgd"/>
    <s v="added"/>
    <n v="-541"/>
    <s v="Transfer, Credit"/>
    <s v="2022-12-12, 7:00:00 p.m."/>
    <s v="CAD"/>
    <m/>
    <x v="94"/>
    <s v="other"/>
    <b v="0"/>
    <s v="KYmvezN0bnso8Rk5dDdyTx4XOVejyKUE9aOD7"/>
    <s v="RBC Staff Banking"/>
    <s v="RBC Royal Bank"/>
    <s v="credit"/>
    <x v="1"/>
    <x v="57"/>
    <x v="8"/>
    <b v="0"/>
    <n v="14532.989714285719"/>
    <n v="-1097.54"/>
    <n v="14532.989714285719"/>
    <n v="0"/>
  </r>
  <r>
    <s v="eOMxkwaqNZH7Vznj6o6XTA4KJOvewbhnEVmgd"/>
    <s v="added"/>
    <n v="-40"/>
    <s v="Transfer, Credit"/>
    <s v="2022-12-18, 7:00:00 p.m."/>
    <s v="CAD"/>
    <m/>
    <x v="95"/>
    <s v="other"/>
    <b v="0"/>
    <s v="3XqR5pwB6kSDXQKBzEzJcMaqRzJov7Io13XwJ"/>
    <s v="RBC Staff Banking"/>
    <s v="RBC Royal Bank"/>
    <s v="credit"/>
    <x v="5"/>
    <x v="58"/>
    <x v="8"/>
    <b v="0"/>
    <n v="-3209.0714285714284"/>
    <n v="-40"/>
    <n v="-3209.0714285714284"/>
    <n v="0"/>
  </r>
  <r>
    <s v="eOMxkwaqNZH7Vznj6o6XTA4KJOvewbhnEVmgd"/>
    <s v="added"/>
    <n v="1340"/>
    <s v="Transfer, Debit"/>
    <s v="2022-12-22, 7:00:00 p.m."/>
    <s v="CAD"/>
    <m/>
    <x v="96"/>
    <s v="other"/>
    <b v="0"/>
    <s v="qbx15Ap8zQTerAqKYXY1SVoL9aNBdRIDdmR8k"/>
    <s v="RBC Staff Banking"/>
    <s v="RBC Royal Bank"/>
    <s v="debit"/>
    <x v="0"/>
    <x v="59"/>
    <x v="8"/>
    <b v="0"/>
    <n v="12589.494482758622"/>
    <n v="3180.3900000000003"/>
    <n v="12589.494482758622"/>
    <n v="0"/>
  </r>
  <r>
    <s v="eOMxkwaqNZH7Vznj6o6XTA4KJOvewbhnEVmgd"/>
    <s v="added"/>
    <n v="-1300"/>
    <s v="Transfer, Credit"/>
    <s v="2022-12-22, 7:00:00 p.m."/>
    <s v="CAD"/>
    <m/>
    <x v="97"/>
    <s v="other"/>
    <b v="0"/>
    <s v="BXVyezjPrgSxXRna9M9wIa65QjPRpru3BPmwO"/>
    <s v="RBC Staff Banking"/>
    <s v="RBC Royal Bank"/>
    <s v="credit"/>
    <x v="1"/>
    <x v="59"/>
    <x v="8"/>
    <b v="0"/>
    <n v="14532.989714285719"/>
    <n v="-1097.54"/>
    <n v="14532.989714285719"/>
    <n v="0"/>
  </r>
  <r>
    <s v="eOMxkwaqNZH7Vznj6o6XTA4KJOvewbhnEVmgd"/>
    <s v="added"/>
    <n v="1386.69"/>
    <s v="Transfer, Debit"/>
    <s v="2023-01-02, 7:00:00 p.m."/>
    <s v="CAD"/>
    <m/>
    <x v="98"/>
    <s v="other"/>
    <b v="0"/>
    <s v="LNJEezRjgpuv83A7wmwKTZaP56woj1CZqb5Ed"/>
    <s v="RBC Staff Banking"/>
    <s v="RBC Royal Bank"/>
    <s v="debit"/>
    <x v="0"/>
    <x v="60"/>
    <x v="9"/>
    <b v="0"/>
    <n v="12589.494482758622"/>
    <n v="4192.58"/>
    <n v="12589.494482758622"/>
    <n v="0"/>
  </r>
  <r>
    <s v="eOMxkwaqNZH7Vznj6o6XTA4KJOvewbhnEVmgd"/>
    <s v="added"/>
    <n v="2500"/>
    <s v="Transfer, Debit"/>
    <s v="2023-01-02, 7:00:00 p.m."/>
    <s v="CAD"/>
    <m/>
    <x v="69"/>
    <s v="other"/>
    <b v="0"/>
    <s v="DpYkezRBa9T69a1DqJqLC0nKeY5LyvCw5xeAq"/>
    <s v="RBC Staff Banking"/>
    <s v="RBC Royal Bank"/>
    <s v="debit"/>
    <x v="1"/>
    <x v="60"/>
    <x v="9"/>
    <b v="0"/>
    <n v="14532.989714285719"/>
    <n v="3719.97"/>
    <n v="14532.989714285719"/>
    <n v="0"/>
  </r>
  <r>
    <s v="eOMxkwaqNZH7Vznj6o6XTA4KJOvewbhnEVmgd"/>
    <s v="added"/>
    <n v="-770"/>
    <s v="Transfer, Credit"/>
    <s v="2023-01-02, 7:00:00 p.m."/>
    <s v="CAD"/>
    <m/>
    <x v="99"/>
    <s v="other"/>
    <b v="0"/>
    <s v="1X148pJPdyS3OmV1M6MauzwEebajN6UnPz5aA"/>
    <s v="RBC Staff Banking"/>
    <s v="RBC Royal Bank"/>
    <s v="credit"/>
    <x v="5"/>
    <x v="60"/>
    <x v="9"/>
    <b v="0"/>
    <n v="-3209.0714285714284"/>
    <n v="-860"/>
    <n v="-3209.0714285714284"/>
    <n v="0"/>
  </r>
  <r>
    <s v="eOMxkwaqNZH7Vznj6o6XTA4KJOvewbhnEVmgd"/>
    <s v="added"/>
    <n v="-4056.6"/>
    <s v="Bank Fees, Foreign Transaction"/>
    <s v="2023-01-02, 7:00:00 p.m."/>
    <s v="CAD"/>
    <m/>
    <x v="100"/>
    <s v="other"/>
    <b v="0"/>
    <s v="PpbjezRnN6TVNZrBQMQ0UYbVLx7r4zIo90LpD"/>
    <s v="RBC Staff Banking"/>
    <s v="RBC Royal Bank"/>
    <s v="credit"/>
    <x v="2"/>
    <x v="60"/>
    <x v="9"/>
    <b v="0"/>
    <n v="-18125.097037037034"/>
    <n v="-7225.5599999999995"/>
    <n v="-18125.097037037034"/>
    <n v="0"/>
  </r>
  <r>
    <s v="eOMxkwaqNZH7Vznj6o6XTA4KJOvewbhnEVmgd"/>
    <s v="added"/>
    <n v="-75"/>
    <s v="Transfer, Credit"/>
    <s v="2023-01-05, 7:00:00 p.m."/>
    <s v="CAD"/>
    <m/>
    <x v="101"/>
    <s v="other"/>
    <b v="0"/>
    <s v="6XyrgpDK10SB8yvazqz5CNov40aVwOHw8gndy"/>
    <s v="RBC Staff Banking"/>
    <s v="RBC Royal Bank"/>
    <s v="credit"/>
    <x v="5"/>
    <x v="61"/>
    <x v="9"/>
    <b v="0"/>
    <n v="-3209.0714285714284"/>
    <n v="-860"/>
    <n v="-3209.0714285714284"/>
    <n v="0"/>
  </r>
  <r>
    <s v="eOMxkwaqNZH7Vznj6o6XTA4KJOvewbhnEVmgd"/>
    <s v="added"/>
    <n v="856.9"/>
    <s v="Transfer, Debit"/>
    <s v="2023-01-08, 7:00:00 p.m."/>
    <s v="CAD"/>
    <m/>
    <x v="69"/>
    <s v="other"/>
    <b v="0"/>
    <s v="wbdKVap8z6T7VjE84p4vT0RyPZOqzpCKQ07wv"/>
    <s v="RBC Staff Banking"/>
    <s v="RBC Royal Bank"/>
    <s v="debit"/>
    <x v="1"/>
    <x v="62"/>
    <x v="9"/>
    <b v="0"/>
    <n v="14532.989714285719"/>
    <n v="3719.97"/>
    <n v="14532.989714285719"/>
    <n v="0"/>
  </r>
  <r>
    <s v="eOMxkwaqNZH7Vznj6o6XTA4KJOvewbhnEVmgd"/>
    <s v="added"/>
    <n v="1345.89"/>
    <s v="Transfer, Debit"/>
    <s v="2023-01-11, 7:00:00 p.m."/>
    <s v="CAD"/>
    <m/>
    <x v="102"/>
    <s v="other"/>
    <b v="0"/>
    <s v="yb6XYJp8zDT3z0Oj6P61uAR95LwZj7TpQewAK"/>
    <s v="RBC Staff Banking"/>
    <s v="RBC Royal Bank"/>
    <s v="debit"/>
    <x v="0"/>
    <x v="63"/>
    <x v="9"/>
    <b v="0"/>
    <n v="12589.494482758622"/>
    <n v="4192.58"/>
    <n v="12589.494482758622"/>
    <n v="0"/>
  </r>
  <r>
    <s v="eOMxkwaqNZH7Vznj6o6XTA4KJOvewbhnEVmgd"/>
    <s v="added"/>
    <n v="1300"/>
    <s v="Transfer, Debit"/>
    <s v="2023-01-11, 7:00:00 p.m."/>
    <s v="CAD"/>
    <m/>
    <x v="103"/>
    <s v="other"/>
    <b v="0"/>
    <s v="KYmvezN0bnso8Rk5dDdyTx4XOVejyKUE9aODZ"/>
    <s v="RBC Staff Banking"/>
    <s v="RBC Royal Bank"/>
    <s v="debit"/>
    <x v="0"/>
    <x v="63"/>
    <x v="9"/>
    <b v="0"/>
    <n v="12589.494482758622"/>
    <n v="4192.58"/>
    <n v="12589.494482758622"/>
    <n v="0"/>
  </r>
  <r>
    <s v="eOMxkwaqNZH7Vznj6o6XTA4KJOvewbhnEVmgd"/>
    <s v="added"/>
    <n v="516.12"/>
    <s v="Transfer, Debit"/>
    <s v="2023-01-11, 7:00:00 p.m."/>
    <s v="CAD"/>
    <m/>
    <x v="69"/>
    <s v="other"/>
    <b v="0"/>
    <s v="kObx4qpAm9HOVm5g9D90iNbgweVADmHo5zka9"/>
    <s v="RBC Staff Banking"/>
    <s v="RBC Royal Bank"/>
    <s v="debit"/>
    <x v="1"/>
    <x v="63"/>
    <x v="9"/>
    <b v="0"/>
    <n v="14532.989714285719"/>
    <n v="3719.97"/>
    <n v="14532.989714285719"/>
    <n v="0"/>
  </r>
  <r>
    <s v="eOMxkwaqNZH7Vznj6o6XTA4KJOvewbhnEVmgd"/>
    <s v="added"/>
    <n v="6.95"/>
    <s v="Transfer, Debit"/>
    <s v="2023-01-11, 7:00:00 p.m."/>
    <s v="CAD"/>
    <m/>
    <x v="2"/>
    <s v="other"/>
    <b v="0"/>
    <s v="AXN3ez01jbS3APoek4kdu09LwN1vAaCMVrmX6"/>
    <s v="RBC Staff Banking"/>
    <s v="RBC Royal Bank"/>
    <s v="debit"/>
    <x v="1"/>
    <x v="63"/>
    <x v="9"/>
    <b v="0"/>
    <n v="14532.989714285719"/>
    <n v="3719.97"/>
    <n v="14532.989714285719"/>
    <n v="0"/>
  </r>
  <r>
    <s v="eOMxkwaqNZH7Vznj6o6XTA4KJOvewbhnEVmgd"/>
    <s v="added"/>
    <n v="-3168.96"/>
    <s v="Bank Fees, Foreign Transaction"/>
    <s v="2023-01-11, 7:00:00 p.m."/>
    <s v="CAD"/>
    <m/>
    <x v="104"/>
    <s v="other"/>
    <b v="0"/>
    <s v="mN4wx3p0zOuZMxmrzRzyCq8rkQPRe6uBbga9B"/>
    <s v="RBC Staff Banking"/>
    <s v="RBC Royal Bank"/>
    <s v="credit"/>
    <x v="2"/>
    <x v="63"/>
    <x v="9"/>
    <b v="0"/>
    <n v="-18125.097037037034"/>
    <n v="-7225.5599999999995"/>
    <n v="-18125.097037037034"/>
    <n v="0"/>
  </r>
  <r>
    <s v="eOMxkwaqNZH7Vznj6o6XTA4KJOvewbhnEVmgd"/>
    <s v="added"/>
    <n v="160"/>
    <s v="Transfer, Debit"/>
    <s v="2023-01-18, 7:00:00 p.m."/>
    <s v="CAD"/>
    <m/>
    <x v="105"/>
    <s v="other"/>
    <b v="0"/>
    <s v="BXVyezjPrgSxXRna9M9wIa65QjPRpru3BPmwm"/>
    <s v="RBC Staff Banking"/>
    <s v="RBC Royal Bank"/>
    <s v="debit"/>
    <x v="0"/>
    <x v="64"/>
    <x v="9"/>
    <b v="0"/>
    <n v="12589.494482758622"/>
    <n v="4192.58"/>
    <n v="12589.494482758622"/>
    <n v="0"/>
  </r>
  <r>
    <s v="eOMxkwaqNZH7Vznj6o6XTA4KJOvewbhnEVmgd"/>
    <s v="added"/>
    <n v="-160"/>
    <s v="Transfer, Credit"/>
    <s v="2023-01-18, 7:00:00 p.m."/>
    <s v="CAD"/>
    <m/>
    <x v="106"/>
    <s v="other"/>
    <b v="0"/>
    <s v="3XqR5pwB6kSDXQKBzEzJcMaqRzJov7Io13XwR"/>
    <s v="RBC Staff Banking"/>
    <s v="RBC Royal Bank"/>
    <s v="credit"/>
    <x v="1"/>
    <x v="64"/>
    <x v="9"/>
    <b v="0"/>
    <n v="14532.989714285719"/>
    <n v="3719.97"/>
    <n v="14532.989714285719"/>
    <n v="0"/>
  </r>
  <r>
    <s v="eOMxkwaqNZH7Vznj6o6XTA4KJOvewbhnEVmgd"/>
    <s v="added"/>
    <n v="-15"/>
    <s v="Transfer, Credit"/>
    <s v="2023-01-22, 7:00:00 p.m."/>
    <s v="CAD"/>
    <m/>
    <x v="107"/>
    <s v="other"/>
    <b v="0"/>
    <s v="qbx15Ap8zQTerAqKYXY1SVoL9aNBdRIDdmR8w"/>
    <s v="RBC Staff Banking"/>
    <s v="RBC Royal Bank"/>
    <s v="credit"/>
    <x v="5"/>
    <x v="65"/>
    <x v="9"/>
    <b v="0"/>
    <n v="-3209.0714285714284"/>
    <n v="-860"/>
    <n v="-3209.0714285714284"/>
    <n v="0"/>
  </r>
  <r>
    <s v="eOMxkwaqNZH7Vznj6o6XTA4KJOvewbhnEVmgd"/>
    <s v="added"/>
    <n v="15"/>
    <s v="Transfer, Debit"/>
    <s v="2023-02-13, 7:00:00 p.m."/>
    <s v="CAD"/>
    <m/>
    <x v="108"/>
    <s v="other"/>
    <b v="0"/>
    <s v="PpbjezRnN6TVNZrBQMQ0UYbVLx7r4zIo90LpY"/>
    <s v="RBC Staff Banking"/>
    <s v="RBC Royal Bank"/>
    <s v="debit"/>
    <x v="0"/>
    <x v="66"/>
    <x v="10"/>
    <b v="0"/>
    <n v="12589.494482758622"/>
    <n v="2155"/>
    <n v="12589.494482758622"/>
    <n v="0"/>
  </r>
  <r>
    <s v="eOMxkwaqNZH7Vznj6o6XTA4KJOvewbhnEVmgd"/>
    <s v="added"/>
    <n v="2140"/>
    <s v="Transfer, Debit"/>
    <s v="2023-02-21, 7:00:00 p.m."/>
    <s v="CAD"/>
    <m/>
    <x v="109"/>
    <s v="other"/>
    <b v="0"/>
    <s v="DpYkezRBa9T69a1DqJqLC0nKeY5LyvCw5xeAE"/>
    <s v="RBC Staff Banking"/>
    <s v="RBC Royal Bank"/>
    <s v="debit"/>
    <x v="0"/>
    <x v="67"/>
    <x v="10"/>
    <b v="0"/>
    <n v="12589.494482758622"/>
    <n v="2155"/>
    <n v="12589.494482758622"/>
    <n v="0"/>
  </r>
  <r>
    <s v="eOMxkwaqNZH7Vznj6o6XTA4KJOvewbhnEVmgd"/>
    <s v="added"/>
    <n v="-2140"/>
    <s v="Transfer, Credit"/>
    <s v="2023-02-21, 7:00:00 p.m."/>
    <s v="CAD"/>
    <m/>
    <x v="110"/>
    <s v="other"/>
    <b v="0"/>
    <s v="1X148pJPdyS3OmV1M6MauzwEebajN6UnPz5aL"/>
    <s v="RBC Staff Banking"/>
    <s v="RBC Royal Bank"/>
    <s v="credit"/>
    <x v="1"/>
    <x v="67"/>
    <x v="10"/>
    <b v="0"/>
    <n v="14532.989714285719"/>
    <n v="-2140"/>
    <n v="14532.989714285719"/>
    <n v="0"/>
  </r>
  <r>
    <s v="eOMxkwaqNZH7Vznj6o6XTA4KJOvewbhnEVmgd"/>
    <s v="added"/>
    <n v="352.03"/>
    <s v="Transfer, Debit"/>
    <s v="2023-03-01, 7:00:00 p.m."/>
    <s v="CAD"/>
    <m/>
    <x v="111"/>
    <s v="other"/>
    <b v="0"/>
    <s v="6XyrgpDK10SB8yvazqz5CNov40aVwOHw8gndX"/>
    <s v="RBC Staff Banking"/>
    <s v="RBC Royal Bank"/>
    <s v="debit"/>
    <x v="1"/>
    <x v="68"/>
    <x v="11"/>
    <b v="0"/>
    <n v="14532.989714285719"/>
    <n v="-1714.97"/>
    <n v="14532.989714285719"/>
    <n v="0"/>
  </r>
  <r>
    <s v="eOMxkwaqNZH7Vznj6o6XTA4KJOvewbhnEVmgd"/>
    <s v="added"/>
    <n v="-352.03"/>
    <s v="Transfer, Credit"/>
    <s v="2023-03-01, 7:00:00 p.m."/>
    <s v="CAD"/>
    <m/>
    <x v="112"/>
    <s v="other"/>
    <b v="0"/>
    <s v="LNJEezRjgpuv83A7wmwKTZaP56woj1CZqb5EV"/>
    <s v="RBC Staff Banking"/>
    <s v="RBC Royal Bank"/>
    <s v="credit"/>
    <x v="2"/>
    <x v="68"/>
    <x v="11"/>
    <b v="0"/>
    <n v="-18125.097037037034"/>
    <n v="-352.03"/>
    <n v="-18125.097037037034"/>
    <n v="0"/>
  </r>
  <r>
    <s v="eOMxkwaqNZH7Vznj6o6XTA4KJOvewbhnEVmgd"/>
    <s v="added"/>
    <n v="2067"/>
    <s v="Transfer, Debit"/>
    <s v="2023-03-22, 8:00:00 p.m."/>
    <s v="CAD"/>
    <m/>
    <x v="113"/>
    <s v="other"/>
    <b v="0"/>
    <s v="dO9xKdaPN8H9zOvYwpwosEkP31wpmBhKYXAgO"/>
    <s v="RBC Staff Banking"/>
    <s v="RBC Royal Bank"/>
    <s v="debit"/>
    <x v="0"/>
    <x v="69"/>
    <x v="11"/>
    <b v="0"/>
    <n v="12589.494482758622"/>
    <n v="2067"/>
    <n v="12589.494482758622"/>
    <n v="0"/>
  </r>
  <r>
    <s v="eOMxkwaqNZH7Vznj6o6XTA4KJOvewbhnEVmgd"/>
    <s v="added"/>
    <n v="-2067"/>
    <s v="Transfer, Credit"/>
    <s v="2023-03-22, 8:00:00 p.m."/>
    <s v="CAD"/>
    <m/>
    <x v="114"/>
    <s v="other"/>
    <b v="0"/>
    <s v="wbdKVap8z6T7VjE84p4vT0RyPZOqzpCKQ07wz"/>
    <s v="RBC Staff Banking"/>
    <s v="RBC Royal Bank"/>
    <s v="credit"/>
    <x v="1"/>
    <x v="69"/>
    <x v="11"/>
    <b v="0"/>
    <n v="14532.989714285719"/>
    <n v="-1714.97"/>
    <n v="14532.989714285719"/>
    <n v="0"/>
  </r>
  <r>
    <s v="eOMxkwaqNZH7Vznj6o6XTA4KJOvewbhnEVmgd"/>
    <s v="added"/>
    <n v="1571.42"/>
    <s v="Transfer, Debit"/>
    <s v="2023-04-16, 8:00:00 p.m."/>
    <s v="CAD"/>
    <m/>
    <x v="115"/>
    <s v="other"/>
    <b v="0"/>
    <s v="zbLXY8dVz1Tm4RXq9P9buZMDN463qzCve07Le"/>
    <s v="RBC Staff Banking"/>
    <s v="RBC Royal Bank"/>
    <s v="debit"/>
    <x v="0"/>
    <x v="70"/>
    <x v="12"/>
    <b v="0"/>
    <n v="12589.494482758622"/>
    <n v="1571.42"/>
    <n v="12589.494482758622"/>
    <n v="0"/>
  </r>
  <r>
    <s v="eOMxkwaqNZH7Vznj6o6XTA4KJOvewbhnEVmgd"/>
    <s v="added"/>
    <n v="-1571.42"/>
    <s v="Transfer, Credit"/>
    <s v="2023-04-16, 8:00:00 p.m."/>
    <s v="CAD"/>
    <m/>
    <x v="116"/>
    <s v="other"/>
    <b v="0"/>
    <s v="mN4wx3p0zOuZMxmrzRzyCq8rkQPRe6uBbga9P"/>
    <s v="RBC Staff Banking"/>
    <s v="RBC Royal Bank"/>
    <s v="credit"/>
    <x v="1"/>
    <x v="70"/>
    <x v="12"/>
    <b v="0"/>
    <n v="14532.989714285719"/>
    <n v="-1571.42"/>
    <n v="14532.989714285719"/>
    <n v="0"/>
  </r>
  <r>
    <s v="eOMxkwaqNZH7Vznj6o6XTA4KJOvewbhnEVmgd"/>
    <s v="added"/>
    <n v="-1577"/>
    <s v="Transfer, Credit"/>
    <s v="2023-05-22, 8:00:00 p.m."/>
    <s v="CAD"/>
    <m/>
    <x v="117"/>
    <s v="other"/>
    <b v="0"/>
    <s v="Yepjdz7nNKt6JRzgrpr5C8LVBoYkynfJvkLDy"/>
    <s v="RBC Staff Banking"/>
    <s v="RBC Royal Bank"/>
    <s v="credit"/>
    <x v="1"/>
    <x v="71"/>
    <x v="13"/>
    <b v="0"/>
    <n v="14532.989714285719"/>
    <n v="-1577"/>
    <n v="14532.989714285719"/>
    <n v="0"/>
  </r>
  <r>
    <s v="eOMxkwaqNZH7Vznj6o6XTA4KJOvewbhnEVmgd"/>
    <s v="added"/>
    <n v="1577"/>
    <s v="Transfer, Debit"/>
    <s v="2023-05-23, 8:00:00 p.m."/>
    <s v="CAD"/>
    <m/>
    <x v="118"/>
    <s v="other"/>
    <b v="0"/>
    <s v="eOMxkwaqNZH7Vznj6o6XTA4vJObVpKTnBm0Xw"/>
    <s v="RBC Staff Banking"/>
    <s v="RBC Royal Bank"/>
    <s v="debit"/>
    <x v="0"/>
    <x v="72"/>
    <x v="13"/>
    <b v="0"/>
    <n v="12589.494482758622"/>
    <n v="1577"/>
    <n v="12589.494482758622"/>
    <n v="0"/>
  </r>
  <r>
    <s v="eOMxkwaqNZH7Vznj6o6XTA4KJOvewbhnEVmgd"/>
    <s v="added"/>
    <n v="1962.22"/>
    <s v="Transfer, Debit"/>
    <s v="2023-06-11, 8:00:00 p.m."/>
    <s v="CAD"/>
    <m/>
    <x v="119"/>
    <s v="other"/>
    <b v="0"/>
    <s v="Xp8jezanNyTBNo6ARXRZC15emqw3KxHdEAYxp"/>
    <s v="RBC Staff Banking"/>
    <s v="RBC Royal Bank"/>
    <s v="debit"/>
    <x v="0"/>
    <x v="73"/>
    <x v="14"/>
    <b v="0"/>
    <n v="12589.494482758622"/>
    <n v="4558.75"/>
    <n v="12589.494482758622"/>
    <n v="0"/>
  </r>
  <r>
    <s v="eOMxkwaqNZH7Vznj6o6XTA4KJOvewbhnEVmgd"/>
    <s v="added"/>
    <n v="-1962.22"/>
    <s v="Transfer, Credit"/>
    <s v="2023-06-11, 8:00:00 p.m."/>
    <s v="CAD"/>
    <m/>
    <x v="120"/>
    <s v="other"/>
    <b v="0"/>
    <s v="NpJvYzRnNdTaNZ0XOMOATOvyme7ABYiojemOa"/>
    <s v="RBC Staff Banking"/>
    <s v="RBC Royal Bank"/>
    <s v="credit"/>
    <x v="1"/>
    <x v="73"/>
    <x v="14"/>
    <b v="0"/>
    <n v="14532.989714285719"/>
    <n v="-6066.48"/>
    <n v="14532.989714285719"/>
    <n v="0"/>
  </r>
  <r>
    <s v="eOMxkwaqNZH7Vznj6o6XTA4KJOvewbhnEVmgd"/>
    <s v="added"/>
    <n v="2596.5300000000002"/>
    <s v="Transfer, Debit"/>
    <s v="2023-06-20, 8:00:00 p.m."/>
    <s v="CAD"/>
    <m/>
    <x v="121"/>
    <s v="other"/>
    <b v="0"/>
    <s v="QpJ5ezRXNLTNEw45P1PjHB0VAQrj7MtO8YALQ"/>
    <s v="RBC Staff Banking"/>
    <s v="RBC Royal Bank"/>
    <s v="debit"/>
    <x v="0"/>
    <x v="74"/>
    <x v="14"/>
    <b v="0"/>
    <n v="12589.494482758622"/>
    <n v="4558.75"/>
    <n v="12589.494482758622"/>
    <n v="0"/>
  </r>
  <r>
    <s v="eOMxkwaqNZH7Vznj6o6XTA4KJOvewbhnEVmgd"/>
    <s v="added"/>
    <n v="-1779.53"/>
    <s v="Transfer, Credit"/>
    <s v="2023-06-20, 8:00:00 p.m."/>
    <s v="CAD"/>
    <m/>
    <x v="122"/>
    <s v="other"/>
    <b v="0"/>
    <s v="nN46JypjzMu8QYa5zKzrIVjqMJ6z3LIBzR13E"/>
    <s v="RBC Staff Banking"/>
    <s v="RBC Royal Bank"/>
    <s v="credit"/>
    <x v="1"/>
    <x v="74"/>
    <x v="14"/>
    <b v="0"/>
    <n v="14532.989714285719"/>
    <n v="-6066.48"/>
    <n v="14532.989714285719"/>
    <n v="0"/>
  </r>
  <r>
    <s v="eOMxkwaqNZH7Vznj6o6XTA4KJOvewbhnEVmgd"/>
    <s v="added"/>
    <n v="-817"/>
    <s v="Transfer, Credit"/>
    <s v="2023-06-20, 8:00:00 p.m."/>
    <s v="CAD"/>
    <m/>
    <x v="123"/>
    <s v="other"/>
    <b v="0"/>
    <s v="pb4DZkp8zRTK7y0VqjqAT7D6dOa9NYh3YEpyd"/>
    <s v="RBC Staff Banking"/>
    <s v="RBC Royal Bank"/>
    <s v="credit"/>
    <x v="1"/>
    <x v="74"/>
    <x v="14"/>
    <b v="0"/>
    <n v="14532.989714285719"/>
    <n v="-6066.48"/>
    <n v="14532.989714285719"/>
    <n v="0"/>
  </r>
  <r>
    <s v="eOMxkwaqNZH7Vznj6o6XTA4KJOvewbhnEVmgd"/>
    <s v="added"/>
    <n v="1507.73"/>
    <s v="Bank Fees, Foreign Transaction"/>
    <s v="2023-06-21, 8:00:00 p.m."/>
    <s v="CAD"/>
    <m/>
    <x v="124"/>
    <s v="other"/>
    <b v="0"/>
    <s v="EpbNezRmxVTmn9PBE8EDupkqO6mLyrIQxmOPm"/>
    <s v="RBC Staff Banking"/>
    <s v="RBC Royal Bank"/>
    <s v="debit"/>
    <x v="2"/>
    <x v="75"/>
    <x v="14"/>
    <b v="0"/>
    <n v="-18125.097037037034"/>
    <n v="1507.73"/>
    <n v="-18125.097037037034"/>
    <n v="0"/>
  </r>
  <r>
    <s v="eOMxkwaqNZH7Vznj6o6XTA4KJOvewbhnEVmgd"/>
    <s v="added"/>
    <n v="-1507.73"/>
    <s v="Transfer, Credit"/>
    <s v="2023-06-21, 8:00:00 p.m."/>
    <s v="CAD"/>
    <m/>
    <x v="125"/>
    <s v="other"/>
    <b v="0"/>
    <s v="RXJjezRnNDSkNOaAe7ersEnVX69vo5hewxXna"/>
    <s v="RBC Staff Banking"/>
    <s v="RBC Royal Bank"/>
    <s v="credit"/>
    <x v="1"/>
    <x v="75"/>
    <x v="14"/>
    <b v="0"/>
    <n v="14532.989714285719"/>
    <n v="-6066.48"/>
    <n v="14532.989714285719"/>
    <n v="0"/>
  </r>
  <r>
    <s v="eOMxkwaqNZH7Vznj6o6XTA4KJOvewbhnEVmgd"/>
    <s v="added"/>
    <n v="3722.31"/>
    <s v="Transfer, Debit"/>
    <s v="2023-07-19, 8:00:00 p.m."/>
    <s v="CAD"/>
    <m/>
    <x v="126"/>
    <s v="other"/>
    <b v="0"/>
    <s v="OpOQezXnNwT19bjmMBMvsZyjQ75eoYCxydQbJ"/>
    <s v="RBC Staff Banking"/>
    <s v="RBC Royal Bank"/>
    <s v="debit"/>
    <x v="0"/>
    <x v="76"/>
    <x v="15"/>
    <b v="0"/>
    <n v="12589.494482758622"/>
    <n v="3722.31"/>
    <n v="12589.494482758622"/>
    <n v="0"/>
  </r>
  <r>
    <s v="eOMxkwaqNZH7Vznj6o6XTA4KJOvewbhnEVmgd"/>
    <s v="added"/>
    <n v="-3722.31"/>
    <s v="Transfer, Credit"/>
    <s v="2023-07-19, 8:00:00 p.m."/>
    <s v="CAD"/>
    <m/>
    <x v="127"/>
    <s v="other"/>
    <b v="0"/>
    <s v="MpJZezRn7XToeMmQ6r6kTn1Y9wDExAIXoZv9j"/>
    <s v="RBC Staff Banking"/>
    <s v="RBC Royal Bank"/>
    <s v="credit"/>
    <x v="1"/>
    <x v="76"/>
    <x v="15"/>
    <b v="0"/>
    <n v="14532.989714285719"/>
    <n v="-3722.31"/>
    <n v="14532.989714285719"/>
    <n v="0"/>
  </r>
  <r>
    <s v="eOMxkwaqNZH7Vznj6o6XTA4KJOvewbhnEVmgd"/>
    <s v="added"/>
    <n v="5500"/>
    <s v="Transfer, Debit"/>
    <s v="2023-08-09, 8:00:00 p.m."/>
    <s v="CAD"/>
    <m/>
    <x v="128"/>
    <s v="other"/>
    <b v="0"/>
    <s v="9XAwVpqvB4SJ7qVOnyngi8Mg3XoQPjfg1evwD"/>
    <s v="RBC Staff Banking"/>
    <s v="RBC Royal Bank"/>
    <s v="debit"/>
    <x v="0"/>
    <x v="77"/>
    <x v="16"/>
    <b v="0"/>
    <n v="12589.494482758622"/>
    <n v="8500"/>
    <n v="12589.494482758622"/>
    <n v="0"/>
  </r>
  <r>
    <s v="eOMxkwaqNZH7Vznj6o6XTA4KJOvewbhnEVmgd"/>
    <s v="added"/>
    <n v="-5500"/>
    <s v="Transfer, Credit"/>
    <s v="2023-08-09, 8:00:00 p.m."/>
    <s v="CAD"/>
    <m/>
    <x v="129"/>
    <s v="other"/>
    <b v="0"/>
    <s v="VpQOez8nNBT0NRm8n6nJCAg8mvOeq3T4V1PEJ"/>
    <s v="RBC Staff Banking"/>
    <s v="RBC Royal Bank"/>
    <s v="credit"/>
    <x v="1"/>
    <x v="77"/>
    <x v="16"/>
    <b v="0"/>
    <n v="14532.989714285719"/>
    <n v="-8500"/>
    <n v="14532.989714285719"/>
    <n v="0"/>
  </r>
  <r>
    <s v="eOMxkwaqNZH7Vznj6o6XTA4KJOvewbhnEVmgd"/>
    <s v="added"/>
    <n v="3000"/>
    <s v="Transfer, Debit"/>
    <s v="2023-08-13, 8:00:00 p.m."/>
    <s v="CAD"/>
    <m/>
    <x v="130"/>
    <s v="other"/>
    <b v="0"/>
    <s v="gO8zvLa3NoHaQ0YpjAjgTz6wOrNX97U8JerBB"/>
    <s v="RBC Staff Banking"/>
    <s v="RBC Royal Bank"/>
    <s v="debit"/>
    <x v="0"/>
    <x v="78"/>
    <x v="16"/>
    <b v="0"/>
    <n v="12589.494482758622"/>
    <n v="8500"/>
    <n v="12589.494482758622"/>
    <n v="0"/>
  </r>
  <r>
    <s v="eOMxkwaqNZH7Vznj6o6XTA4KJOvewbhnEVmgd"/>
    <s v="added"/>
    <n v="-3000"/>
    <s v="Transfer, Credit"/>
    <s v="2023-08-13, 8:00:00 p.m."/>
    <s v="CAD"/>
    <m/>
    <x v="131"/>
    <s v="other"/>
    <b v="0"/>
    <s v="7XKm7e1kPjSN8406PMPpHBoDkwnM6Zt0eVbwp"/>
    <s v="RBC Staff Banking"/>
    <s v="RBC Royal Bank"/>
    <s v="credit"/>
    <x v="1"/>
    <x v="78"/>
    <x v="16"/>
    <b v="0"/>
    <n v="14532.989714285719"/>
    <n v="-8500"/>
    <n v="14532.989714285719"/>
    <n v="0"/>
  </r>
  <r>
    <s v="eOMxkwaqNZH7Vznj6o6XTA4KJOvewbhnEVmgd"/>
    <s v="added"/>
    <n v="-1141.3900000000001"/>
    <s v="Bank Fees, Foreign Transaction"/>
    <s v="2023-08-27, 8:00:00 p.m."/>
    <s v="CAD"/>
    <m/>
    <x v="132"/>
    <s v="other"/>
    <b v="0"/>
    <s v="bp893zMDNxT90nm7Q5QEskAbRZX0jzCJnEkNm"/>
    <s v="RBC Staff Banking"/>
    <s v="RBC Royal Bank"/>
    <s v="credit"/>
    <x v="2"/>
    <x v="79"/>
    <x v="16"/>
    <b v="0"/>
    <n v="-18125.097037037034"/>
    <n v="-1141.3900000000001"/>
    <n v="-18125.097037037034"/>
    <n v="0"/>
  </r>
  <r>
    <s v="eOMxkwaqNZH7Vznj6o6XTA4KJOvewbhnEVmgd"/>
    <s v="added"/>
    <n v="-3000"/>
    <s v="Transfer, Credit"/>
    <s v="2023-09-05, 8:00:00 p.m."/>
    <s v="CAD"/>
    <m/>
    <x v="133"/>
    <s v="other"/>
    <b v="0"/>
    <s v="5X3rbpLyDvSjXnV1EPEZi9zQ3D1jgwcwvjryR"/>
    <s v="RBC Staff Banking"/>
    <s v="RBC Royal Bank"/>
    <s v="credit"/>
    <x v="1"/>
    <x v="80"/>
    <x v="17"/>
    <b v="0"/>
    <n v="14532.989714285719"/>
    <n v="-9151.0300000000007"/>
    <n v="14532.989714285719"/>
    <n v="0"/>
  </r>
  <r>
    <s v="eOMxkwaqNZH7Vznj6o6XTA4KJOvewbhnEVmgd"/>
    <s v="added"/>
    <n v="-40.67"/>
    <s v="Transfer, Third Party, PayPal"/>
    <s v="2023-09-07, 8:00:00 p.m."/>
    <s v="CAD"/>
    <m/>
    <x v="134"/>
    <s v="other"/>
    <b v="0"/>
    <s v="JpJrezRvoQTpmz9wbZb3IX5DmZejR0HmyJK6q"/>
    <s v="RBC Staff Banking"/>
    <s v="RBC Royal Bank"/>
    <s v="credit"/>
    <x v="1"/>
    <x v="81"/>
    <x v="17"/>
    <b v="0"/>
    <n v="14532.989714285719"/>
    <n v="-9151.0300000000007"/>
    <n v="14532.989714285719"/>
    <n v="0"/>
  </r>
  <r>
    <s v="eOMxkwaqNZH7Vznj6o6XTA4KJOvewbhnEVmgd"/>
    <s v="added"/>
    <n v="-2700"/>
    <s v="Transfer, Credit"/>
    <s v="2023-09-07, 8:00:00 p.m."/>
    <s v="CAD"/>
    <m/>
    <x v="135"/>
    <s v="other"/>
    <b v="0"/>
    <s v="8ekd9pPAqrtQrAjep3pmc6b3P1gLRmIxDbopV"/>
    <s v="RBC Staff Banking"/>
    <s v="RBC Royal Bank"/>
    <s v="credit"/>
    <x v="1"/>
    <x v="81"/>
    <x v="17"/>
    <b v="0"/>
    <n v="14532.989714285719"/>
    <n v="-9151.0300000000007"/>
    <n v="14532.989714285719"/>
    <n v="0"/>
  </r>
  <r>
    <s v="eOMxkwaqNZH7Vznj6o6XTA4KJOvewbhnEVmgd"/>
    <s v="added"/>
    <n v="192.58"/>
    <s v="Transfer, Debit"/>
    <s v="2023-09-10, 8:00:00 p.m."/>
    <s v="CAD"/>
    <m/>
    <x v="69"/>
    <s v="other"/>
    <b v="0"/>
    <s v="aOmnBzRLeaHw07Ken5nMiKY1XRyknxI76J0Ra"/>
    <s v="RBC Staff Banking"/>
    <s v="RBC Royal Bank"/>
    <s v="debit"/>
    <x v="1"/>
    <x v="82"/>
    <x v="17"/>
    <b v="0"/>
    <n v="14532.989714285719"/>
    <n v="-9151.0300000000007"/>
    <n v="14532.989714285719"/>
    <n v="0"/>
  </r>
  <r>
    <s v="eOMxkwaqNZH7Vznj6o6XTA4KJOvewbhnEVmgd"/>
    <s v="added"/>
    <n v="-3000"/>
    <s v="Transfer, Credit"/>
    <s v="2023-09-10, 8:00:00 p.m."/>
    <s v="CAD"/>
    <m/>
    <x v="136"/>
    <s v="other"/>
    <b v="0"/>
    <s v="xbwkYxX7zLT9rJvXa0a1swmEBLdAn0hOdw7Yo"/>
    <s v="RBC Staff Banking"/>
    <s v="RBC Royal Bank"/>
    <s v="credit"/>
    <x v="1"/>
    <x v="82"/>
    <x v="17"/>
    <b v="0"/>
    <n v="14532.989714285719"/>
    <n v="-9151.0300000000007"/>
    <n v="14532.989714285719"/>
    <n v="0"/>
  </r>
  <r>
    <s v="eOMxkwaqNZH7Vznj6o6XTA4KJOvewbhnEVmgd"/>
    <s v="added"/>
    <n v="74.62"/>
    <s v="Service, Utilities, Gas"/>
    <s v="2023-09-11, 8:00:00 p.m."/>
    <s v="CAD"/>
    <s v="Enbridge Gas"/>
    <x v="137"/>
    <s v="online"/>
    <b v="0"/>
    <s v="4XBJop63LASgpJk40108SNX9nADgJBHR3Pae1"/>
    <s v="RBC Staff Banking"/>
    <s v="RBC Royal Bank"/>
    <s v="debit"/>
    <x v="6"/>
    <x v="83"/>
    <x v="17"/>
    <b v="0"/>
    <n v="153.08333333333331"/>
    <n v="74.62"/>
    <n v="153.08333333333331"/>
    <n v="0"/>
  </r>
  <r>
    <s v="eOMxkwaqNZH7Vznj6o6XTA4KJOvewbhnEVmgd"/>
    <s v="added"/>
    <n v="31.38"/>
    <s v="Transfer, Debit"/>
    <s v="2023-09-12, 8:00:00 p.m."/>
    <s v="CAD"/>
    <m/>
    <x v="69"/>
    <s v="other"/>
    <b v="0"/>
    <s v="rb4Povp8znTzYwXg9A9rIP8EwJAjozHVXqoYa"/>
    <s v="RBC Staff Banking"/>
    <s v="RBC Royal Bank"/>
    <s v="debit"/>
    <x v="1"/>
    <x v="84"/>
    <x v="17"/>
    <b v="0"/>
    <n v="14532.989714285719"/>
    <n v="-9151.0300000000007"/>
    <n v="14532.989714285719"/>
    <n v="0"/>
  </r>
  <r>
    <s v="eOMxkwaqNZH7Vznj6o6XTA4KJOvewbhnEVmgd"/>
    <s v="added"/>
    <n v="1505"/>
    <s v="Payment"/>
    <s v="2023-09-17, 8:00:00 p.m."/>
    <s v="CAD"/>
    <m/>
    <x v="138"/>
    <s v="other"/>
    <b v="0"/>
    <s v="0XDrJpO173S7XKVnMwM4TZO9yeN74wCApZ6y9"/>
    <s v="RBC Staff Banking"/>
    <s v="RBC Royal Bank"/>
    <s v="debit"/>
    <x v="1"/>
    <x v="85"/>
    <x v="17"/>
    <b v="0"/>
    <n v="14532.989714285719"/>
    <n v="-9151.0300000000007"/>
    <n v="14532.989714285719"/>
    <n v="0"/>
  </r>
  <r>
    <s v="eOMxkwaqNZH7Vznj6o6XTA4KJOvewbhnEVmgd"/>
    <s v="added"/>
    <n v="-1000"/>
    <s v="Transfer, Credit"/>
    <s v="2023-09-17, 8:00:00 p.m."/>
    <s v="CAD"/>
    <m/>
    <x v="139"/>
    <s v="other"/>
    <b v="0"/>
    <s v="jOoXrPpkN7HKQmxMzAzLTXvM6gnwZYHexgEAj"/>
    <s v="RBC Staff Banking"/>
    <s v="RBC Royal Bank"/>
    <s v="credit"/>
    <x v="1"/>
    <x v="85"/>
    <x v="17"/>
    <b v="0"/>
    <n v="14532.989714285719"/>
    <n v="-9151.0300000000007"/>
    <n v="14532.989714285719"/>
    <n v="0"/>
  </r>
  <r>
    <s v="eOMxkwaqNZH7Vznj6o6XTA4KJOvewbhnEVmgd"/>
    <s v="added"/>
    <n v="471.41"/>
    <s v="Transfer, Debit"/>
    <s v="2023-09-18, 8:00:00 p.m."/>
    <s v="CAD"/>
    <m/>
    <x v="69"/>
    <s v="other"/>
    <b v="0"/>
    <s v="vbVy94p8zwTZVRYD787pCbvAOBy1zeFVZxwXV"/>
    <s v="RBC Staff Banking"/>
    <s v="RBC Royal Bank"/>
    <s v="debit"/>
    <x v="1"/>
    <x v="86"/>
    <x v="17"/>
    <b v="0"/>
    <n v="14532.989714285719"/>
    <n v="-9151.0300000000007"/>
    <n v="14532.989714285719"/>
    <n v="0"/>
  </r>
  <r>
    <s v="eOMxkwaqNZH7Vznj6o6XTA4KJOvewbhnEVmgd"/>
    <s v="added"/>
    <n v="2991.86"/>
    <s v="Transfer, Debit"/>
    <s v="2023-09-20, 8:00:00 p.m."/>
    <s v="CAD"/>
    <m/>
    <x v="140"/>
    <s v="other"/>
    <b v="0"/>
    <s v="3XqR5pwB6kSDXQKBzEzJcMaqRzJov7Io13XVR"/>
    <s v="RBC Staff Banking"/>
    <s v="RBC Royal Bank"/>
    <s v="debit"/>
    <x v="0"/>
    <x v="87"/>
    <x v="17"/>
    <b v="0"/>
    <n v="12589.494482758622"/>
    <n v="2991.86"/>
    <n v="12589.494482758622"/>
    <n v="0"/>
  </r>
  <r>
    <s v="eOMxkwaqNZH7Vznj6o6XTA4KJOvewbhnEVmgd"/>
    <s v="added"/>
    <n v="6.5"/>
    <s v="Transfer, Debit"/>
    <s v="2023-09-20, 8:00:00 p.m."/>
    <s v="CAD"/>
    <m/>
    <x v="2"/>
    <s v="other"/>
    <b v="0"/>
    <s v="yb6XYJp8zDT3z0Oj6P61uAR95LwZj7TpQewrK"/>
    <s v="RBC Staff Banking"/>
    <s v="RBC Royal Bank"/>
    <s v="debit"/>
    <x v="1"/>
    <x v="87"/>
    <x v="17"/>
    <b v="0"/>
    <n v="14532.989714285719"/>
    <n v="-9151.0300000000007"/>
    <n v="14532.989714285719"/>
    <n v="0"/>
  </r>
  <r>
    <s v="eOMxkwaqNZH7Vznj6o6XTA4KJOvewbhnEVmgd"/>
    <s v="added"/>
    <n v="6.5"/>
    <s v="Transfer, Debit"/>
    <s v="2023-09-20, 8:00:00 p.m."/>
    <s v="CAD"/>
    <m/>
    <x v="2"/>
    <s v="other"/>
    <b v="0"/>
    <s v="KYmvezN0bnso8Rk5dDdyTx4XOVejyKUE9aOnZ"/>
    <s v="RBC Staff Banking"/>
    <s v="RBC Royal Bank"/>
    <s v="debit"/>
    <x v="1"/>
    <x v="87"/>
    <x v="17"/>
    <b v="0"/>
    <n v="14532.989714285719"/>
    <n v="-9151.0300000000007"/>
    <n v="14532.989714285719"/>
    <n v="0"/>
  </r>
  <r>
    <s v="eOMxkwaqNZH7Vznj6o6XTA4KJOvewbhnEVmgd"/>
    <s v="added"/>
    <n v="-2000"/>
    <s v="Transfer, Credit"/>
    <s v="2023-09-20, 8:00:00 p.m."/>
    <s v="CAD"/>
    <m/>
    <x v="141"/>
    <s v="other"/>
    <b v="0"/>
    <s v="kObx4qpAm9HOVm5g9D90iNbgweVADmHo5zk69"/>
    <s v="RBC Staff Banking"/>
    <s v="RBC Royal Bank"/>
    <s v="credit"/>
    <x v="1"/>
    <x v="87"/>
    <x v="17"/>
    <b v="0"/>
    <n v="14532.989714285719"/>
    <n v="-9151.0300000000007"/>
    <n v="14532.989714285719"/>
    <n v="0"/>
  </r>
  <r>
    <s v="eOMxkwaqNZH7Vznj6o6XTA4KJOvewbhnEVmgd"/>
    <s v="added"/>
    <n v="-6.5"/>
    <s v="Transfer, Credit"/>
    <s v="2023-09-20, 8:00:00 p.m."/>
    <s v="CAD"/>
    <m/>
    <x v="142"/>
    <s v="other"/>
    <b v="0"/>
    <s v="AXN3ez01jbS3APoek4kdu09LwN1vAaCMVrmY6"/>
    <s v="RBC Staff Banking"/>
    <s v="RBC Royal Bank"/>
    <s v="credit"/>
    <x v="3"/>
    <x v="87"/>
    <x v="17"/>
    <b v="0"/>
    <n v="-333.34666666666664"/>
    <n v="-6.5"/>
    <n v="-333.34666666666664"/>
    <n v="0"/>
  </r>
  <r>
    <s v="eOMxkwaqNZH7Vznj6o6XTA4KJOvewbhnEVmgd"/>
    <s v="added"/>
    <n v="376.27"/>
    <s v="Transfer, Debit"/>
    <s v="2023-09-28, 8:00:00 p.m."/>
    <s v="CAD"/>
    <m/>
    <x v="69"/>
    <s v="other"/>
    <b v="0"/>
    <s v="BXVyezjPrgSxXRna9M9wIa65QjPRpru3BPmgm"/>
    <s v="RBC Staff Banking"/>
    <s v="RBC Royal Bank"/>
    <s v="debit"/>
    <x v="1"/>
    <x v="88"/>
    <x v="17"/>
    <b v="0"/>
    <n v="14532.989714285719"/>
    <n v="-9151.0300000000007"/>
    <n v="14532.989714285719"/>
    <n v="0"/>
  </r>
  <r>
    <s v="eOMxkwaqNZH7Vznj6o6XTA4KJOvewbhnEVmgd"/>
    <s v="added"/>
    <n v="2500"/>
    <s v="Transfer, Debit"/>
    <s v="2023-10-02, 8:00:00 p.m."/>
    <s v="CAD"/>
    <m/>
    <x v="69"/>
    <s v="other"/>
    <b v="0"/>
    <s v="6XyrgpDK10SB8yvazqz5CNov40aVwOHw8gnqX"/>
    <s v="RBC Staff Banking"/>
    <s v="RBC Royal Bank"/>
    <s v="debit"/>
    <x v="1"/>
    <x v="89"/>
    <x v="18"/>
    <b v="0"/>
    <n v="14532.989714285719"/>
    <n v="3947.8199999999993"/>
    <n v="14532.989714285719"/>
    <n v="0"/>
  </r>
  <r>
    <s v="eOMxkwaqNZH7Vznj6o6XTA4KJOvewbhnEVmgd"/>
    <s v="added"/>
    <n v="2292.0700000000002"/>
    <s v="Transfer, Debit"/>
    <s v="2023-10-02, 8:00:00 p.m."/>
    <s v="CAD"/>
    <m/>
    <x v="2"/>
    <s v="other"/>
    <b v="0"/>
    <s v="LNJEezRjgpuv83A7wmwKTZaP56woj1CZqb5NV"/>
    <s v="RBC Staff Banking"/>
    <s v="RBC Royal Bank"/>
    <s v="debit"/>
    <x v="1"/>
    <x v="89"/>
    <x v="18"/>
    <b v="0"/>
    <n v="14532.989714285719"/>
    <n v="3947.8199999999993"/>
    <n v="14532.989714285719"/>
    <n v="0"/>
  </r>
  <r>
    <s v="eOMxkwaqNZH7Vznj6o6XTA4KJOvewbhnEVmgd"/>
    <s v="added"/>
    <n v="-900"/>
    <s v="Transfer, Credit"/>
    <s v="2023-10-02, 8:00:00 p.m."/>
    <s v="CAD"/>
    <m/>
    <x v="143"/>
    <s v="other"/>
    <b v="0"/>
    <s v="DpYkezRBa9T69a1DqJqLC0nKeY5LyvCw5xeME"/>
    <s v="RBC Staff Banking"/>
    <s v="RBC Royal Bank"/>
    <s v="credit"/>
    <x v="5"/>
    <x v="89"/>
    <x v="18"/>
    <b v="0"/>
    <n v="-3209.0714285714284"/>
    <n v="-4718"/>
    <n v="-3209.0714285714284"/>
    <n v="0"/>
  </r>
  <r>
    <s v="eOMxkwaqNZH7Vznj6o6XTA4KJOvewbhnEVmgd"/>
    <s v="added"/>
    <n v="-4"/>
    <s v="Transfer, Credit"/>
    <s v="2023-10-02, 8:00:00 p.m."/>
    <s v="CAD"/>
    <m/>
    <x v="144"/>
    <s v="other"/>
    <b v="0"/>
    <s v="1X148pJPdyS3OmV1M6MauzwEebajN6UnPz50L"/>
    <s v="RBC Staff Banking"/>
    <s v="RBC Royal Bank"/>
    <s v="credit"/>
    <x v="5"/>
    <x v="89"/>
    <x v="18"/>
    <b v="0"/>
    <n v="-3209.0714285714284"/>
    <n v="-4718"/>
    <n v="-3209.0714285714284"/>
    <n v="0"/>
  </r>
  <r>
    <s v="eOMxkwaqNZH7Vznj6o6XTA4KJOvewbhnEVmgd"/>
    <s v="added"/>
    <n v="-1470"/>
    <s v="Transfer, Credit"/>
    <s v="2023-10-02, 8:00:00 p.m."/>
    <s v="CAD"/>
    <m/>
    <x v="145"/>
    <s v="other"/>
    <b v="0"/>
    <s v="PpbjezRnN6TVNZrBQMQ0UYbVLx7r4zIo90LgY"/>
    <s v="RBC Staff Banking"/>
    <s v="RBC Royal Bank"/>
    <s v="credit"/>
    <x v="5"/>
    <x v="89"/>
    <x v="18"/>
    <b v="0"/>
    <n v="-3209.0714285714284"/>
    <n v="-4718"/>
    <n v="-3209.0714285714284"/>
    <n v="0"/>
  </r>
  <r>
    <s v="eOMxkwaqNZH7Vznj6o6XTA4KJOvewbhnEVmgd"/>
    <s v="added"/>
    <n v="-417.84"/>
    <s v="Bank Fees, Foreign Transaction"/>
    <s v="2023-10-02, 8:00:00 p.m."/>
    <s v="CAD"/>
    <m/>
    <x v="146"/>
    <s v="other"/>
    <b v="0"/>
    <s v="qbx15Ap8zQTerAqKYXY1SVoL9aNBdRIDdmRqw"/>
    <s v="RBC Staff Banking"/>
    <s v="RBC Royal Bank"/>
    <s v="credit"/>
    <x v="2"/>
    <x v="89"/>
    <x v="18"/>
    <b v="0"/>
    <n v="-18125.097037037034"/>
    <n v="-1434.43"/>
    <n v="-18125.097037037034"/>
    <n v="0"/>
  </r>
  <r>
    <s v="eOMxkwaqNZH7Vznj6o6XTA4KJOvewbhnEVmgd"/>
    <s v="added"/>
    <n v="192.58"/>
    <s v="Service, Financial, Loans and Mortgages"/>
    <s v="2023-10-05, 8:00:00 p.m."/>
    <s v="CAD"/>
    <s v="Personal Loan Spl"/>
    <x v="147"/>
    <s v="online"/>
    <b v="0"/>
    <s v="mN4wx3p0zOuZMxmrzRzyCq8rkQPRe6uBbgaRP"/>
    <s v="RBC Staff Banking"/>
    <s v="RBC Royal Bank"/>
    <s v="debit"/>
    <x v="7"/>
    <x v="90"/>
    <x v="18"/>
    <b v="0"/>
    <n v="624.12818181818193"/>
    <n v="385.16"/>
    <n v="624.12818181818193"/>
    <n v="0"/>
  </r>
  <r>
    <s v="eOMxkwaqNZH7Vznj6o6XTA4KJOvewbhnEVmgd"/>
    <s v="added"/>
    <n v="24.8"/>
    <s v="Transfer, Debit"/>
    <s v="2023-10-05, 8:00:00 p.m."/>
    <s v="CAD"/>
    <m/>
    <x v="148"/>
    <s v="other"/>
    <b v="0"/>
    <s v="dO9xKdaPN8H9zOvYwpwosEkP31wpmBhKYXAkO"/>
    <s v="RBC Staff Banking"/>
    <s v="RBC Royal Bank"/>
    <s v="debit"/>
    <x v="0"/>
    <x v="90"/>
    <x v="18"/>
    <b v="0"/>
    <n v="12589.494482758622"/>
    <n v="1148.73"/>
    <n v="12589.494482758622"/>
    <n v="0"/>
  </r>
  <r>
    <s v="eOMxkwaqNZH7Vznj6o6XTA4KJOvewbhnEVmgd"/>
    <s v="added"/>
    <n v="-0.34"/>
    <s v="Transfer, Payroll"/>
    <s v="2023-10-09, 8:00:00 p.m."/>
    <s v="CAD"/>
    <m/>
    <x v="149"/>
    <s v="other"/>
    <b v="0"/>
    <s v="Yepjdz7nNKt6JRzgrpr5C8LVBoYkynfJvkLNy"/>
    <s v="RBC Staff Banking"/>
    <s v="RBC Royal Bank"/>
    <s v="credit"/>
    <x v="1"/>
    <x v="91"/>
    <x v="18"/>
    <b v="0"/>
    <n v="14532.989714285719"/>
    <n v="3947.8199999999993"/>
    <n v="14532.989714285719"/>
    <n v="0"/>
  </r>
  <r>
    <s v="eOMxkwaqNZH7Vznj6o6XTA4KJOvewbhnEVmgd"/>
    <s v="added"/>
    <n v="-1500"/>
    <s v="Transfer, Credit"/>
    <s v="2023-10-09, 8:00:00 p.m."/>
    <s v="CAD"/>
    <m/>
    <x v="150"/>
    <s v="other"/>
    <b v="0"/>
    <s v="zbLXY8dVz1Tm4RXq9P9buZMDN463qzCve07ae"/>
    <s v="RBC Staff Banking"/>
    <s v="RBC Royal Bank"/>
    <s v="credit"/>
    <x v="1"/>
    <x v="91"/>
    <x v="18"/>
    <b v="0"/>
    <n v="14532.989714285719"/>
    <n v="3947.8199999999993"/>
    <n v="14532.989714285719"/>
    <n v="0"/>
  </r>
  <r>
    <s v="eOMxkwaqNZH7Vznj6o6XTA4KJOvewbhnEVmgd"/>
    <s v="added"/>
    <n v="50"/>
    <s v="Transfer, Debit"/>
    <s v="2023-10-10, 8:00:00 p.m."/>
    <s v="CAD"/>
    <m/>
    <x v="151"/>
    <s v="other"/>
    <b v="0"/>
    <s v="eOMxkwaqNZH7Vznj6o6XTA4vJObVpKTnBm0Mw"/>
    <s v="RBC Staff Banking"/>
    <s v="RBC Royal Bank"/>
    <s v="debit"/>
    <x v="0"/>
    <x v="92"/>
    <x v="18"/>
    <b v="0"/>
    <n v="12589.494482758622"/>
    <n v="1148.73"/>
    <n v="12589.494482758622"/>
    <n v="0"/>
  </r>
  <r>
    <s v="eOMxkwaqNZH7Vznj6o6XTA4KJOvewbhnEVmgd"/>
    <s v="added"/>
    <n v="150.52000000000001"/>
    <s v="Service, Utilities, Electric"/>
    <s v="2023-10-11, 8:00:00 p.m."/>
    <s v="CAD"/>
    <s v="Hydro"/>
    <x v="152"/>
    <s v="online"/>
    <b v="0"/>
    <s v="pb4DZkp8zRTK7y0VqjqAT7D6dOa9NYh3YEpNd"/>
    <s v="RBC Staff Banking"/>
    <s v="RBC Royal Bank"/>
    <s v="debit"/>
    <x v="8"/>
    <x v="93"/>
    <x v="18"/>
    <b v="0"/>
    <n v="139.88333333333333"/>
    <n v="150.52000000000001"/>
    <n v="139.88333333333333"/>
    <n v="0"/>
  </r>
  <r>
    <s v="eOMxkwaqNZH7Vznj6o6XTA4KJOvewbhnEVmgd"/>
    <s v="added"/>
    <n v="81.93"/>
    <s v="Service, Utilities, Gas"/>
    <s v="2023-10-11, 8:00:00 p.m."/>
    <s v="CAD"/>
    <s v="Enbridge Gas"/>
    <x v="137"/>
    <s v="online"/>
    <b v="0"/>
    <s v="Xp8jezanNyTBNo6ARXRZC15emqw3KxHdEAYMp"/>
    <s v="RBC Staff Banking"/>
    <s v="RBC Royal Bank"/>
    <s v="debit"/>
    <x v="6"/>
    <x v="93"/>
    <x v="18"/>
    <b v="0"/>
    <n v="153.08333333333331"/>
    <n v="81.93"/>
    <n v="153.08333333333331"/>
    <n v="0"/>
  </r>
  <r>
    <s v="eOMxkwaqNZH7Vznj6o6XTA4KJOvewbhnEVmgd"/>
    <s v="added"/>
    <n v="16"/>
    <s v="Transfer, Debit"/>
    <s v="2023-10-11, 8:00:00 p.m."/>
    <s v="CAD"/>
    <m/>
    <x v="153"/>
    <s v="other"/>
    <b v="0"/>
    <s v="NpJvYzRnNdTaNZ0XOMOATOvyme7ABYiojem5a"/>
    <s v="RBC Staff Banking"/>
    <s v="RBC Royal Bank"/>
    <s v="debit"/>
    <x v="1"/>
    <x v="93"/>
    <x v="18"/>
    <b v="0"/>
    <n v="14532.989714285719"/>
    <n v="3947.8199999999993"/>
    <n v="14532.989714285719"/>
    <n v="0"/>
  </r>
  <r>
    <s v="eOMxkwaqNZH7Vznj6o6XTA4KJOvewbhnEVmgd"/>
    <s v="added"/>
    <n v="-244"/>
    <s v="Transfer, Payroll, Benefits"/>
    <s v="2023-10-12, 8:00:00 p.m."/>
    <s v="CAD"/>
    <m/>
    <x v="154"/>
    <s v="other"/>
    <b v="0"/>
    <s v="nN46JypjzMu8QYa5zKzrIVjqMJ6z3LIBzR15E"/>
    <s v="RBC Staff Banking"/>
    <s v="RBC Royal Bank"/>
    <s v="credit"/>
    <x v="9"/>
    <x v="94"/>
    <x v="18"/>
    <b v="0"/>
    <n v="-244"/>
    <n v="-244"/>
    <n v="-244"/>
    <n v="0"/>
  </r>
  <r>
    <s v="eOMxkwaqNZH7Vznj6o6XTA4KJOvewbhnEVmgd"/>
    <s v="added"/>
    <n v="1652.35"/>
    <s v="Transfer, Billpay"/>
    <s v="2023-10-15, 8:00:00 p.m."/>
    <s v="CAD"/>
    <m/>
    <x v="155"/>
    <s v="other"/>
    <b v="0"/>
    <s v="VpQOez8nNBT0NRm8n6nJCAg8mvOeq3T4V1P6J"/>
    <s v="RBC Staff Banking"/>
    <s v="RBC Royal Bank"/>
    <s v="debit"/>
    <x v="1"/>
    <x v="95"/>
    <x v="18"/>
    <b v="0"/>
    <n v="14532.989714285719"/>
    <n v="3947.8199999999993"/>
    <n v="14532.989714285719"/>
    <n v="0"/>
  </r>
  <r>
    <s v="eOMxkwaqNZH7Vznj6o6XTA4KJOvewbhnEVmgd"/>
    <s v="added"/>
    <n v="420.55"/>
    <s v="Service, Insurance"/>
    <s v="2023-10-15, 8:00:00 p.m."/>
    <s v="CAD"/>
    <s v="Insurance Belair Ins Ass."/>
    <x v="156"/>
    <s v="online"/>
    <b v="0"/>
    <s v="OpOQezXnNwT19bjmMBMvsZyjQ75eoYCxydQXJ"/>
    <s v="RBC Staff Banking"/>
    <s v="RBC Royal Bank"/>
    <s v="debit"/>
    <x v="10"/>
    <x v="95"/>
    <x v="18"/>
    <b v="0"/>
    <n v="432.99599999999998"/>
    <n v="420.55"/>
    <n v="432.99599999999998"/>
    <n v="0"/>
  </r>
  <r>
    <s v="eOMxkwaqNZH7Vznj6o6XTA4KJOvewbhnEVmgd"/>
    <s v="added"/>
    <n v="65.7"/>
    <s v="Service, Insurance"/>
    <s v="2023-10-15, 8:00:00 p.m."/>
    <s v="CAD"/>
    <s v="Life Insurance Foresters"/>
    <x v="157"/>
    <s v="online"/>
    <b v="0"/>
    <s v="MpJZezRn7XToeMmQ6r6kTn1Y9wDExAIXoZvDj"/>
    <s v="RBC Staff Banking"/>
    <s v="RBC Royal Bank"/>
    <s v="debit"/>
    <x v="11"/>
    <x v="95"/>
    <x v="18"/>
    <b v="0"/>
    <n v="65.7"/>
    <n v="65.7"/>
    <n v="65.7"/>
    <n v="0"/>
  </r>
  <r>
    <s v="eOMxkwaqNZH7Vznj6o6XTA4KJOvewbhnEVmgd"/>
    <s v="added"/>
    <n v="50.86"/>
    <s v="Service, Insurance"/>
    <s v="2023-10-15, 8:00:00 p.m."/>
    <s v="CAD"/>
    <s v="Insurance Belair Ins Ass."/>
    <x v="156"/>
    <s v="online"/>
    <b v="0"/>
    <s v="EpbNezRmxVTmn9PBE8EDupkqO6mLyrIQxmOrm"/>
    <s v="RBC Staff Banking"/>
    <s v="RBC Royal Bank"/>
    <s v="debit"/>
    <x v="12"/>
    <x v="95"/>
    <x v="18"/>
    <b v="0"/>
    <n v="57.905000000000001"/>
    <n v="50.86"/>
    <n v="57.905000000000001"/>
    <n v="0"/>
  </r>
  <r>
    <s v="eOMxkwaqNZH7Vznj6o6XTA4KJOvewbhnEVmgd"/>
    <s v="added"/>
    <n v="-240"/>
    <s v="Transfer, Credit"/>
    <s v="2023-10-15, 8:00:00 p.m."/>
    <s v="CAD"/>
    <m/>
    <x v="158"/>
    <s v="other"/>
    <b v="0"/>
    <s v="RXJjezRnNDSkNOaAe7ersEnVX69vo5hewxXba"/>
    <s v="RBC Staff Banking"/>
    <s v="RBC Royal Bank"/>
    <s v="credit"/>
    <x v="5"/>
    <x v="95"/>
    <x v="18"/>
    <b v="0"/>
    <n v="-3209.0714285714284"/>
    <n v="-4718"/>
    <n v="-3209.0714285714284"/>
    <n v="0"/>
  </r>
  <r>
    <s v="eOMxkwaqNZH7Vznj6o6XTA4KJOvewbhnEVmgd"/>
    <s v="added"/>
    <n v="-1022.62"/>
    <s v="Bank Fees, Foreign Transaction"/>
    <s v="2023-10-15, 8:00:00 p.m."/>
    <s v="CAD"/>
    <m/>
    <x v="159"/>
    <s v="other"/>
    <b v="0"/>
    <s v="QpJ5ezRXNLTNEw45P1PjHB0VAQrj7MtO8YAgQ"/>
    <s v="RBC Staff Banking"/>
    <s v="RBC Royal Bank"/>
    <s v="credit"/>
    <x v="2"/>
    <x v="95"/>
    <x v="18"/>
    <b v="0"/>
    <n v="-18125.097037037034"/>
    <n v="-1434.43"/>
    <n v="-18125.097037037034"/>
    <n v="0"/>
  </r>
  <r>
    <s v="eOMxkwaqNZH7Vznj6o6XTA4KJOvewbhnEVmgd"/>
    <s v="added"/>
    <n v="0.46"/>
    <s v="Bank Fees, Overdraft"/>
    <s v="2023-10-16, 8:00:00 p.m."/>
    <s v="CAD"/>
    <m/>
    <x v="160"/>
    <s v="other"/>
    <b v="0"/>
    <s v="gO8zvLa3NoHaQ0YpjAjgTz6wOrNX97U8JerDB"/>
    <s v="RBC Staff Banking"/>
    <s v="RBC Royal Bank"/>
    <s v="debit"/>
    <x v="13"/>
    <x v="96"/>
    <x v="18"/>
    <b v="0"/>
    <n v="2.5077777777777777"/>
    <n v="0.46"/>
    <n v="2.5077777777777777"/>
    <n v="0"/>
  </r>
  <r>
    <s v="eOMxkwaqNZH7Vznj6o6XTA4KJOvewbhnEVmgd"/>
    <s v="added"/>
    <n v="-40.67"/>
    <s v="Transfer, Third Party, PayPal"/>
    <s v="2023-10-16, 8:00:00 p.m."/>
    <s v="CAD"/>
    <m/>
    <x v="134"/>
    <s v="other"/>
    <b v="0"/>
    <s v="7XKm7e1kPjSN8406PMPpHBoDkwnM6Zt0eVbqp"/>
    <s v="RBC Staff Banking"/>
    <s v="RBC Royal Bank"/>
    <s v="credit"/>
    <x v="1"/>
    <x v="96"/>
    <x v="18"/>
    <b v="0"/>
    <n v="14532.989714285719"/>
    <n v="3947.8199999999993"/>
    <n v="14532.989714285719"/>
    <n v="0"/>
  </r>
  <r>
    <s v="eOMxkwaqNZH7Vznj6o6XTA4KJOvewbhnEVmgd"/>
    <s v="added"/>
    <n v="50"/>
    <s v="Transfer, Debit"/>
    <s v="2023-10-16, 8:00:00 p.m."/>
    <s v="CAD"/>
    <m/>
    <x v="161"/>
    <s v="other"/>
    <b v="0"/>
    <s v="9XAwVpqvB4SJ7qVOnyngi8Mg3XoQPjfg1evVD"/>
    <s v="RBC Staff Banking"/>
    <s v="RBC Royal Bank"/>
    <s v="debit"/>
    <x v="0"/>
    <x v="96"/>
    <x v="18"/>
    <b v="0"/>
    <n v="12589.494482758622"/>
    <n v="1148.73"/>
    <n v="12589.494482758622"/>
    <n v="0"/>
  </r>
  <r>
    <s v="eOMxkwaqNZH7Vznj6o6XTA4KJOvewbhnEVmgd"/>
    <s v="added"/>
    <n v="973.93"/>
    <s v="Transfer, Debit"/>
    <s v="2023-10-18, 8:00:00 p.m."/>
    <s v="CAD"/>
    <m/>
    <x v="162"/>
    <s v="other"/>
    <b v="0"/>
    <s v="oN4L8KpOzEuYrb1g4k4vTxr91PjR3pU4wmRP5"/>
    <s v="RBC Staff Banking"/>
    <s v="RBC Royal Bank"/>
    <s v="debit"/>
    <x v="0"/>
    <x v="97"/>
    <x v="18"/>
    <b v="0"/>
    <n v="12589.494482758622"/>
    <n v="1148.73"/>
    <n v="12589.494482758622"/>
    <n v="0"/>
  </r>
  <r>
    <s v="eOMxkwaqNZH7Vznj6o6XTA4KJOvewbhnEVmgd"/>
    <s v="added"/>
    <n v="-660"/>
    <s v="Transfer, Credit"/>
    <s v="2023-10-18, 8:00:00 p.m."/>
    <s v="CAD"/>
    <m/>
    <x v="163"/>
    <s v="other"/>
    <b v="0"/>
    <s v="bp893zMDNxT90nm7Q5QEskAbRZX0jzCJnEkmm"/>
    <s v="RBC Staff Banking"/>
    <s v="RBC Royal Bank"/>
    <s v="credit"/>
    <x v="1"/>
    <x v="97"/>
    <x v="18"/>
    <b v="0"/>
    <n v="14532.989714285719"/>
    <n v="3947.8199999999993"/>
    <n v="14532.989714285719"/>
    <n v="0"/>
  </r>
  <r>
    <s v="eOMxkwaqNZH7Vznj6o6XTA4KJOvewbhnEVmgd"/>
    <s v="added"/>
    <n v="192.58"/>
    <s v="Service, Financial, Loans and Mortgages"/>
    <s v="2023-10-19, 8:00:00 p.m."/>
    <s v="CAD"/>
    <s v="Personal Loan Spl"/>
    <x v="147"/>
    <s v="online"/>
    <b v="0"/>
    <s v="5X3rbpLyDvSjXnV1EPEZi9zQ3D1jgwcwvjrKR"/>
    <s v="RBC Staff Banking"/>
    <s v="RBC Royal Bank"/>
    <s v="debit"/>
    <x v="7"/>
    <x v="98"/>
    <x v="18"/>
    <b v="0"/>
    <n v="624.12818181818193"/>
    <n v="385.16"/>
    <n v="624.12818181818193"/>
    <n v="0"/>
  </r>
  <r>
    <s v="eOMxkwaqNZH7Vznj6o6XTA4KJOvewbhnEVmgd"/>
    <s v="added"/>
    <n v="50"/>
    <s v="Transfer, Debit"/>
    <s v="2023-10-22, 8:00:00 p.m."/>
    <s v="CAD"/>
    <m/>
    <x v="164"/>
    <s v="other"/>
    <b v="0"/>
    <s v="8ekd9pPAqrtQrAjep3pmc6b3P1gLRmIxDbo9V"/>
    <s v="RBC Staff Banking"/>
    <s v="RBC Royal Bank"/>
    <s v="debit"/>
    <x v="0"/>
    <x v="99"/>
    <x v="18"/>
    <b v="0"/>
    <n v="12589.494482758622"/>
    <n v="1148.73"/>
    <n v="12589.494482758622"/>
    <n v="0"/>
  </r>
  <r>
    <s v="eOMxkwaqNZH7Vznj6o6XTA4KJOvewbhnEVmgd"/>
    <s v="added"/>
    <n v="-479"/>
    <s v="Transfer, Credit"/>
    <s v="2023-10-22, 8:00:00 p.m."/>
    <s v="CAD"/>
    <m/>
    <x v="165"/>
    <s v="other"/>
    <b v="0"/>
    <s v="ZORJwzanNkHyVPDOemeocB6pX7EqzMtbmYexr"/>
    <s v="RBC Staff Banking"/>
    <s v="RBC Royal Bank"/>
    <s v="credit"/>
    <x v="1"/>
    <x v="99"/>
    <x v="18"/>
    <b v="0"/>
    <n v="14532.989714285719"/>
    <n v="3947.8199999999993"/>
    <n v="14532.989714285719"/>
    <n v="0"/>
  </r>
  <r>
    <s v="eOMxkwaqNZH7Vznj6o6XTA4KJOvewbhnEVmgd"/>
    <s v="added"/>
    <n v="6.03"/>
    <s v="Transfer, Debit"/>
    <s v="2023-10-24, 8:00:00 p.m."/>
    <s v="CAD"/>
    <m/>
    <x v="166"/>
    <s v="other"/>
    <b v="0"/>
    <s v="JpJrezRvoQTpmz9wbZb3IX5DmZejR0HmyJKpq"/>
    <s v="RBC Staff Banking"/>
    <s v="RBC Royal Bank"/>
    <s v="debit"/>
    <x v="2"/>
    <x v="100"/>
    <x v="18"/>
    <b v="0"/>
    <n v="-18125.097037037034"/>
    <n v="-1434.43"/>
    <n v="-18125.097037037034"/>
    <n v="0"/>
  </r>
  <r>
    <s v="eOMxkwaqNZH7Vznj6o6XTA4KJOvewbhnEVmgd"/>
    <s v="added"/>
    <n v="0.06"/>
    <s v="Shops"/>
    <s v="2023-10-29, 8:00:00 p.m."/>
    <s v="CAD"/>
    <s v="eBay"/>
    <x v="167"/>
    <s v="online"/>
    <b v="0"/>
    <s v="jOoXrPpkN7HKQmxMzAzLTXvM6gnwZYHexgEXj"/>
    <s v="RBC Staff Banking"/>
    <s v="RBC Royal Bank"/>
    <s v="debit"/>
    <x v="1"/>
    <x v="101"/>
    <x v="18"/>
    <b v="0"/>
    <n v="14532.989714285719"/>
    <n v="3947.8199999999993"/>
    <n v="14532.989714285719"/>
    <n v="0"/>
  </r>
  <r>
    <s v="eOMxkwaqNZH7Vznj6o6XTA4KJOvewbhnEVmgd"/>
    <s v="added"/>
    <n v="-0.05"/>
    <s v="Transfer, Payroll"/>
    <s v="2023-10-29, 8:00:00 p.m."/>
    <s v="CAD"/>
    <m/>
    <x v="167"/>
    <s v="other"/>
    <b v="0"/>
    <s v="rb4Povp8znTzYwXg9A9rIP8EwJAjozHVXqo8a"/>
    <s v="RBC Staff Banking"/>
    <s v="RBC Royal Bank"/>
    <s v="credit"/>
    <x v="1"/>
    <x v="101"/>
    <x v="18"/>
    <b v="0"/>
    <n v="14532.989714285719"/>
    <n v="3947.8199999999993"/>
    <n v="14532.989714285719"/>
    <n v="0"/>
  </r>
  <r>
    <s v="eOMxkwaqNZH7Vznj6o6XTA4KJOvewbhnEVmgd"/>
    <s v="added"/>
    <n v="-0.01"/>
    <s v="Transfer, Payroll"/>
    <s v="2023-10-29, 8:00:00 p.m."/>
    <s v="CAD"/>
    <m/>
    <x v="167"/>
    <s v="other"/>
    <b v="0"/>
    <s v="4XBJop63LASgpJk40108SNX9nADgJBHR3PaQ1"/>
    <s v="RBC Staff Banking"/>
    <s v="RBC Royal Bank"/>
    <s v="credit"/>
    <x v="1"/>
    <x v="101"/>
    <x v="18"/>
    <b v="0"/>
    <n v="14532.989714285719"/>
    <n v="3947.8199999999993"/>
    <n v="14532.989714285719"/>
    <n v="0"/>
  </r>
  <r>
    <s v="eOMxkwaqNZH7Vznj6o6XTA4KJOvewbhnEVmgd"/>
    <s v="added"/>
    <n v="-233.55"/>
    <s v="Shops"/>
    <s v="2023-10-29, 8:00:00 p.m."/>
    <s v="CAD"/>
    <m/>
    <x v="168"/>
    <s v="other"/>
    <b v="0"/>
    <s v="aOmnBzRLeaHw07Ken5nMiKY1XRyknxI76J0ea"/>
    <s v="RBC Staff Banking"/>
    <s v="RBC Royal Bank"/>
    <s v="credit"/>
    <x v="1"/>
    <x v="101"/>
    <x v="18"/>
    <b v="0"/>
    <n v="14532.989714285719"/>
    <n v="3947.8199999999993"/>
    <n v="14532.989714285719"/>
    <n v="0"/>
  </r>
  <r>
    <s v="eOMxkwaqNZH7Vznj6o6XTA4KJOvewbhnEVmgd"/>
    <s v="added"/>
    <n v="400"/>
    <s v="Transfer, Debit"/>
    <s v="2023-10-29, 8:00:00 p.m."/>
    <s v="CAD"/>
    <m/>
    <x v="169"/>
    <s v="other"/>
    <b v="0"/>
    <s v="xbwkYxX7zLT9rJvXa0a1swmEBLdAn0hOdw7vo"/>
    <s v="RBC Staff Banking"/>
    <s v="RBC Royal Bank"/>
    <s v="debit"/>
    <x v="1"/>
    <x v="101"/>
    <x v="18"/>
    <b v="0"/>
    <n v="14532.989714285719"/>
    <n v="3947.8199999999993"/>
    <n v="14532.989714285719"/>
    <n v="0"/>
  </r>
  <r>
    <s v="eOMxkwaqNZH7Vznj6o6XTA4KJOvewbhnEVmgd"/>
    <s v="added"/>
    <n v="2000"/>
    <s v="Transfer, Debit"/>
    <s v="2023-10-31, 8:00:00 p.m."/>
    <s v="CAD"/>
    <m/>
    <x v="170"/>
    <s v="other"/>
    <b v="0"/>
    <s v="kObx4qpAm9HOVm5g9D90iNbgweVADmHo5zkB9"/>
    <s v="RBC Staff Banking"/>
    <s v="RBC Royal Bank"/>
    <s v="debit"/>
    <x v="14"/>
    <x v="102"/>
    <x v="18"/>
    <b v="0"/>
    <n v="5076"/>
    <n v="2000"/>
    <n v="5076"/>
    <n v="0"/>
  </r>
  <r>
    <s v="eOMxkwaqNZH7Vznj6o6XTA4KJOvewbhnEVmgd"/>
    <s v="added"/>
    <n v="0.96"/>
    <s v="Transfer, Debit"/>
    <s v="2023-10-31, 8:00:00 p.m."/>
    <s v="CAD"/>
    <m/>
    <x v="171"/>
    <s v="other"/>
    <b v="0"/>
    <s v="AXN3ez01jbS3APoek4kdu09LwN1vAaCMVrm06"/>
    <s v="RBC Staff Banking"/>
    <s v="RBC Royal Bank"/>
    <s v="debit"/>
    <x v="1"/>
    <x v="102"/>
    <x v="18"/>
    <b v="0"/>
    <n v="14532.989714285719"/>
    <n v="3947.8199999999993"/>
    <n v="14532.989714285719"/>
    <n v="0"/>
  </r>
  <r>
    <s v="eOMxkwaqNZH7Vznj6o6XTA4KJOvewbhnEVmgd"/>
    <s v="added"/>
    <n v="-1200"/>
    <s v="Transfer, Credit"/>
    <s v="2023-10-31, 8:00:00 p.m."/>
    <s v="CAD"/>
    <m/>
    <x v="172"/>
    <s v="other"/>
    <b v="0"/>
    <s v="vbVy94p8zwTZVRYD787pCbvAOBy1zeFVZxwjV"/>
    <s v="RBC Staff Banking"/>
    <s v="RBC Royal Bank"/>
    <s v="credit"/>
    <x v="5"/>
    <x v="102"/>
    <x v="18"/>
    <b v="0"/>
    <n v="-3209.0714285714284"/>
    <n v="-4718"/>
    <n v="-3209.0714285714284"/>
    <n v="0"/>
  </r>
  <r>
    <s v="eOMxkwaqNZH7Vznj6o6XTA4KJOvewbhnEVmgd"/>
    <s v="added"/>
    <n v="-904"/>
    <s v="Transfer, Credit"/>
    <s v="2023-10-31, 8:00:00 p.m."/>
    <s v="CAD"/>
    <m/>
    <x v="173"/>
    <s v="other"/>
    <b v="0"/>
    <s v="0XDrJpO173S7XKVnMwM4TZO9yeN74wCApZ6a9"/>
    <s v="RBC Staff Banking"/>
    <s v="RBC Royal Bank"/>
    <s v="credit"/>
    <x v="5"/>
    <x v="102"/>
    <x v="18"/>
    <b v="0"/>
    <n v="-3209.0714285714284"/>
    <n v="-4718"/>
    <n v="-3209.0714285714284"/>
    <n v="0"/>
  </r>
  <r>
    <s v="eOMxkwaqNZH7Vznj6o6XTA4KJOvewbhnEVmgd"/>
    <s v="added"/>
    <n v="192.58"/>
    <s v="Service, Financial, Loans and Mortgages"/>
    <s v="2023-11-02, 8:00:00 p.m."/>
    <s v="CAD"/>
    <s v="Personal Loan Spl"/>
    <x v="147"/>
    <s v="online"/>
    <b v="0"/>
    <s v="BXVyezjPrgSxXRna9M9wIa65QjPRpru3BPmkm"/>
    <s v="RBC Staff Banking"/>
    <s v="RBC Royal Bank"/>
    <s v="debit"/>
    <x v="7"/>
    <x v="103"/>
    <x v="19"/>
    <b v="0"/>
    <n v="624.12818181818193"/>
    <n v="577.74"/>
    <n v="624.12818181818193"/>
    <n v="0"/>
  </r>
  <r>
    <s v="eOMxkwaqNZH7Vznj6o6XTA4KJOvewbhnEVmgd"/>
    <s v="added"/>
    <n v="-245.35"/>
    <s v="Shops"/>
    <s v="2023-11-02, 8:00:00 p.m."/>
    <s v="CAD"/>
    <m/>
    <x v="168"/>
    <s v="other"/>
    <b v="0"/>
    <s v="3XqR5pwB6kSDXQKBzEzJcMaqRzJov7Io13XBR"/>
    <s v="RBC Staff Banking"/>
    <s v="RBC Royal Bank"/>
    <s v="credit"/>
    <x v="1"/>
    <x v="103"/>
    <x v="19"/>
    <b v="0"/>
    <n v="14532.989714285719"/>
    <n v="1819.79"/>
    <n v="14532.989714285719"/>
    <n v="0"/>
  </r>
  <r>
    <s v="eOMxkwaqNZH7Vznj6o6XTA4KJOvewbhnEVmgd"/>
    <s v="added"/>
    <n v="74.12"/>
    <s v="Transfer, Debit"/>
    <s v="2023-11-02, 8:00:00 p.m."/>
    <s v="CAD"/>
    <m/>
    <x v="174"/>
    <s v="other"/>
    <b v="0"/>
    <s v="yb6XYJp8zDT3z0Oj6P61uAR95LwZj7TpQewxK"/>
    <s v="RBC Staff Banking"/>
    <s v="RBC Royal Bank"/>
    <s v="debit"/>
    <x v="0"/>
    <x v="103"/>
    <x v="19"/>
    <b v="0"/>
    <n v="12589.494482758622"/>
    <n v="114.12"/>
    <n v="12589.494482758622"/>
    <n v="0"/>
  </r>
  <r>
    <s v="eOMxkwaqNZH7Vznj6o6XTA4KJOvewbhnEVmgd"/>
    <s v="added"/>
    <n v="340.96"/>
    <s v="Transfer, Debit"/>
    <s v="2023-11-02, 8:00:00 p.m."/>
    <s v="CAD"/>
    <m/>
    <x v="175"/>
    <s v="other"/>
    <b v="0"/>
    <s v="KYmvezN0bnso8Rk5dDdyTx4XOVejyKUE9aO7Z"/>
    <s v="RBC Staff Banking"/>
    <s v="RBC Royal Bank"/>
    <s v="debit"/>
    <x v="1"/>
    <x v="103"/>
    <x v="19"/>
    <b v="0"/>
    <n v="14532.989714285719"/>
    <n v="1819.79"/>
    <n v="14532.989714285719"/>
    <n v="0"/>
  </r>
  <r>
    <s v="eOMxkwaqNZH7Vznj6o6XTA4KJOvewbhnEVmgd"/>
    <s v="added"/>
    <n v="111.64"/>
    <s v="Service, Utilities, Electric"/>
    <s v="2023-11-08, 7:00:00 p.m."/>
    <s v="CAD"/>
    <s v="Hydro"/>
    <x v="152"/>
    <s v="online"/>
    <b v="0"/>
    <s v="PpbjezRnN6TVNZrBQMQ0UYbVLx7r4zIo90L3Y"/>
    <s v="RBC Staff Banking"/>
    <s v="RBC Royal Bank"/>
    <s v="debit"/>
    <x v="8"/>
    <x v="104"/>
    <x v="19"/>
    <b v="0"/>
    <n v="139.88333333333333"/>
    <n v="111.64"/>
    <n v="139.88333333333333"/>
    <n v="0"/>
  </r>
  <r>
    <s v="eOMxkwaqNZH7Vznj6o6XTA4KJOvewbhnEVmgd"/>
    <s v="added"/>
    <n v="-753.14"/>
    <s v="Transfer, Credit"/>
    <s v="2023-11-08, 7:00:00 p.m."/>
    <s v="CAD"/>
    <m/>
    <x v="176"/>
    <s v="other"/>
    <b v="0"/>
    <s v="qbx15Ap8zQTerAqKYXY1SVoL9aNBdRIDdmRvw"/>
    <s v="RBC Staff Banking"/>
    <s v="RBC Royal Bank"/>
    <s v="credit"/>
    <x v="3"/>
    <x v="104"/>
    <x v="19"/>
    <b v="0"/>
    <n v="-333.34666666666664"/>
    <n v="-5808.97"/>
    <n v="-333.34666666666664"/>
    <n v="0"/>
  </r>
  <r>
    <s v="eOMxkwaqNZH7Vznj6o6XTA4KJOvewbhnEVmgd"/>
    <s v="added"/>
    <n v="76.56"/>
    <s v="Service, Utilities, Gas"/>
    <s v="2023-11-13, 7:00:00 p.m."/>
    <s v="CAD"/>
    <s v="Enbridge Gas"/>
    <x v="137"/>
    <s v="online"/>
    <b v="0"/>
    <s v="DpYkezRBa9T69a1DqJqLC0nKeY5LyvCw5xe3E"/>
    <s v="RBC Staff Banking"/>
    <s v="RBC Royal Bank"/>
    <s v="debit"/>
    <x v="6"/>
    <x v="105"/>
    <x v="19"/>
    <b v="0"/>
    <n v="153.08333333333331"/>
    <n v="76.56"/>
    <n v="153.08333333333331"/>
    <n v="0"/>
  </r>
  <r>
    <s v="eOMxkwaqNZH7Vznj6o6XTA4KJOvewbhnEVmgd"/>
    <s v="added"/>
    <n v="448.92"/>
    <s v="Transfer, Debit"/>
    <s v="2023-11-13, 7:00:00 p.m."/>
    <s v="CAD"/>
    <m/>
    <x v="177"/>
    <s v="other"/>
    <b v="0"/>
    <s v="1X148pJPdyS3OmV1M6MauzwEebajN6UnPz58L"/>
    <s v="RBC Staff Banking"/>
    <s v="RBC Royal Bank"/>
    <s v="debit"/>
    <x v="1"/>
    <x v="105"/>
    <x v="19"/>
    <b v="0"/>
    <n v="14532.989714285719"/>
    <n v="1819.79"/>
    <n v="14532.989714285719"/>
    <n v="0"/>
  </r>
  <r>
    <s v="eOMxkwaqNZH7Vznj6o6XTA4KJOvewbhnEVmgd"/>
    <s v="added"/>
    <n v="420.55"/>
    <s v="Service, Insurance"/>
    <s v="2023-11-14, 7:00:00 p.m."/>
    <s v="CAD"/>
    <s v="Insurance Belair Ins Ass."/>
    <x v="156"/>
    <s v="online"/>
    <b v="0"/>
    <s v="wbdKVap8z6T7VjE84p4vT0RyPZOqzpCKQ07oz"/>
    <s v="RBC Staff Banking"/>
    <s v="RBC Royal Bank"/>
    <s v="debit"/>
    <x v="10"/>
    <x v="106"/>
    <x v="19"/>
    <b v="0"/>
    <n v="432.99599999999998"/>
    <n v="420.55"/>
    <n v="432.99599999999998"/>
    <n v="0"/>
  </r>
  <r>
    <s v="eOMxkwaqNZH7Vznj6o6XTA4KJOvewbhnEVmgd"/>
    <s v="added"/>
    <n v="65.7"/>
    <s v="Service, Insurance"/>
    <s v="2023-11-14, 7:00:00 p.m."/>
    <s v="CAD"/>
    <s v="Life Insurance Foresters"/>
    <x v="157"/>
    <s v="online"/>
    <b v="0"/>
    <s v="6XyrgpDK10SB8yvazqz5CNov40aVwOHw8gnLX"/>
    <s v="RBC Staff Banking"/>
    <s v="RBC Royal Bank"/>
    <s v="debit"/>
    <x v="11"/>
    <x v="106"/>
    <x v="19"/>
    <b v="0"/>
    <n v="65.7"/>
    <n v="65.7"/>
    <n v="65.7"/>
    <n v="0"/>
  </r>
  <r>
    <s v="eOMxkwaqNZH7Vznj6o6XTA4KJOvewbhnEVmgd"/>
    <s v="added"/>
    <n v="50.86"/>
    <s v="Service, Insurance"/>
    <s v="2023-11-14, 7:00:00 p.m."/>
    <s v="CAD"/>
    <s v="Insurance Belair Ins Ass."/>
    <x v="156"/>
    <s v="online"/>
    <b v="0"/>
    <s v="LNJEezRjgpuv83A7wmwKTZaP56woj1CZqb54V"/>
    <s v="RBC Staff Banking"/>
    <s v="RBC Royal Bank"/>
    <s v="debit"/>
    <x v="12"/>
    <x v="106"/>
    <x v="19"/>
    <b v="0"/>
    <n v="57.905000000000001"/>
    <n v="50.86"/>
    <n v="57.905000000000001"/>
    <n v="0"/>
  </r>
  <r>
    <s v="eOMxkwaqNZH7Vznj6o6XTA4KJOvewbhnEVmgd"/>
    <s v="added"/>
    <n v="-700"/>
    <s v="Transfer, Credit"/>
    <s v="2023-11-15, 7:00:00 p.m."/>
    <s v="CAD"/>
    <m/>
    <x v="178"/>
    <s v="other"/>
    <b v="0"/>
    <s v="dO9xKdaPN8H9zOvYwpwosEkP31wpmBhKYXAjO"/>
    <s v="RBC Staff Banking"/>
    <s v="RBC Royal Bank"/>
    <s v="credit"/>
    <x v="1"/>
    <x v="107"/>
    <x v="19"/>
    <b v="0"/>
    <n v="14532.989714285719"/>
    <n v="1819.79"/>
    <n v="14532.989714285719"/>
    <n v="0"/>
  </r>
  <r>
    <s v="eOMxkwaqNZH7Vznj6o6XTA4KJOvewbhnEVmgd"/>
    <s v="added"/>
    <n v="1.45"/>
    <s v="Bank Fees, Overdraft"/>
    <s v="2023-11-16, 7:00:00 p.m."/>
    <s v="CAD"/>
    <m/>
    <x v="160"/>
    <s v="other"/>
    <b v="0"/>
    <s v="AXN3ez01jbS3APoek4kdu09LwN1vAaCMVrm0V"/>
    <s v="RBC Staff Banking"/>
    <s v="RBC Royal Bank"/>
    <s v="debit"/>
    <x v="13"/>
    <x v="108"/>
    <x v="19"/>
    <b v="0"/>
    <n v="2.5077777777777777"/>
    <n v="18.45"/>
    <n v="2.5077777777777777"/>
    <n v="0"/>
  </r>
  <r>
    <s v="eOMxkwaqNZH7Vznj6o6XTA4KJOvewbhnEVmgd"/>
    <s v="added"/>
    <n v="192.58"/>
    <s v="Service, Financial, Loans and Mortgages"/>
    <s v="2023-11-16, 7:00:00 p.m."/>
    <s v="CAD"/>
    <s v="Personal Loan Spl"/>
    <x v="147"/>
    <s v="online"/>
    <b v="0"/>
    <s v="mN4wx3p0zOuZMxmrzRzyCq8rkQPRe6uBbgayP"/>
    <s v="RBC Staff Banking"/>
    <s v="RBC Royal Bank"/>
    <s v="debit"/>
    <x v="7"/>
    <x v="108"/>
    <x v="19"/>
    <b v="0"/>
    <n v="624.12818181818193"/>
    <n v="577.74"/>
    <n v="624.12818181818193"/>
    <n v="0"/>
  </r>
  <r>
    <s v="eOMxkwaqNZH7Vznj6o6XTA4KJOvewbhnEVmgd"/>
    <s v="added"/>
    <n v="-110"/>
    <s v="Transfer, Credit"/>
    <s v="2023-11-19, 7:00:00 p.m."/>
    <s v="CAD"/>
    <m/>
    <x v="179"/>
    <s v="other"/>
    <b v="0"/>
    <s v="kObx4qpAm9HOVm5g9D90iNbgweVADmHo5zkBQ"/>
    <s v="RBC Staff Banking"/>
    <s v="RBC Royal Bank"/>
    <s v="credit"/>
    <x v="1"/>
    <x v="109"/>
    <x v="19"/>
    <b v="0"/>
    <n v="14532.989714285719"/>
    <n v="1819.79"/>
    <n v="14532.989714285719"/>
    <n v="0"/>
  </r>
  <r>
    <s v="eOMxkwaqNZH7Vznj6o6XTA4KJOvewbhnEVmgd"/>
    <s v="added"/>
    <n v="-5000"/>
    <s v="Transfer, Credit"/>
    <s v="2023-11-20, 7:00:00 p.m."/>
    <s v="CAD"/>
    <m/>
    <x v="180"/>
    <s v="other"/>
    <b v="0"/>
    <s v="KYmvezN0bnso8Rk5dDdyTx4XOVejyKUE9aO7p"/>
    <s v="RBC Staff Banking"/>
    <s v="RBC Royal Bank"/>
    <s v="credit"/>
    <x v="2"/>
    <x v="110"/>
    <x v="19"/>
    <b v="0"/>
    <n v="-18125.097037037034"/>
    <n v="-6101.97"/>
    <n v="-18125.097037037034"/>
    <n v="0"/>
  </r>
  <r>
    <s v="eOMxkwaqNZH7Vznj6o6XTA4KJOvewbhnEVmgd"/>
    <s v="added"/>
    <n v="-46.74"/>
    <s v="Shops"/>
    <s v="2023-11-22, 7:00:00 p.m."/>
    <s v="CAD"/>
    <m/>
    <x v="168"/>
    <s v="other"/>
    <b v="0"/>
    <s v="3XqR5pwB6kSDXQKBzEzJcMaqRzJov7Io13XB8"/>
    <s v="RBC Staff Banking"/>
    <s v="RBC Royal Bank"/>
    <s v="credit"/>
    <x v="1"/>
    <x v="111"/>
    <x v="19"/>
    <b v="0"/>
    <n v="14532.989714285719"/>
    <n v="1819.79"/>
    <n v="14532.989714285719"/>
    <n v="0"/>
  </r>
  <r>
    <s v="eOMxkwaqNZH7Vznj6o6XTA4KJOvewbhnEVmgd"/>
    <s v="added"/>
    <n v="-1101.97"/>
    <s v="Transfer, Credit"/>
    <s v="2023-11-22, 7:00:00 p.m."/>
    <s v="CAD"/>
    <m/>
    <x v="181"/>
    <s v="other"/>
    <b v="0"/>
    <s v="yb6XYJp8zDT3z0Oj6P61uAR95LwZj7TpQewxN"/>
    <s v="RBC Staff Banking"/>
    <s v="RBC Royal Bank"/>
    <s v="credit"/>
    <x v="2"/>
    <x v="111"/>
    <x v="19"/>
    <b v="0"/>
    <n v="-18125.097037037034"/>
    <n v="-6101.97"/>
    <n v="-18125.097037037034"/>
    <n v="0"/>
  </r>
  <r>
    <s v="eOMxkwaqNZH7Vznj6o6XTA4KJOvewbhnEVmgd"/>
    <s v="added"/>
    <n v="17"/>
    <s v="Bank Fees"/>
    <s v="2023-11-28, 7:00:00 p.m."/>
    <s v="CAD"/>
    <m/>
    <x v="182"/>
    <s v="other"/>
    <b v="0"/>
    <s v="PpbjezRnN6TVNZrBQMQ0UYbVLx7r4zIo90L3x"/>
    <s v="RBC Staff Banking"/>
    <s v="RBC Royal Bank"/>
    <s v="debit"/>
    <x v="13"/>
    <x v="112"/>
    <x v="19"/>
    <b v="0"/>
    <n v="2.5077777777777777"/>
    <n v="18.45"/>
    <n v="2.5077777777777777"/>
    <n v="0"/>
  </r>
  <r>
    <s v="eOMxkwaqNZH7Vznj6o6XTA4KJOvewbhnEVmgd"/>
    <s v="added"/>
    <n v="-5055.83"/>
    <s v="Transfer, Credit"/>
    <s v="2023-11-28, 7:00:00 p.m."/>
    <s v="CAD"/>
    <m/>
    <x v="183"/>
    <s v="other"/>
    <b v="0"/>
    <s v="qbx15Ap8zQTerAqKYXY1SVoL9aNBdRIDdmRvK"/>
    <s v="RBC Staff Banking"/>
    <s v="RBC Royal Bank"/>
    <s v="credit"/>
    <x v="3"/>
    <x v="112"/>
    <x v="19"/>
    <b v="0"/>
    <n v="-333.34666666666664"/>
    <n v="-5808.97"/>
    <n v="-333.34666666666664"/>
    <n v="0"/>
  </r>
  <r>
    <s v="eOMxkwaqNZH7Vznj6o6XTA4KJOvewbhnEVmgd"/>
    <s v="added"/>
    <n v="-783"/>
    <s v="Transfer, Credit"/>
    <s v="2023-11-28, 7:00:00 p.m."/>
    <s v="CAD"/>
    <m/>
    <x v="184"/>
    <s v="other"/>
    <b v="0"/>
    <s v="BXVyezjPrgSxXRna9M9wIa65QjPRpru3BPmkD"/>
    <s v="RBC Staff Banking"/>
    <s v="RBC Royal Bank"/>
    <s v="credit"/>
    <x v="5"/>
    <x v="112"/>
    <x v="19"/>
    <b v="0"/>
    <n v="-3209.0714285714284"/>
    <n v="-1687"/>
    <n v="-3209.0714285714284"/>
    <n v="0"/>
  </r>
  <r>
    <s v="eOMxkwaqNZH7Vznj6o6XTA4KJOvewbhnEVmgd"/>
    <s v="added"/>
    <n v="2132"/>
    <s v="Transfer, Debit"/>
    <s v="2023-11-29, 7:00:00 p.m."/>
    <s v="CAD"/>
    <m/>
    <x v="185"/>
    <s v="other"/>
    <b v="0"/>
    <s v="1X148pJPdyS3OmV1M6MauzwEebajN6UnPz58y"/>
    <s v="RBC Staff Banking"/>
    <s v="RBC Royal Bank"/>
    <s v="debit"/>
    <x v="1"/>
    <x v="113"/>
    <x v="19"/>
    <b v="0"/>
    <n v="14532.989714285719"/>
    <n v="1819.79"/>
    <n v="14532.989714285719"/>
    <n v="0"/>
  </r>
  <r>
    <s v="eOMxkwaqNZH7Vznj6o6XTA4KJOvewbhnEVmgd"/>
    <s v="added"/>
    <n v="3600"/>
    <s v="Transfer, Debit"/>
    <s v="2023-11-30, 7:00:00 p.m."/>
    <s v="CAD"/>
    <m/>
    <x v="186"/>
    <s v="other"/>
    <b v="0"/>
    <s v="wbdKVap8z6T7VjE84p4vT0RyPZOqzpCKQ07oJ"/>
    <s v="RBC Staff Banking"/>
    <s v="RBC Royal Bank"/>
    <s v="debit"/>
    <x v="14"/>
    <x v="114"/>
    <x v="19"/>
    <b v="1"/>
    <n v="5076"/>
    <n v="3600"/>
    <n v="5076"/>
    <n v="0"/>
  </r>
  <r>
    <s v="eOMxkwaqNZH7Vznj6o6XTA4KJOvewbhnEVmgd"/>
    <s v="added"/>
    <n v="40"/>
    <s v="Transfer, Debit"/>
    <s v="2023-11-30, 7:00:00 p.m."/>
    <s v="CAD"/>
    <m/>
    <x v="187"/>
    <s v="other"/>
    <b v="0"/>
    <s v="6XyrgpDK10SB8yvazqz5CNov40aVwOHw8gnLv"/>
    <s v="RBC Staff Banking"/>
    <s v="RBC Royal Bank"/>
    <s v="debit"/>
    <x v="0"/>
    <x v="114"/>
    <x v="19"/>
    <b v="1"/>
    <n v="12589.494482758622"/>
    <n v="114.12"/>
    <n v="12589.494482758622"/>
    <n v="0"/>
  </r>
  <r>
    <s v="eOMxkwaqNZH7Vznj6o6XTA4KJOvewbhnEVmgd"/>
    <s v="added"/>
    <n v="-904"/>
    <s v="Transfer, Credit"/>
    <s v="2023-11-30, 7:00:00 p.m."/>
    <s v="CAD"/>
    <m/>
    <x v="188"/>
    <s v="other"/>
    <b v="0"/>
    <s v="LNJEezRjgpuv83A7wmwKTZaP56woj1CZqb549"/>
    <s v="RBC Staff Banking"/>
    <s v="RBC Royal Bank"/>
    <s v="credit"/>
    <x v="5"/>
    <x v="114"/>
    <x v="19"/>
    <b v="1"/>
    <n v="-3209.0714285714284"/>
    <n v="-1687"/>
    <n v="-3209.0714285714284"/>
    <n v="0"/>
  </r>
  <r>
    <s v="eOMxkwaqNZH7Vznj6o6XTA4KJOvewbhnEVmgd"/>
    <s v="added"/>
    <n v="192.58"/>
    <s v="Service, Financial, Loans and Mortgages"/>
    <s v="2023-11-30, 7:00:00 p.m."/>
    <s v="CAD"/>
    <s v="Personal Loan Spl"/>
    <x v="147"/>
    <s v="online"/>
    <b v="0"/>
    <s v="DpYkezRBa9T69a1DqJqLC0nKeY5LyvCw5xe3x"/>
    <s v="RBC Staff Banking"/>
    <s v="RBC Royal Bank"/>
    <s v="debit"/>
    <x v="7"/>
    <x v="114"/>
    <x v="19"/>
    <b v="1"/>
    <n v="624.12818181818193"/>
    <n v="577.74"/>
    <n v="624.12818181818193"/>
    <n v="0"/>
  </r>
  <r>
    <s v="eOMxkwaqNZH7Vznj6o6XTA4KJOvewbhnEVmgd"/>
    <s v="added"/>
    <n v="470"/>
    <s v="Transfer, Debit"/>
    <s v="2023-12-04, 7:00:00 p.m."/>
    <s v="CAD"/>
    <m/>
    <x v="189"/>
    <s v="other"/>
    <b v="0"/>
    <s v="dO9xKdaPN8H9zOvYwpwosEkP31wpmBhKYXAj3"/>
    <s v="RBC Staff Banking"/>
    <s v="RBC Royal Bank"/>
    <s v="debit"/>
    <x v="1"/>
    <x v="115"/>
    <x v="20"/>
    <b v="1"/>
    <n v="14532.989714285719"/>
    <n v="6103"/>
    <n v="14532.989714285719"/>
    <n v="0"/>
  </r>
  <r>
    <s v="eOMxkwaqNZH7Vznj6o6XTA4KJOvewbhnEVmgd"/>
    <s v="added"/>
    <n v="489.91"/>
    <s v="Community, Government Departments and Agencies"/>
    <s v="2023-12-05, 7:00:00 p.m."/>
    <s v="CAD"/>
    <m/>
    <x v="190"/>
    <s v="other"/>
    <b v="0"/>
    <s v="mN4wx3p0zOuZMxmrzRzyCq8rkQPRe6uBbgaY9"/>
    <s v="RBC Staff Banking"/>
    <s v="RBC Royal Bank"/>
    <s v="debit"/>
    <x v="15"/>
    <x v="116"/>
    <x v="20"/>
    <b v="1"/>
    <n v="489.91"/>
    <n v="489.91"/>
    <n v="489.91"/>
    <n v="0"/>
  </r>
  <r>
    <s v="eOMxkwaqNZH7Vznj6o6XTA4KJOvewbhnEVmgd"/>
    <s v="added"/>
    <n v="-5000"/>
    <s v="Transfer, Credit"/>
    <s v="2023-12-06, 7:00:00 p.m."/>
    <s v="CAD"/>
    <m/>
    <x v="191"/>
    <s v="other"/>
    <b v="0"/>
    <s v="zbLXY8dVz1Tm4RXq9P9buZMDN463qzCve07Ya"/>
    <s v="RBC Staff Banking"/>
    <s v="RBC Royal Bank"/>
    <s v="credit"/>
    <x v="2"/>
    <x v="117"/>
    <x v="20"/>
    <b v="1"/>
    <n v="-18125.097037037034"/>
    <n v="-13196.35"/>
    <n v="-18125.097037037034"/>
    <n v="0"/>
  </r>
  <r>
    <s v="eOMxkwaqNZH7Vznj6o6XTA4KJOvewbhnEVmgd"/>
    <s v="added"/>
    <n v="4873.84"/>
    <s v="Transfer, Debit"/>
    <s v="2023-12-07, 7:00:00 p.m."/>
    <s v="CAD"/>
    <m/>
    <x v="192"/>
    <s v="other"/>
    <b v="0"/>
    <s v="NpJvYzRnNdTaNZ0XOMOATOvyme7ABYiojemn0"/>
    <s v="RBC Staff Banking"/>
    <s v="RBC Royal Bank"/>
    <s v="debit"/>
    <x v="0"/>
    <x v="118"/>
    <x v="20"/>
    <b v="1"/>
    <n v="12589.494482758622"/>
    <n v="8331.11"/>
    <n v="12589.494482758622"/>
    <n v="0"/>
  </r>
  <r>
    <s v="eOMxkwaqNZH7Vznj6o6XTA4KJOvewbhnEVmgd"/>
    <s v="added"/>
    <n v="633"/>
    <s v="Transfer, Debit"/>
    <s v="2023-12-07, 7:00:00 p.m."/>
    <s v="CAD"/>
    <m/>
    <x v="193"/>
    <s v="other"/>
    <b v="0"/>
    <s v="eOMxkwaqNZH7Vznj6o6XTA4vJObVpKTnBm0oo"/>
    <s v="RBC Staff Banking"/>
    <s v="RBC Royal Bank"/>
    <s v="debit"/>
    <x v="1"/>
    <x v="118"/>
    <x v="20"/>
    <b v="1"/>
    <n v="14532.989714285719"/>
    <n v="6103"/>
    <n v="14532.989714285719"/>
    <n v="0"/>
  </r>
  <r>
    <s v="eOMxkwaqNZH7Vznj6o6XTA4KJOvewbhnEVmgd"/>
    <s v="added"/>
    <n v="5000"/>
    <s v="Payment"/>
    <s v="2023-12-07, 7:00:00 p.m."/>
    <s v="CAD"/>
    <m/>
    <x v="194"/>
    <s v="other"/>
    <b v="0"/>
    <s v="Yepjdz7nNKt6JRzgrpr5C8LVBoYkynfJvkLj3"/>
    <s v="RBC Staff Banking"/>
    <s v="RBC Royal Bank"/>
    <s v="debit"/>
    <x v="1"/>
    <x v="118"/>
    <x v="20"/>
    <b v="1"/>
    <n v="14532.989714285719"/>
    <n v="6103"/>
    <n v="14532.989714285719"/>
    <n v="0"/>
  </r>
  <r>
    <s v="eOMxkwaqNZH7Vznj6o6XTA4KJOvewbhnEVmgd"/>
    <s v="added"/>
    <n v="120.25"/>
    <s v="Service, Utilities, Electric"/>
    <s v="2023-12-10, 7:00:00 p.m."/>
    <s v="CAD"/>
    <s v="Hydro"/>
    <x v="152"/>
    <s v="online"/>
    <b v="0"/>
    <s v="Xp8jezanNyTBNo6ARXRZC15emqw3KxHdEAYQK"/>
    <s v="RBC Staff Banking"/>
    <s v="RBC Royal Bank"/>
    <s v="debit"/>
    <x v="8"/>
    <x v="119"/>
    <x v="20"/>
    <b v="1"/>
    <n v="139.88333333333333"/>
    <n v="120.25"/>
    <n v="139.88333333333333"/>
    <n v="0"/>
  </r>
  <r>
    <s v="eOMxkwaqNZH7Vznj6o6XTA4KJOvewbhnEVmgd"/>
    <s v="added"/>
    <n v="142.53"/>
    <s v="Service, Utilities, Gas"/>
    <s v="2023-12-11, 7:00:00 p.m."/>
    <s v="CAD"/>
    <s v="Enbridge Gas"/>
    <x v="137"/>
    <s v="online"/>
    <b v="0"/>
    <s v="pb4DZkp8zRTK7y0VqjqAT7D6dOa9NYh3YEpr6"/>
    <s v="RBC Staff Banking"/>
    <s v="RBC Royal Bank"/>
    <s v="debit"/>
    <x v="6"/>
    <x v="120"/>
    <x v="20"/>
    <b v="1"/>
    <n v="153.08333333333331"/>
    <n v="142.53"/>
    <n v="153.08333333333331"/>
    <n v="0"/>
  </r>
  <r>
    <s v="eOMxkwaqNZH7Vznj6o6XTA4KJOvewbhnEVmgd"/>
    <s v="added"/>
    <n v="60"/>
    <s v="Transfer, Debit"/>
    <s v="2023-12-12, 7:00:00 p.m."/>
    <s v="CAD"/>
    <m/>
    <x v="195"/>
    <s v="other"/>
    <b v="0"/>
    <s v="QpJ5ezRXNLTNEw45P1PjHB0VAQrj7MtO8YARJ"/>
    <s v="RBC Staff Banking"/>
    <s v="RBC Royal Bank"/>
    <s v="debit"/>
    <x v="0"/>
    <x v="121"/>
    <x v="20"/>
    <b v="1"/>
    <n v="12589.494482758622"/>
    <n v="8331.11"/>
    <n v="12589.494482758622"/>
    <n v="0"/>
  </r>
  <r>
    <s v="eOMxkwaqNZH7Vznj6o6XTA4KJOvewbhnEVmgd"/>
    <s v="added"/>
    <n v="-1858.75"/>
    <s v="Transfer, Credit"/>
    <s v="2023-12-12, 7:00:00 p.m."/>
    <s v="CAD"/>
    <m/>
    <x v="196"/>
    <s v="other"/>
    <b v="0"/>
    <s v="nN46JypjzMu8QYa5zKzrIVjqMJ6z3LIBzR16N"/>
    <s v="RBC Staff Banking"/>
    <s v="RBC Royal Bank"/>
    <s v="credit"/>
    <x v="2"/>
    <x v="121"/>
    <x v="20"/>
    <b v="1"/>
    <n v="-18125.097037037034"/>
    <n v="-13196.35"/>
    <n v="-18125.097037037034"/>
    <n v="0"/>
  </r>
  <r>
    <s v="eOMxkwaqNZH7Vznj6o6XTA4KJOvewbhnEVmgd"/>
    <s v="added"/>
    <n v="-280"/>
    <s v="Transfer, Credit"/>
    <s v="2023-12-13, 7:00:00 p.m."/>
    <s v="CAD"/>
    <m/>
    <x v="197"/>
    <s v="other"/>
    <b v="0"/>
    <s v="RXJjezRnNDSkNOaAe7ersEnVX69vo5hewxXPd"/>
    <s v="RBC Staff Banking"/>
    <s v="RBC Royal Bank"/>
    <s v="credit"/>
    <x v="5"/>
    <x v="122"/>
    <x v="20"/>
    <b v="1"/>
    <n v="-3209.0714285714284"/>
    <n v="-280"/>
    <n v="-3209.0714285714284"/>
    <n v="0"/>
  </r>
  <r>
    <s v="eOMxkwaqNZH7Vznj6o6XTA4KJOvewbhnEVmgd"/>
    <s v="added"/>
    <n v="1300"/>
    <s v="Transfer, Debit"/>
    <s v="2023-12-14, 7:00:00 p.m."/>
    <s v="CAD"/>
    <m/>
    <x v="198"/>
    <s v="other"/>
    <b v="0"/>
    <s v="9XAwVpqvB4SJ7qVOnyngi8Mg3XoQPjfg1evzg"/>
    <s v="RBC Staff Banking"/>
    <s v="RBC Royal Bank"/>
    <s v="debit"/>
    <x v="1"/>
    <x v="123"/>
    <x v="20"/>
    <b v="1"/>
    <n v="14532.989714285719"/>
    <n v="6103"/>
    <n v="14532.989714285719"/>
    <n v="0"/>
  </r>
  <r>
    <s v="eOMxkwaqNZH7Vznj6o6XTA4KJOvewbhnEVmgd"/>
    <s v="added"/>
    <n v="420.55"/>
    <s v="Service, Insurance"/>
    <s v="2023-12-14, 7:00:00 p.m."/>
    <s v="CAD"/>
    <s v="Insurance Belair Ins Ass."/>
    <x v="156"/>
    <s v="online"/>
    <b v="0"/>
    <s v="VpQOez8nNBT0NRm8n6nJCAg8mvOeq3T4V1PDn"/>
    <s v="RBC Staff Banking"/>
    <s v="RBC Royal Bank"/>
    <s v="debit"/>
    <x v="10"/>
    <x v="123"/>
    <x v="20"/>
    <b v="1"/>
    <n v="432.99599999999998"/>
    <n v="420.55"/>
    <n v="432.99599999999998"/>
    <n v="0"/>
  </r>
  <r>
    <s v="eOMxkwaqNZH7Vznj6o6XTA4KJOvewbhnEVmgd"/>
    <s v="added"/>
    <n v="192.58"/>
    <s v="Service, Financial, Loans and Mortgages"/>
    <s v="2023-12-14, 7:00:00 p.m."/>
    <s v="CAD"/>
    <s v="Personal Loan Spl"/>
    <x v="147"/>
    <s v="online"/>
    <b v="0"/>
    <s v="OpOQezXnNwT19bjmMBMvsZyjQ75eoYCxydQ1g"/>
    <s v="RBC Staff Banking"/>
    <s v="RBC Royal Bank"/>
    <s v="debit"/>
    <x v="7"/>
    <x v="123"/>
    <x v="20"/>
    <b v="1"/>
    <n v="624.12818181818193"/>
    <n v="385.16"/>
    <n v="624.12818181818193"/>
    <n v="0"/>
  </r>
  <r>
    <s v="eOMxkwaqNZH7Vznj6o6XTA4KJOvewbhnEVmgd"/>
    <s v="added"/>
    <n v="65.7"/>
    <s v="Service, Insurance"/>
    <s v="2023-12-14, 7:00:00 p.m."/>
    <s v="CAD"/>
    <s v="Life Insurance Foresters"/>
    <x v="157"/>
    <s v="online"/>
    <b v="0"/>
    <s v="MpJZezRn7XToeMmQ6r6kTn1Y9wDExAIXoZvy5"/>
    <s v="RBC Staff Banking"/>
    <s v="RBC Royal Bank"/>
    <s v="debit"/>
    <x v="11"/>
    <x v="123"/>
    <x v="20"/>
    <b v="1"/>
    <n v="65.7"/>
    <n v="65.7"/>
    <n v="65.7"/>
    <n v="0"/>
  </r>
  <r>
    <s v="eOMxkwaqNZH7Vznj6o6XTA4KJOvewbhnEVmgd"/>
    <s v="added"/>
    <n v="50.86"/>
    <s v="Service, Insurance"/>
    <s v="2023-12-14, 7:00:00 p.m."/>
    <s v="CAD"/>
    <s v="Insurance Belair Ins Ass."/>
    <x v="156"/>
    <s v="online"/>
    <b v="0"/>
    <s v="EpbNezRmxVTmn9PBE8EDupkqO6mLyrIQxmO7Z"/>
    <s v="RBC Staff Banking"/>
    <s v="RBC Royal Bank"/>
    <s v="debit"/>
    <x v="12"/>
    <x v="123"/>
    <x v="20"/>
    <b v="1"/>
    <n v="57.905000000000001"/>
    <n v="50.86"/>
    <n v="57.905000000000001"/>
    <n v="0"/>
  </r>
  <r>
    <s v="eOMxkwaqNZH7Vznj6o6XTA4KJOvewbhnEVmgd"/>
    <s v="added"/>
    <n v="-1300"/>
    <s v="Transfer, Credit"/>
    <s v="2023-12-17, 7:00:00 p.m."/>
    <s v="CAD"/>
    <m/>
    <x v="199"/>
    <s v="other"/>
    <b v="0"/>
    <s v="bp893zMDNxT90nm7Q5QEskAbRZX0jzCJnEkvA"/>
    <s v="RBC Staff Banking"/>
    <s v="RBC Royal Bank"/>
    <s v="credit"/>
    <x v="1"/>
    <x v="124"/>
    <x v="20"/>
    <b v="1"/>
    <n v="14532.989714285719"/>
    <n v="6103"/>
    <n v="14532.989714285719"/>
    <n v="0"/>
  </r>
  <r>
    <s v="eOMxkwaqNZH7Vznj6o6XTA4KJOvewbhnEVmgd"/>
    <s v="added"/>
    <n v="-1337.6"/>
    <s v="Bank Fees, Foreign Transaction"/>
    <s v="2023-12-17, 7:00:00 p.m."/>
    <s v="CAD"/>
    <m/>
    <x v="200"/>
    <s v="other"/>
    <b v="0"/>
    <s v="gO8zvLa3NoHaQ0YpjAjgTz6wOrNX97U8Jer9X"/>
    <s v="RBC Staff Banking"/>
    <s v="RBC Royal Bank"/>
    <s v="credit"/>
    <x v="2"/>
    <x v="124"/>
    <x v="20"/>
    <b v="1"/>
    <n v="-18125.097037037034"/>
    <n v="-13196.35"/>
    <n v="-18125.097037037034"/>
    <n v="0"/>
  </r>
  <r>
    <s v="eOMxkwaqNZH7Vznj6o6XTA4KJOvewbhnEVmgd"/>
    <s v="added"/>
    <n v="0.19"/>
    <s v="Bank Fees, Overdraft"/>
    <s v="2023-12-18, 7:00:00 p.m."/>
    <s v="CAD"/>
    <m/>
    <x v="160"/>
    <s v="other"/>
    <b v="0"/>
    <s v="oN4L8KpOzEuYrb1g4k4vTxr91PjR3pU4wmR5n"/>
    <s v="RBC Staff Banking"/>
    <s v="RBC Royal Bank"/>
    <s v="debit"/>
    <x v="13"/>
    <x v="125"/>
    <x v="20"/>
    <b v="1"/>
    <n v="2.5077777777777777"/>
    <n v="0.19"/>
    <n v="2.5077777777777777"/>
    <n v="0"/>
  </r>
  <r>
    <s v="eOMxkwaqNZH7Vznj6o6XTA4KJOvewbhnEVmgd"/>
    <s v="added"/>
    <n v="-5000"/>
    <s v="Transfer, Credit"/>
    <s v="2023-12-26, 7:00:00 p.m."/>
    <s v="CAD"/>
    <m/>
    <x v="201"/>
    <s v="other"/>
    <b v="0"/>
    <s v="8ekd9pPAqrtQrAjep3pmc6b3P1gLRmIxDborN"/>
    <s v="RBC Staff Banking"/>
    <s v="RBC Royal Bank"/>
    <s v="credit"/>
    <x v="2"/>
    <x v="126"/>
    <x v="20"/>
    <b v="1"/>
    <n v="-18125.097037037034"/>
    <n v="-13196.35"/>
    <n v="-18125.097037037034"/>
    <n v="0"/>
  </r>
  <r>
    <s v="eOMxkwaqNZH7Vznj6o6XTA4KJOvewbhnEVmgd"/>
    <s v="added"/>
    <n v="3137.27"/>
    <s v="Transfer, Debit"/>
    <s v="2023-12-26, 7:00:00 p.m."/>
    <s v="CAD"/>
    <m/>
    <x v="202"/>
    <s v="other"/>
    <b v="0"/>
    <s v="ZORJwzanNkHyVPDOemeocB6pX7EqzMtbmYe7e"/>
    <s v="RBC Staff Banking"/>
    <s v="RBC Royal Bank"/>
    <s v="debit"/>
    <x v="0"/>
    <x v="126"/>
    <x v="20"/>
    <b v="1"/>
    <n v="12589.494482758622"/>
    <n v="8331.11"/>
    <n v="12589.494482758622"/>
    <n v="0"/>
  </r>
  <r>
    <s v="eOMxkwaqNZH7Vznj6o6XTA4KJOvewbhnEVmgd"/>
    <s v="added"/>
    <n v="260"/>
    <s v="Transfer, Debit"/>
    <s v="2023-12-26, 7:00:00 p.m."/>
    <s v="CAD"/>
    <m/>
    <x v="203"/>
    <s v="other"/>
    <b v="0"/>
    <s v="5X3rbpLyDvSjXnV1EPEZi9zQ3D1jgwcwvjrz3"/>
    <s v="RBC Staff Banking"/>
    <s v="RBC Royal Bank"/>
    <s v="debit"/>
    <x v="0"/>
    <x v="126"/>
    <x v="20"/>
    <b v="1"/>
    <n v="12589.494482758622"/>
    <n v="8331.11"/>
    <n v="12589.494482758622"/>
    <n v="0"/>
  </r>
  <r>
    <s v="eOMxkwaqNZH7Vznj6o6XTA4KJOvewbhnEVmgd"/>
    <s v="added"/>
    <n v="192.58"/>
    <s v="Service, Financial, Loans and Mortgages"/>
    <s v="2023-12-28, 7:00:00 p.m."/>
    <s v="CAD"/>
    <s v="Personal Loan Spl"/>
    <x v="147"/>
    <s v="online"/>
    <b v="0"/>
    <s v="JpJrezRvoQTpmz9wbZb3IX5DmZejR0HmyJKVZ"/>
    <s v="RBC Staff Banking"/>
    <s v="RBC Royal Bank"/>
    <s v="debit"/>
    <x v="7"/>
    <x v="127"/>
    <x v="20"/>
    <b v="1"/>
    <n v="624.12818181818193"/>
    <n v="385.16"/>
    <n v="624.12818181818193"/>
    <n v="0"/>
  </r>
  <r>
    <s v="eOMxkwaqNZH7Vznj6o6XTA4KJOvewbhnEVmgd"/>
    <s v="added"/>
    <n v="-1200"/>
    <s v="Transfer, Credit"/>
    <s v="2024-01-01, 7:00:00 p.m."/>
    <s v="CAD"/>
    <m/>
    <x v="204"/>
    <s v="other"/>
    <b v="0"/>
    <s v="jOoXrPpkN7HKQmxMzAzLTXvM6gnwZYHexgEM7"/>
    <s v="RBC Staff Banking"/>
    <s v="RBC Royal Bank"/>
    <s v="credit"/>
    <x v="5"/>
    <x v="128"/>
    <x v="21"/>
    <b v="1"/>
    <n v="-3209.0714285714284"/>
    <n v="-4473"/>
    <n v="-3209.0714285714284"/>
    <n v="0"/>
  </r>
  <r>
    <s v="eOMxkwaqNZH7Vznj6o6XTA4KJOvewbhnEVmgd"/>
    <s v="added"/>
    <n v="40"/>
    <s v="Transfer, Debit"/>
    <s v="2024-01-01, 7:00:00 p.m."/>
    <s v="CAD"/>
    <m/>
    <x v="205"/>
    <s v="other"/>
    <b v="0"/>
    <s v="rb4Povp8znTzYwXg9A9rIP8EwJAjozHVXqo5L"/>
    <s v="RBC Staff Banking"/>
    <s v="RBC Royal Bank"/>
    <s v="debit"/>
    <x v="0"/>
    <x v="128"/>
    <x v="21"/>
    <b v="1"/>
    <n v="12589.494482758622"/>
    <n v="6127.52"/>
    <n v="12589.494482758622"/>
    <n v="0"/>
  </r>
  <r>
    <s v="eOMxkwaqNZH7Vznj6o6XTA4KJOvewbhnEVmgd"/>
    <s v="added"/>
    <n v="-1000"/>
    <s v="Transfer, Credit"/>
    <s v="2024-01-01, 7:00:00 p.m."/>
    <s v="CAD"/>
    <m/>
    <x v="206"/>
    <s v="other"/>
    <b v="0"/>
    <s v="4XBJop63LASgpJk40108SNX9nADgJBHR3Pa6g"/>
    <s v="RBC Staff Banking"/>
    <s v="RBC Royal Bank"/>
    <s v="credit"/>
    <x v="5"/>
    <x v="128"/>
    <x v="21"/>
    <b v="1"/>
    <n v="-3209.0714285714284"/>
    <n v="-4473"/>
    <n v="-3209.0714285714284"/>
    <n v="0"/>
  </r>
  <r>
    <s v="eOMxkwaqNZH7Vznj6o6XTA4KJOvewbhnEVmgd"/>
    <s v="added"/>
    <n v="3600"/>
    <s v="Transfer, Debit"/>
    <s v="2024-01-01, 7:00:00 p.m."/>
    <s v="CAD"/>
    <m/>
    <x v="207"/>
    <s v="other"/>
    <b v="0"/>
    <s v="aOmnBzRLeaHw07Ken5nMiKY1XRyknxI76J0pg"/>
    <s v="RBC Staff Banking"/>
    <s v="RBC Royal Bank"/>
    <s v="debit"/>
    <x v="14"/>
    <x v="128"/>
    <x v="21"/>
    <b v="1"/>
    <n v="5076"/>
    <n v="7200"/>
    <n v="5076"/>
    <n v="0"/>
  </r>
  <r>
    <s v="eOMxkwaqNZH7Vznj6o6XTA4KJOvewbhnEVmgd"/>
    <s v="added"/>
    <n v="-1700"/>
    <s v="Transfer, Credit"/>
    <s v="2024-01-01, 7:00:00 p.m."/>
    <s v="CAD"/>
    <m/>
    <x v="208"/>
    <s v="other"/>
    <b v="0"/>
    <s v="xbwkYxX7zLT9rJvXa0a1swmEBLdAn0hOdw73n"/>
    <s v="RBC Staff Banking"/>
    <s v="RBC Royal Bank"/>
    <s v="credit"/>
    <x v="1"/>
    <x v="128"/>
    <x v="21"/>
    <b v="1"/>
    <n v="14532.989714285719"/>
    <n v="-710.66000000000008"/>
    <n v="14532.989714285719"/>
    <n v="0"/>
  </r>
  <r>
    <s v="eOMxkwaqNZH7Vznj6o6XTA4KJOvewbhnEVmgd"/>
    <s v="added"/>
    <n v="131.06"/>
    <s v="Service, Utilities, Electric"/>
    <s v="2024-01-07, 7:00:00 p.m."/>
    <s v="CAD"/>
    <s v="Hydro"/>
    <x v="152"/>
    <s v="online"/>
    <b v="0"/>
    <s v="0XDrJpO173S7XKVnMwM4TZO9yeN74wCApZ6Ew"/>
    <s v="RBC Staff Banking"/>
    <s v="RBC Royal Bank"/>
    <s v="debit"/>
    <x v="8"/>
    <x v="129"/>
    <x v="21"/>
    <b v="1"/>
    <n v="139.88333333333333"/>
    <n v="131.06"/>
    <n v="139.88333333333333"/>
    <n v="0"/>
  </r>
  <r>
    <s v="eOMxkwaqNZH7Vznj6o6XTA4KJOvewbhnEVmgd"/>
    <s v="added"/>
    <n v="104.1"/>
    <s v="Service, Utilities, Gas"/>
    <s v="2024-01-08, 7:00:00 p.m."/>
    <s v="CAD"/>
    <s v="Enbridge Gas"/>
    <x v="137"/>
    <s v="online"/>
    <b v="0"/>
    <s v="vbVy94p8zwTZVRYD787pCbvAOBy1zeFVZxwJb"/>
    <s v="RBC Staff Banking"/>
    <s v="RBC Royal Bank"/>
    <s v="debit"/>
    <x v="6"/>
    <x v="130"/>
    <x v="21"/>
    <b v="1"/>
    <n v="153.08333333333331"/>
    <n v="104.1"/>
    <n v="153.08333333333331"/>
    <n v="0"/>
  </r>
  <r>
    <s v="prmkQjxRzEikMOjvZwjyuky9emyqeau3VyE5V"/>
    <s v="added"/>
    <n v="0"/>
    <s v="Transfer, Deposit"/>
    <s v="2024-01-11, 7:00:00 p.m."/>
    <s v="CAD"/>
    <m/>
    <x v="209"/>
    <s v="other"/>
    <b v="0"/>
    <s v="n0XyEVAMzOcoMmKkwEKYurVaoaVmLJIBRjg8a"/>
    <s v="Preferred Package"/>
    <s v="Scotiabank"/>
    <s v="debit"/>
    <x v="16"/>
    <x v="131"/>
    <x v="21"/>
    <b v="1"/>
    <n v="-12680.457777777781"/>
    <n v="0"/>
    <n v="-12680.457777777781"/>
    <n v="0"/>
  </r>
  <r>
    <s v="eOMxkwaqNZH7Vznj6o6XTA4KJOvewbhnEVmgd"/>
    <s v="added"/>
    <n v="2966.59"/>
    <s v="Transfer, Debit"/>
    <s v="2024-01-11, 7:00:00 p.m."/>
    <s v="CAD"/>
    <m/>
    <x v="210"/>
    <s v="other"/>
    <b v="0"/>
    <s v="AXN3ez01jbS3APoek4kdu09LwN1vAaCMVrm5V"/>
    <s v="RBC Staff Banking"/>
    <s v="RBC Royal Bank"/>
    <s v="debit"/>
    <x v="0"/>
    <x v="131"/>
    <x v="21"/>
    <b v="1"/>
    <n v="12589.494482758622"/>
    <n v="6127.52"/>
    <n v="12589.494482758622"/>
    <n v="0"/>
  </r>
  <r>
    <s v="eOMxkwaqNZH7Vznj6o6XTA4KJOvewbhnEVmgd"/>
    <s v="added"/>
    <n v="80"/>
    <s v="Transfer, Debit"/>
    <s v="2024-01-14, 7:00:00 p.m."/>
    <s v="CAD"/>
    <m/>
    <x v="211"/>
    <s v="other"/>
    <b v="0"/>
    <s v="qbx15Ap8zQTerAqKYXY1SVoL9aNBdRIDdmR4K"/>
    <s v="RBC Staff Banking"/>
    <s v="RBC Royal Bank"/>
    <s v="debit"/>
    <x v="0"/>
    <x v="132"/>
    <x v="21"/>
    <b v="1"/>
    <n v="12589.494482758622"/>
    <n v="6127.52"/>
    <n v="12589.494482758622"/>
    <n v="0"/>
  </r>
  <r>
    <s v="eOMxkwaqNZH7Vznj6o6XTA4KJOvewbhnEVmgd"/>
    <s v="added"/>
    <n v="428"/>
    <s v="Service, Insurance"/>
    <s v="2024-01-14, 7:00:00 p.m."/>
    <s v="CAD"/>
    <s v="Insurance Belair Ins Ass."/>
    <x v="156"/>
    <s v="online"/>
    <b v="0"/>
    <s v="BXVyezjPrgSxXRna9M9wIa65QjPRpru3BPm5D"/>
    <s v="RBC Staff Banking"/>
    <s v="RBC Royal Bank"/>
    <s v="debit"/>
    <x v="10"/>
    <x v="132"/>
    <x v="21"/>
    <b v="1"/>
    <n v="432.99599999999998"/>
    <n v="428"/>
    <n v="432.99599999999998"/>
    <n v="0"/>
  </r>
  <r>
    <s v="eOMxkwaqNZH7Vznj6o6XTA4KJOvewbhnEVmgd"/>
    <s v="added"/>
    <n v="65.7"/>
    <s v="Service, Insurance"/>
    <s v="2024-01-14, 7:00:00 p.m."/>
    <s v="CAD"/>
    <s v="Life Insurance Foresters"/>
    <x v="157"/>
    <s v="online"/>
    <b v="0"/>
    <s v="3XqR5pwB6kSDXQKBzEzJcMaqRzJov7Io13Xd8"/>
    <s v="RBC Staff Banking"/>
    <s v="RBC Royal Bank"/>
    <s v="debit"/>
    <x v="11"/>
    <x v="132"/>
    <x v="21"/>
    <b v="1"/>
    <n v="65.7"/>
    <n v="65.7"/>
    <n v="65.7"/>
    <n v="0"/>
  </r>
  <r>
    <s v="eOMxkwaqNZH7Vznj6o6XTA4KJOvewbhnEVmgd"/>
    <s v="added"/>
    <n v="56.11"/>
    <s v="Service, Insurance"/>
    <s v="2024-01-14, 7:00:00 p.m."/>
    <s v="CAD"/>
    <s v="Insurance Belair Ins Ass."/>
    <x v="156"/>
    <s v="online"/>
    <b v="0"/>
    <s v="yb6XYJp8zDT3z0Oj6P61uAR95LwZj7TpQewYN"/>
    <s v="RBC Staff Banking"/>
    <s v="RBC Royal Bank"/>
    <s v="debit"/>
    <x v="12"/>
    <x v="132"/>
    <x v="21"/>
    <b v="1"/>
    <n v="57.905000000000001"/>
    <n v="64.209999999999994"/>
    <n v="57.905000000000001"/>
    <n v="0"/>
  </r>
  <r>
    <s v="eOMxkwaqNZH7Vznj6o6XTA4KJOvewbhnEVmgd"/>
    <s v="added"/>
    <n v="15.59"/>
    <s v="Transfer, Billpay"/>
    <s v="2024-01-14, 7:00:00 p.m."/>
    <s v="CAD"/>
    <m/>
    <x v="155"/>
    <s v="other"/>
    <b v="0"/>
    <s v="KYmvezN0bnso8Rk5dDdyTx4XOVejyKUE9aOJp"/>
    <s v="RBC Staff Banking"/>
    <s v="RBC Royal Bank"/>
    <s v="debit"/>
    <x v="1"/>
    <x v="132"/>
    <x v="21"/>
    <b v="1"/>
    <n v="14532.989714285719"/>
    <n v="-710.66000000000008"/>
    <n v="14532.989714285719"/>
    <n v="0"/>
  </r>
  <r>
    <s v="eOMxkwaqNZH7Vznj6o6XTA4KJOvewbhnEVmgd"/>
    <s v="added"/>
    <n v="-244"/>
    <s v="Transfer, Payroll, Benefits"/>
    <s v="2024-01-14, 7:00:00 p.m."/>
    <s v="CAD"/>
    <m/>
    <x v="212"/>
    <s v="other"/>
    <b v="0"/>
    <s v="kObx4qpAm9HOVm5g9D90iNbgweVADmHo5zk1Q"/>
    <s v="RBC Staff Banking"/>
    <s v="RBC Royal Bank"/>
    <s v="credit"/>
    <x v="9"/>
    <x v="132"/>
    <x v="21"/>
    <b v="1"/>
    <n v="-244"/>
    <n v="-244"/>
    <n v="-244"/>
    <n v="0"/>
  </r>
  <r>
    <s v="eOMxkwaqNZH7Vznj6o6XTA4KJOvewbhnEVmgd"/>
    <s v="added"/>
    <n v="-673.75"/>
    <s v="Bank Fees, Foreign Transaction"/>
    <s v="2024-01-15, 7:00:00 p.m."/>
    <s v="CAD"/>
    <m/>
    <x v="213"/>
    <s v="other"/>
    <b v="0"/>
    <s v="1X148pJPdyS3OmV1M6MauzwEebajN6UnPz5Dy"/>
    <s v="RBC Staff Banking"/>
    <s v="RBC Royal Bank"/>
    <s v="credit"/>
    <x v="2"/>
    <x v="133"/>
    <x v="21"/>
    <b v="1"/>
    <n v="-18125.097037037034"/>
    <n v="-10673.75"/>
    <n v="-18125.097037037034"/>
    <n v="0"/>
  </r>
  <r>
    <s v="eOMxkwaqNZH7Vznj6o6XTA4KJOvewbhnEVmgd"/>
    <s v="added"/>
    <n v="673.75"/>
    <s v="Transfer, Debit"/>
    <s v="2024-01-15, 7:00:00 p.m."/>
    <s v="CAD"/>
    <m/>
    <x v="214"/>
    <s v="other"/>
    <b v="0"/>
    <s v="PpbjezRnN6TVNZrBQMQ0UYbVLx7r4zIo90Ljx"/>
    <s v="RBC Staff Banking"/>
    <s v="RBC Royal Bank"/>
    <s v="debit"/>
    <x v="1"/>
    <x v="133"/>
    <x v="21"/>
    <b v="1"/>
    <n v="14532.989714285719"/>
    <n v="-710.66000000000008"/>
    <n v="14532.989714285719"/>
    <n v="0"/>
  </r>
  <r>
    <s v="eOMxkwaqNZH7Vznj6o6XTA4KJOvewbhnEVmgd"/>
    <s v="added"/>
    <n v="-5000"/>
    <s v="Transfer, Credit"/>
    <s v="2024-01-16, 7:00:00 p.m."/>
    <s v="CAD"/>
    <m/>
    <x v="215"/>
    <s v="other"/>
    <b v="0"/>
    <s v="LNJEezRjgpuv83A7wmwKTZaP56woj1CZqb579"/>
    <s v="RBC Staff Banking"/>
    <s v="RBC Royal Bank"/>
    <s v="credit"/>
    <x v="2"/>
    <x v="134"/>
    <x v="21"/>
    <b v="1"/>
    <n v="-18125.097037037034"/>
    <n v="-10673.75"/>
    <n v="-18125.097037037034"/>
    <n v="0"/>
  </r>
  <r>
    <s v="eOMxkwaqNZH7Vznj6o6XTA4KJOvewbhnEVmgd"/>
    <s v="added"/>
    <n v="0.24"/>
    <s v="Bank Fees, Overdraft"/>
    <s v="2024-01-16, 7:00:00 p.m."/>
    <s v="CAD"/>
    <m/>
    <x v="160"/>
    <s v="other"/>
    <b v="0"/>
    <s v="DpYkezRBa9T69a1DqJqLC0nKeY5LyvCw5xedx"/>
    <s v="RBC Staff Banking"/>
    <s v="RBC Royal Bank"/>
    <s v="debit"/>
    <x v="13"/>
    <x v="134"/>
    <x v="21"/>
    <b v="1"/>
    <n v="2.5077777777777777"/>
    <n v="0.24"/>
    <n v="2.5077777777777777"/>
    <n v="0"/>
  </r>
  <r>
    <s v="eOMxkwaqNZH7Vznj6o6XTA4KJOvewbhnEVmgd"/>
    <s v="added"/>
    <n v="8.1"/>
    <s v="Service, Insurance"/>
    <s v="2024-01-17, 7:00:00 p.m."/>
    <s v="CAD"/>
    <s v="Insurance Belair Ins Ass."/>
    <x v="156"/>
    <s v="online"/>
    <b v="0"/>
    <s v="6XyrgpDK10SB8yvazqz5CNov40aVwOHw8gnKv"/>
    <s v="RBC Staff Banking"/>
    <s v="RBC Royal Bank"/>
    <s v="debit"/>
    <x v="12"/>
    <x v="135"/>
    <x v="21"/>
    <b v="1"/>
    <n v="57.905000000000001"/>
    <n v="64.209999999999994"/>
    <n v="57.905000000000001"/>
    <n v="0"/>
  </r>
  <r>
    <s v="eOMxkwaqNZH7Vznj6o6XTA4KJOvewbhnEVmgd"/>
    <s v="added"/>
    <n v="324.55"/>
    <s v="Service, Financial, Loans and Mortgages"/>
    <s v="2024-01-18, 7:00:00 p.m."/>
    <s v="CAD"/>
    <s v="Personal Loan Spl"/>
    <x v="147"/>
    <s v="online"/>
    <b v="0"/>
    <s v="wbdKVap8z6T7VjE84p4vT0RyPZOqzpCKQ07XJ"/>
    <s v="RBC Staff Banking"/>
    <s v="RBC Royal Bank"/>
    <s v="debit"/>
    <x v="7"/>
    <x v="136"/>
    <x v="21"/>
    <b v="1"/>
    <n v="624.12818181818193"/>
    <n v="324.55"/>
    <n v="624.12818181818193"/>
    <n v="0"/>
  </r>
  <r>
    <s v="eOMxkwaqNZH7Vznj6o6XTA4KJOvewbhnEVmgd"/>
    <s v="added"/>
    <n v="300"/>
    <s v="Transfer, Debit"/>
    <s v="2024-01-22, 7:00:00 p.m."/>
    <s v="CAD"/>
    <m/>
    <x v="216"/>
    <s v="other"/>
    <b v="0"/>
    <s v="dO9xKdaPN8H9zOvYwpwosEkP31wpmBhKYXAp3"/>
    <s v="RBC Staff Banking"/>
    <s v="RBC Royal Bank"/>
    <s v="debit"/>
    <x v="1"/>
    <x v="137"/>
    <x v="21"/>
    <b v="1"/>
    <n v="14532.989714285719"/>
    <n v="-710.66000000000008"/>
    <n v="14532.989714285719"/>
    <n v="0"/>
  </r>
  <r>
    <s v="eOMxkwaqNZH7Vznj6o6XTA4KJOvewbhnEVmgd"/>
    <s v="added"/>
    <n v="-1273"/>
    <s v="Transfer, Credit"/>
    <s v="2024-01-28, 7:00:00 p.m."/>
    <s v="CAD"/>
    <m/>
    <x v="217"/>
    <s v="other"/>
    <b v="0"/>
    <s v="mN4wx3p0zOuZMxmrzRzyCq8rkQPRe6uBbgaJ9"/>
    <s v="RBC Staff Banking"/>
    <s v="RBC Royal Bank"/>
    <s v="credit"/>
    <x v="5"/>
    <x v="138"/>
    <x v="21"/>
    <b v="1"/>
    <n v="-3209.0714285714284"/>
    <n v="-4473"/>
    <n v="-3209.0714285714284"/>
    <n v="0"/>
  </r>
  <r>
    <s v="eOMxkwaqNZH7Vznj6o6XTA4KJOvewbhnEVmgd"/>
    <s v="added"/>
    <n v="3600"/>
    <s v="Transfer, Debit"/>
    <s v="2024-01-31, 7:00:00 p.m."/>
    <s v="CAD"/>
    <m/>
    <x v="218"/>
    <s v="other"/>
    <b v="0"/>
    <s v="Xp8jezanNyTBNo6ARXRZC15emqw3KxHdEAYkK"/>
    <s v="RBC Staff Banking"/>
    <s v="RBC Royal Bank"/>
    <s v="debit"/>
    <x v="14"/>
    <x v="139"/>
    <x v="21"/>
    <b v="1"/>
    <n v="5076"/>
    <n v="7200"/>
    <n v="5076"/>
    <n v="0"/>
  </r>
  <r>
    <s v="eOMxkwaqNZH7Vznj6o6XTA4KJOvewbhnEVmgd"/>
    <s v="added"/>
    <n v="-1000"/>
    <s v="Transfer, Credit"/>
    <s v="2024-01-31, 7:00:00 p.m."/>
    <s v="CAD"/>
    <m/>
    <x v="219"/>
    <s v="other"/>
    <b v="0"/>
    <s v="NpJvYzRnNdTaNZ0XOMOATOvyme7ABYiojem00"/>
    <s v="RBC Staff Banking"/>
    <s v="RBC Royal Bank"/>
    <s v="credit"/>
    <x v="5"/>
    <x v="139"/>
    <x v="21"/>
    <b v="1"/>
    <n v="-3209.0714285714284"/>
    <n v="-4473"/>
    <n v="-3209.0714285714284"/>
    <n v="0"/>
  </r>
  <r>
    <s v="eOMxkwaqNZH7Vznj6o6XTA4KJOvewbhnEVmgd"/>
    <s v="added"/>
    <n v="-5000"/>
    <s v="Transfer, Credit"/>
    <s v="2024-01-31, 7:00:00 p.m."/>
    <s v="CAD"/>
    <m/>
    <x v="220"/>
    <s v="other"/>
    <b v="0"/>
    <s v="eOMxkwaqNZH7Vznj6o6XTA4vJObVpKTnBm05o"/>
    <s v="RBC Staff Banking"/>
    <s v="RBC Royal Bank"/>
    <s v="credit"/>
    <x v="2"/>
    <x v="139"/>
    <x v="21"/>
    <b v="1"/>
    <n v="-18125.097037037034"/>
    <n v="-10673.75"/>
    <n v="-18125.097037037034"/>
    <n v="0"/>
  </r>
  <r>
    <s v="eOMxkwaqNZH7Vznj6o6XTA4KJOvewbhnEVmgd"/>
    <s v="added"/>
    <n v="3040.93"/>
    <s v="Transfer, Debit"/>
    <s v="2024-01-31, 7:00:00 p.m."/>
    <s v="CAD"/>
    <m/>
    <x v="221"/>
    <s v="other"/>
    <b v="0"/>
    <s v="Yepjdz7nNKt6JRzgrpr5C8LVBoYkynfJvkLg3"/>
    <s v="RBC Staff Banking"/>
    <s v="RBC Royal Bank"/>
    <s v="debit"/>
    <x v="0"/>
    <x v="139"/>
    <x v="21"/>
    <b v="1"/>
    <n v="12589.494482758622"/>
    <n v="6127.52"/>
    <n v="12589.494482758622"/>
    <n v="0"/>
  </r>
  <r>
    <s v="eOMxkwaqNZH7Vznj6o6XTA4KJOvewbhnEVmgd"/>
    <s v="added"/>
    <n v="-0.01"/>
    <s v="Interest, Interest Earned"/>
    <s v="2024-01-31, 7:00:00 p.m."/>
    <s v="CAD"/>
    <m/>
    <x v="70"/>
    <s v="other"/>
    <b v="0"/>
    <s v="zbLXY8dVz1Tm4RXq9P9buZMDN463qzCve07qa"/>
    <s v="RBC Staff Banking"/>
    <s v="RBC Royal Bank"/>
    <s v="credit"/>
    <x v="4"/>
    <x v="139"/>
    <x v="21"/>
    <b v="1"/>
    <n v="-0.01"/>
    <n v="-0.01"/>
    <n v="-0.01"/>
    <n v="0"/>
  </r>
  <r>
    <s v="eOMxkwaqNZH7Vznj6o6XTA4KJOvewbhnEVmgd"/>
    <s v="added"/>
    <n v="324.55"/>
    <s v="Service, Financial, Loans and Mortgages"/>
    <s v="2024-02-01, 7:00:00 p.m."/>
    <s v="CAD"/>
    <s v="Personal Loan Spl"/>
    <x v="147"/>
    <s v="online"/>
    <b v="0"/>
    <s v="pb4DZkp8zRTK7y0VqjqAT7D6dOa9NYh3YEpn6"/>
    <s v="RBC Staff Banking"/>
    <s v="RBC Royal Bank"/>
    <s v="debit"/>
    <x v="7"/>
    <x v="140"/>
    <x v="22"/>
    <b v="1"/>
    <n v="624.12818181818193"/>
    <n v="973.65000000000009"/>
    <n v="624.12818181818193"/>
    <n v="0"/>
  </r>
  <r>
    <s v="NpJvYzRnNdTaNZ0XOMOATOvYmey8M7ioaPe7Y"/>
    <s v="added"/>
    <n v="14.35"/>
    <s v="Shops, Supermarkets and Groceries"/>
    <s v="2024-02-04, 7:00:00 p.m."/>
    <s v="CAD"/>
    <s v="Chedraui"/>
    <x v="222"/>
    <s v="in store"/>
    <b v="0"/>
    <s v="Yepjdz7nNKt6JRzgrpr5C8LVBoYkynfJvkLEr"/>
    <s v="WestJet RBC World Elite Mastercard"/>
    <s v="RBC Royal Bank"/>
    <s v="debit"/>
    <x v="17"/>
    <x v="141"/>
    <x v="22"/>
    <b v="1"/>
    <n v="248.35999999999999"/>
    <n v="248.35999999999999"/>
    <n v="248.35999999999999"/>
    <n v="0"/>
  </r>
  <r>
    <s v="NpJvYzRnNdTaNZ0XOMOATOvYmey8M7ioaPe7Y"/>
    <s v="added"/>
    <n v="234.01"/>
    <s v="Shops, Supermarkets and Groceries"/>
    <s v="2024-02-04, 7:00:00 p.m."/>
    <s v="CAD"/>
    <s v="Chedraui"/>
    <x v="223"/>
    <s v="in store"/>
    <b v="0"/>
    <s v="zbLXY8dVz1Tm4RXq9P9buZMDN463qzCve075A"/>
    <s v="WestJet RBC World Elite Mastercard"/>
    <s v="RBC Royal Bank"/>
    <s v="debit"/>
    <x v="17"/>
    <x v="141"/>
    <x v="22"/>
    <b v="1"/>
    <n v="248.35999999999999"/>
    <n v="248.35999999999999"/>
    <n v="248.35999999999999"/>
    <n v="0"/>
  </r>
  <r>
    <s v="NpJvYzRnNdTaNZ0XOMOATOvYmey8M7ioaPe7Y"/>
    <s v="added"/>
    <n v="201.37"/>
    <s v="Food and Drink, Restaurants"/>
    <s v="2024-02-04, 7:00:00 p.m."/>
    <s v="CAD"/>
    <s v="Anam Aicm"/>
    <x v="224"/>
    <s v="in store"/>
    <b v="0"/>
    <s v="mN4wx3p0zOuZMxmrzRzyCq8rkQPRe6uBbgaZM"/>
    <s v="WestJet RBC World Elite Mastercard"/>
    <s v="RBC Royal Bank"/>
    <s v="debit"/>
    <x v="18"/>
    <x v="141"/>
    <x v="22"/>
    <b v="1"/>
    <n v="414.67285714285714"/>
    <n v="482.13"/>
    <n v="800"/>
    <n v="0"/>
  </r>
  <r>
    <s v="NpJvYzRnNdTaNZ0XOMOATOvYmey8M7ioaPe7Y"/>
    <s v="added"/>
    <n v="4.04"/>
    <s v="Travel, Car Service, Ride Share"/>
    <s v="2024-02-04, 7:00:00 p.m."/>
    <s v="CAD"/>
    <s v="Uber"/>
    <x v="225"/>
    <s v="online"/>
    <b v="0"/>
    <s v="dO9xKdaPN8H9zOvYwpwosEkP31wpmBhKYXA4K"/>
    <s v="WestJet RBC World Elite Mastercard"/>
    <s v="RBC Royal Bank"/>
    <s v="debit"/>
    <x v="19"/>
    <x v="141"/>
    <x v="22"/>
    <b v="1"/>
    <n v="12.969999999999999"/>
    <n v="12.969999999999999"/>
    <n v="12.969999999999999"/>
    <n v="0"/>
  </r>
  <r>
    <s v="NpJvYzRnNdTaNZ0XOMOATOvYmey8M7ioaPe7Y"/>
    <s v="added"/>
    <n v="197.65"/>
    <s v="Transfer, Third Party, PayPal"/>
    <s v="2024-02-05, 7:00:00 p.m."/>
    <s v="CAD"/>
    <s v="Enviaya"/>
    <x v="226"/>
    <s v="online"/>
    <b v="0"/>
    <s v="NpJvYzRnNdTaNZ0XOMOATOvyme7ABYiojem81"/>
    <s v="WestJet RBC World Elite Mastercard"/>
    <s v="RBC Royal Bank"/>
    <s v="debit"/>
    <x v="20"/>
    <x v="142"/>
    <x v="22"/>
    <b v="1"/>
    <n v="197.65"/>
    <n v="197.65"/>
    <n v="197.65"/>
    <n v="0"/>
  </r>
  <r>
    <s v="NpJvYzRnNdTaNZ0XOMOATOvYmey8M7ioaPe7Y"/>
    <s v="added"/>
    <n v="13.54"/>
    <s v="Shops, Digital Purchase"/>
    <s v="2024-02-05, 7:00:00 p.m."/>
    <s v="CAD"/>
    <s v="Amazon"/>
    <x v="227"/>
    <s v="online"/>
    <b v="0"/>
    <s v="eOMxkwaqNZH7Vznj6o6XTA4vJObVpKTnBm0NP"/>
    <s v="WestJet RBC World Elite Mastercard"/>
    <s v="RBC Royal Bank"/>
    <s v="debit"/>
    <x v="21"/>
    <x v="142"/>
    <x v="22"/>
    <b v="1"/>
    <n v="128.65625000000003"/>
    <n v="200.69"/>
    <n v="128.65625000000003"/>
    <n v="0"/>
  </r>
  <r>
    <s v="NpJvYzRnNdTaNZ0XOMOATOvYmey8M7ioaPe7Y"/>
    <s v="added"/>
    <n v="11.09"/>
    <s v="Food and Drink, Restaurants"/>
    <s v="2024-02-06, 7:00:00 p.m."/>
    <s v="CAD"/>
    <s v="Pharmaoport Mex"/>
    <x v="228"/>
    <s v="in store"/>
    <b v="0"/>
    <s v="nN46JypjzMu8QYa5zKzrIVjqMJ6z3LIBzR1VP"/>
    <s v="WestJet RBC World Elite Mastercard"/>
    <s v="RBC Royal Bank"/>
    <s v="debit"/>
    <x v="18"/>
    <x v="143"/>
    <x v="22"/>
    <b v="1"/>
    <n v="414.67285714285714"/>
    <n v="482.13"/>
    <n v="800"/>
    <n v="0"/>
  </r>
  <r>
    <s v="NpJvYzRnNdTaNZ0XOMOATOvYmey8M7ioaPe7Y"/>
    <s v="added"/>
    <n v="4.07"/>
    <s v="Travel, Car Service, Ride Share"/>
    <s v="2024-02-06, 7:00:00 p.m."/>
    <s v="CAD"/>
    <s v="Uber"/>
    <x v="229"/>
    <s v="online"/>
    <b v="0"/>
    <s v="pb4DZkp8zRTK7y0VqjqAT7D6dOa9NYh3YEpmP"/>
    <s v="WestJet RBC World Elite Mastercard"/>
    <s v="RBC Royal Bank"/>
    <s v="debit"/>
    <x v="19"/>
    <x v="143"/>
    <x v="22"/>
    <b v="1"/>
    <n v="12.969999999999999"/>
    <n v="12.969999999999999"/>
    <n v="12.969999999999999"/>
    <n v="0"/>
  </r>
  <r>
    <s v="NpJvYzRnNdTaNZ0XOMOATOvYmey8M7ioaPe7Y"/>
    <s v="added"/>
    <n v="4.5199999999999996"/>
    <s v="Food and Drink, Restaurants"/>
    <s v="2024-02-06, 7:00:00 p.m."/>
    <s v="CAD"/>
    <s v="New York Times"/>
    <x v="230"/>
    <s v="in store"/>
    <b v="0"/>
    <s v="Xp8jezanNyTBNo6ARXRZC15emqw3KxHdEAYKY"/>
    <s v="WestJet RBC World Elite Mastercard"/>
    <s v="RBC Royal Bank"/>
    <s v="debit"/>
    <x v="22"/>
    <x v="143"/>
    <x v="22"/>
    <b v="1"/>
    <n v="23.11333333333333"/>
    <n v="4.5199999999999996"/>
    <n v="23.11333333333333"/>
    <n v="0"/>
  </r>
  <r>
    <s v="eOMxkwaqNZH7Vznj6o6XTA4KJOvewbhnEVmgd"/>
    <s v="added"/>
    <n v="125.88"/>
    <s v="Service, Utilities, Electric"/>
    <s v="2024-02-08, 7:00:00 p.m."/>
    <s v="CAD"/>
    <s v="Hydro"/>
    <x v="152"/>
    <s v="online"/>
    <b v="0"/>
    <s v="nN46JypjzMu8QYa5zKzrIVjqMJ6z3LIBzR1JN"/>
    <s v="RBC Staff Banking"/>
    <s v="RBC Royal Bank"/>
    <s v="debit"/>
    <x v="8"/>
    <x v="144"/>
    <x v="22"/>
    <b v="1"/>
    <n v="139.88333333333333"/>
    <n v="125.88"/>
    <n v="139.88333333333333"/>
    <n v="0"/>
  </r>
  <r>
    <s v="NpJvYzRnNdTaNZ0XOMOATOvYmey8M7ioaPe7Y"/>
    <s v="added"/>
    <n v="37.409999999999997"/>
    <s v="Shops, Department Stores"/>
    <s v="2024-02-08, 7:00:00 p.m."/>
    <s v="CAD"/>
    <s v="El Palacio Hierro Pola Ciudad De"/>
    <x v="231"/>
    <s v="in store"/>
    <b v="0"/>
    <s v="EpbNezRmxVTmn9PBE8EDupkqO6mLyrIQxmONX"/>
    <s v="WestJet RBC World Elite Mastercard"/>
    <s v="RBC Royal Bank"/>
    <s v="debit"/>
    <x v="21"/>
    <x v="144"/>
    <x v="22"/>
    <b v="1"/>
    <n v="128.65625000000003"/>
    <n v="200.69"/>
    <n v="128.65625000000003"/>
    <n v="0"/>
  </r>
  <r>
    <s v="NpJvYzRnNdTaNZ0XOMOATOvYmey8M7ioaPe7Y"/>
    <s v="added"/>
    <n v="245.97"/>
    <s v="Food and Drink, Restaurants"/>
    <s v="2024-02-08, 7:00:00 p.m."/>
    <s v="CAD"/>
    <m/>
    <x v="232"/>
    <s v="in store"/>
    <b v="0"/>
    <s v="RXJjezRnNDSkNOaAe7ersEnVX69vo5hewxXg0"/>
    <s v="WestJet RBC World Elite Mastercard"/>
    <s v="RBC Royal Bank"/>
    <s v="debit"/>
    <x v="18"/>
    <x v="144"/>
    <x v="22"/>
    <b v="1"/>
    <n v="414.67285714285714"/>
    <n v="482.13"/>
    <n v="800"/>
    <n v="0"/>
  </r>
  <r>
    <s v="NpJvYzRnNdTaNZ0XOMOATOvYmey8M7ioaPe7Y"/>
    <s v="added"/>
    <n v="4.8600000000000003"/>
    <s v="Travel, Car Service, Ride Share"/>
    <s v="2024-02-08, 7:00:00 p.m."/>
    <s v="CAD"/>
    <s v="Uber"/>
    <x v="233"/>
    <s v="online"/>
    <b v="0"/>
    <s v="QpJ5ezRXNLTNEw45P1PjHB0VAQrj7MtO8YAP6"/>
    <s v="WestJet RBC World Elite Mastercard"/>
    <s v="RBC Royal Bank"/>
    <s v="debit"/>
    <x v="19"/>
    <x v="144"/>
    <x v="22"/>
    <b v="1"/>
    <n v="12.969999999999999"/>
    <n v="12.969999999999999"/>
    <n v="12.969999999999999"/>
    <n v="0"/>
  </r>
  <r>
    <s v="eOMxkwaqNZH7Vznj6o6XTA4KJOvewbhnEVmgd"/>
    <s v="added"/>
    <n v="206.89"/>
    <s v="Service, Utilities, Gas"/>
    <s v="2024-02-11, 7:00:00 p.m."/>
    <s v="CAD"/>
    <s v="Enbridge Gas"/>
    <x v="137"/>
    <s v="online"/>
    <b v="0"/>
    <s v="QpJ5ezRXNLTNEw45P1PjHB0VAQrj7MtO8YAeJ"/>
    <s v="RBC Staff Banking"/>
    <s v="RBC Royal Bank"/>
    <s v="debit"/>
    <x v="6"/>
    <x v="145"/>
    <x v="22"/>
    <b v="1"/>
    <n v="153.08333333333331"/>
    <n v="206.89"/>
    <n v="153.08333333333331"/>
    <n v="0"/>
  </r>
  <r>
    <s v="eOMxkwaqNZH7Vznj6o6XTA4KJOvewbhnEVmgd"/>
    <s v="added"/>
    <n v="-5523.72"/>
    <s v="Bank Fees, Foreign Transaction"/>
    <s v="2024-02-13, 7:00:00 p.m."/>
    <s v="CAD"/>
    <m/>
    <x v="234"/>
    <s v="other"/>
    <b v="0"/>
    <s v="MpJZezRn7XToeMmQ6r6kTn1Y9wDExAIXoZvq5"/>
    <s v="RBC Staff Banking"/>
    <s v="RBC Royal Bank"/>
    <s v="credit"/>
    <x v="2"/>
    <x v="146"/>
    <x v="22"/>
    <b v="1"/>
    <n v="-18125.097037037034"/>
    <n v="-21523.72"/>
    <n v="-18125.097037037034"/>
    <n v="0"/>
  </r>
  <r>
    <s v="eOMxkwaqNZH7Vznj6o6XTA4KJOvewbhnEVmgd"/>
    <s v="added"/>
    <n v="5000"/>
    <s v="Transfer, Debit"/>
    <s v="2024-02-13, 7:00:00 p.m."/>
    <s v="CAD"/>
    <m/>
    <x v="235"/>
    <s v="other"/>
    <b v="0"/>
    <s v="EpbNezRmxVTmn9PBE8EDupkqO6mLyrIQxmOvZ"/>
    <s v="RBC Staff Banking"/>
    <s v="RBC Royal Bank"/>
    <s v="debit"/>
    <x v="1"/>
    <x v="146"/>
    <x v="22"/>
    <b v="1"/>
    <n v="14532.989714285719"/>
    <n v="9828.4599999999991"/>
    <n v="14532.989714285719"/>
    <n v="0"/>
  </r>
  <r>
    <s v="eOMxkwaqNZH7Vznj6o6XTA4KJOvewbhnEVmgd"/>
    <s v="added"/>
    <n v="4464.1899999999996"/>
    <s v="Transfer, Debit"/>
    <s v="2024-02-13, 7:00:00 p.m."/>
    <s v="CAD"/>
    <m/>
    <x v="236"/>
    <s v="other"/>
    <b v="0"/>
    <s v="RXJjezRnNDSkNOaAe7ersEnVX69vo5hewxX5d"/>
    <s v="RBC Staff Banking"/>
    <s v="RBC Royal Bank"/>
    <s v="debit"/>
    <x v="0"/>
    <x v="146"/>
    <x v="22"/>
    <b v="1"/>
    <n v="12589.494482758622"/>
    <n v="14456.86"/>
    <n v="12589.494482758622"/>
    <n v="0"/>
  </r>
  <r>
    <s v="NpJvYzRnNdTaNZ0XOMOATOvYmey8M7ioaPe7Y"/>
    <s v="added"/>
    <n v="-4464.1899999999996"/>
    <s v="Transfer, Credit"/>
    <s v="2024-02-13, 7:00:00 p.m."/>
    <s v="CAD"/>
    <m/>
    <x v="237"/>
    <s v="other"/>
    <b v="0"/>
    <s v="OpOQezXnNwT19bjmMBMvsZyjQ75eoYCxydQ9v"/>
    <s v="WestJet RBC World Elite Mastercard"/>
    <s v="RBC Royal Bank"/>
    <s v="credit"/>
    <x v="1"/>
    <x v="146"/>
    <x v="22"/>
    <b v="1"/>
    <n v="14532.989714285719"/>
    <n v="9828.4599999999991"/>
    <n v="14532.989714285719"/>
    <n v="0"/>
  </r>
  <r>
    <s v="NpJvYzRnNdTaNZ0XOMOATOvYmey8M7ioaPe7Y"/>
    <s v="added"/>
    <n v="51.39"/>
    <s v="Shops, Digital Purchase"/>
    <s v="2024-02-13, 7:00:00 p.m."/>
    <s v="CAD"/>
    <s v="Amazon"/>
    <x v="227"/>
    <s v="online"/>
    <b v="0"/>
    <s v="MpJZezRn7XToeMmQ6r6kTn1Y9wDExAIXoZvwK"/>
    <s v="WestJet RBC World Elite Mastercard"/>
    <s v="RBC Royal Bank"/>
    <s v="debit"/>
    <x v="21"/>
    <x v="146"/>
    <x v="22"/>
    <b v="1"/>
    <n v="128.65625000000003"/>
    <n v="200.69"/>
    <n v="128.65625000000003"/>
    <n v="0"/>
  </r>
  <r>
    <s v="eOMxkwaqNZH7Vznj6o6XTA4KJOvewbhnEVmgd"/>
    <s v="added"/>
    <n v="438.93"/>
    <s v="Service, Insurance"/>
    <s v="2024-02-14, 7:00:00 p.m."/>
    <s v="CAD"/>
    <s v="Insurance Belair Ins Ass."/>
    <x v="156"/>
    <s v="online"/>
    <b v="0"/>
    <s v="9XAwVpqvB4SJ7qVOnyngi8Mg3XoQPjfg1evRg"/>
    <s v="RBC Staff Banking"/>
    <s v="RBC Royal Bank"/>
    <s v="debit"/>
    <x v="10"/>
    <x v="147"/>
    <x v="22"/>
    <b v="1"/>
    <n v="432.99599999999998"/>
    <n v="438.93"/>
    <n v="432.99599999999998"/>
    <n v="0"/>
  </r>
  <r>
    <s v="eOMxkwaqNZH7Vznj6o6XTA4KJOvewbhnEVmgd"/>
    <s v="added"/>
    <n v="65.7"/>
    <s v="Service, Insurance"/>
    <s v="2024-02-14, 7:00:00 p.m."/>
    <s v="CAD"/>
    <s v="Life Insurance Foresters"/>
    <x v="157"/>
    <s v="online"/>
    <b v="0"/>
    <s v="VpQOez8nNBT0NRm8n6nJCAg8mvOeq3T4V1P8n"/>
    <s v="RBC Staff Banking"/>
    <s v="RBC Royal Bank"/>
    <s v="debit"/>
    <x v="11"/>
    <x v="147"/>
    <x v="22"/>
    <b v="1"/>
    <n v="65.7"/>
    <n v="65.7"/>
    <n v="65.7"/>
    <n v="0"/>
  </r>
  <r>
    <s v="eOMxkwaqNZH7Vznj6o6XTA4KJOvewbhnEVmgd"/>
    <s v="added"/>
    <n v="56.05"/>
    <s v="Service, Insurance"/>
    <s v="2024-02-14, 7:00:00 p.m."/>
    <s v="CAD"/>
    <s v="Insurance Belair Ins Ass."/>
    <x v="156"/>
    <s v="online"/>
    <b v="0"/>
    <s v="OpOQezXnNwT19bjmMBMvsZyjQ75eoYCxydQDg"/>
    <s v="RBC Staff Banking"/>
    <s v="RBC Royal Bank"/>
    <s v="debit"/>
    <x v="12"/>
    <x v="147"/>
    <x v="22"/>
    <b v="1"/>
    <n v="57.905000000000001"/>
    <n v="56.05"/>
    <n v="57.905000000000001"/>
    <n v="0"/>
  </r>
  <r>
    <s v="eOMxkwaqNZH7Vznj6o6XTA4KJOvewbhnEVmgd"/>
    <s v="added"/>
    <n v="324.55"/>
    <s v="Service, Financial, Loans and Mortgages"/>
    <s v="2024-02-15, 7:00:00 p.m."/>
    <s v="CAD"/>
    <s v="Personal Loan Spl"/>
    <x v="147"/>
    <s v="online"/>
    <b v="0"/>
    <s v="7XKm7e1kPjSN8406PMPpHBoDkwnM6Zt0eVbRQ"/>
    <s v="RBC Staff Banking"/>
    <s v="RBC Royal Bank"/>
    <s v="debit"/>
    <x v="7"/>
    <x v="148"/>
    <x v="22"/>
    <b v="1"/>
    <n v="624.12818181818193"/>
    <n v="973.65000000000009"/>
    <n v="624.12818181818193"/>
    <n v="0"/>
  </r>
  <r>
    <s v="prmkQjxRzEikMOjvZwjyuky9emyqeau3VyE5V"/>
    <s v="added"/>
    <n v="11.95"/>
    <s v="Bank Fees"/>
    <s v="2024-02-16, 7:00:00 p.m."/>
    <s v="CAD"/>
    <m/>
    <x v="238"/>
    <s v="other"/>
    <b v="0"/>
    <s v="wLqaPOR6zeixMYpeDBpjuvjp914zepFKDRd83"/>
    <s v="Preferred Package"/>
    <s v="Scotiabank"/>
    <s v="debit"/>
    <x v="13"/>
    <x v="149"/>
    <x v="22"/>
    <b v="1"/>
    <n v="2.5077777777777777"/>
    <n v="0.58000000000000007"/>
    <n v="2.5077777777777777"/>
    <n v="0"/>
  </r>
  <r>
    <s v="NpJvYzRnNdTaNZ0XOMOATOvYmey8M7ioaPe7Y"/>
    <s v="added"/>
    <n v="1.52"/>
    <s v="Food and Drink, Restaurants, Fast Food"/>
    <s v="2024-02-16, 7:00:00 p.m."/>
    <s v="CAD"/>
    <s v="McDonald's"/>
    <x v="239"/>
    <s v="in store"/>
    <b v="0"/>
    <s v="VpQOez8nNBT0NRm8n6nJCAg8mvOeq3T4V1PKg"/>
    <s v="WestJet RBC World Elite Mastercard"/>
    <s v="RBC Royal Bank"/>
    <s v="debit"/>
    <x v="18"/>
    <x v="149"/>
    <x v="22"/>
    <b v="1"/>
    <n v="414.67285714285714"/>
    <n v="482.13"/>
    <n v="800"/>
    <n v="0"/>
  </r>
  <r>
    <s v="NpJvYzRnNdTaNZ0XOMOATOvYmey8M7ioaPe7Y"/>
    <s v="added"/>
    <n v="3.7"/>
    <s v="Travel, Public Transportation Services"/>
    <s v="2024-02-17, 7:00:00 p.m."/>
    <s v="CAD"/>
    <s v="Presto Fare"/>
    <x v="240"/>
    <s v="in store"/>
    <b v="0"/>
    <s v="7XKm7e1kPjSN8406PMPpHBoDkwnM6Zt0eVbAe"/>
    <s v="WestJet RBC World Elite Mastercard"/>
    <s v="RBC Royal Bank"/>
    <s v="debit"/>
    <x v="23"/>
    <x v="150"/>
    <x v="22"/>
    <b v="1"/>
    <n v="11.100000000000001"/>
    <n v="14.8"/>
    <n v="11.100000000000001"/>
    <n v="0"/>
  </r>
  <r>
    <s v="NpJvYzRnNdTaNZ0XOMOATOvYmey8M7ioaPe7Y"/>
    <s v="added"/>
    <n v="16.39"/>
    <s v="Shops, Gift and Novelty"/>
    <s v="2024-02-17, 7:00:00 p.m."/>
    <s v="CAD"/>
    <m/>
    <x v="241"/>
    <s v="in store"/>
    <b v="0"/>
    <s v="9XAwVpqvB4SJ7qVOnyngi8Mg3XoQPjfg1evoB"/>
    <s v="WestJet RBC World Elite Mastercard"/>
    <s v="RBC Royal Bank"/>
    <s v="debit"/>
    <x v="24"/>
    <x v="150"/>
    <x v="22"/>
    <b v="1"/>
    <n v="16.39"/>
    <n v="16.39"/>
    <n v="16.39"/>
    <n v="0"/>
  </r>
  <r>
    <s v="eOMxkwaqNZH7Vznj6o6XTA4KJOvewbhnEVmgd"/>
    <s v="added"/>
    <n v="0.57999999999999996"/>
    <s v="Bank Fees, Overdraft"/>
    <s v="2024-02-18, 7:00:00 p.m."/>
    <s v="CAD"/>
    <m/>
    <x v="160"/>
    <s v="other"/>
    <b v="0"/>
    <s v="gO8zvLa3NoHaQ0YpjAjgTz6wOrNX97U8JerOX"/>
    <s v="RBC Staff Banking"/>
    <s v="RBC Royal Bank"/>
    <s v="debit"/>
    <x v="13"/>
    <x v="151"/>
    <x v="22"/>
    <b v="1"/>
    <n v="2.5077777777777777"/>
    <n v="0.58000000000000007"/>
    <n v="2.5077777777777777"/>
    <n v="0"/>
  </r>
  <r>
    <s v="NpJvYzRnNdTaNZ0XOMOATOvYmey8M7ioaPe7Y"/>
    <s v="added"/>
    <n v="5.64"/>
    <s v="Food and Drink, Restaurants"/>
    <s v="2024-02-19, 7:00:00 p.m."/>
    <s v="CAD"/>
    <s v="Tim Hortons"/>
    <x v="242"/>
    <s v="in store"/>
    <b v="0"/>
    <s v="bp893zMDNxT90nm7Q5QEskAbRZX0jzCJnEkOp"/>
    <s v="WestJet RBC World Elite Mastercard"/>
    <s v="RBC Royal Bank"/>
    <s v="debit"/>
    <x v="18"/>
    <x v="152"/>
    <x v="22"/>
    <b v="1"/>
    <n v="414.67285714285714"/>
    <n v="482.13"/>
    <n v="800"/>
    <n v="0"/>
  </r>
  <r>
    <s v="NpJvYzRnNdTaNZ0XOMOATOvYmey8M7ioaPe7Y"/>
    <s v="added"/>
    <n v="3.7"/>
    <s v="Travel, Public Transportation Services"/>
    <s v="2024-02-19, 7:00:00 p.m."/>
    <s v="CAD"/>
    <s v="Presto Fare"/>
    <x v="243"/>
    <s v="in store"/>
    <b v="0"/>
    <s v="gO8zvLa3NoHaQ0YpjAjgTz6wOrNX97U8Jermo"/>
    <s v="WestJet RBC World Elite Mastercard"/>
    <s v="RBC Royal Bank"/>
    <s v="debit"/>
    <x v="23"/>
    <x v="152"/>
    <x v="22"/>
    <b v="1"/>
    <n v="11.100000000000001"/>
    <n v="14.8"/>
    <n v="11.100000000000001"/>
    <n v="0"/>
  </r>
  <r>
    <s v="prmkQjxRzEikMOjvZwjyuky9emyqeau3VyE5V"/>
    <s v="added"/>
    <n v="-11.95"/>
    <s v="Bank Fees"/>
    <s v="2024-02-20, 7:00:00 p.m."/>
    <s v="CAD"/>
    <m/>
    <x v="244"/>
    <s v="other"/>
    <b v="0"/>
    <s v="d1ydZVL8NJC5KXp64EpOudXBeKYmrBCK4o0vL"/>
    <s v="Preferred Package"/>
    <s v="Scotiabank"/>
    <s v="credit"/>
    <x v="13"/>
    <x v="153"/>
    <x v="22"/>
    <b v="1"/>
    <n v="2.5077777777777777"/>
    <n v="0.58000000000000007"/>
    <n v="2.5077777777777777"/>
    <n v="0"/>
  </r>
  <r>
    <s v="NpJvYzRnNdTaNZ0XOMOATOvYmey8M7ioaPe7Y"/>
    <s v="added"/>
    <n v="3.7"/>
    <s v="Travel, Public Transportation Services"/>
    <s v="2024-02-20, 7:00:00 p.m."/>
    <s v="CAD"/>
    <s v="Presto Fare"/>
    <x v="245"/>
    <s v="in store"/>
    <b v="0"/>
    <s v="oN4L8KpOzEuYrb1g4k4vTxr91PjR3pU4wmRLj"/>
    <s v="WestJet RBC World Elite Mastercard"/>
    <s v="RBC Royal Bank"/>
    <s v="debit"/>
    <x v="23"/>
    <x v="153"/>
    <x v="22"/>
    <b v="1"/>
    <n v="11.100000000000001"/>
    <n v="14.8"/>
    <n v="11.100000000000001"/>
    <n v="0"/>
  </r>
  <r>
    <s v="eOMxkwaqNZH7Vznj6o6XTA4KJOvewbhnEVmgd"/>
    <s v="added"/>
    <n v="210"/>
    <s v="Transfer, Debit"/>
    <s v="2024-02-21, 7:00:00 p.m."/>
    <s v="CAD"/>
    <m/>
    <x v="246"/>
    <s v="other"/>
    <b v="0"/>
    <s v="5X3rbpLyDvSjXnV1EPEZi9zQ3D1jgwcwvjrR3"/>
    <s v="RBC Staff Banking"/>
    <s v="RBC Royal Bank"/>
    <s v="debit"/>
    <x v="1"/>
    <x v="154"/>
    <x v="22"/>
    <b v="1"/>
    <n v="14532.989714285719"/>
    <n v="9828.4599999999991"/>
    <n v="14532.989714285719"/>
    <n v="0"/>
  </r>
  <r>
    <s v="eOMxkwaqNZH7Vznj6o6XTA4KJOvewbhnEVmgd"/>
    <s v="added"/>
    <n v="-1000"/>
    <s v="Transfer, Credit"/>
    <s v="2024-02-21, 7:00:00 p.m."/>
    <s v="CAD"/>
    <m/>
    <x v="247"/>
    <s v="other"/>
    <b v="0"/>
    <s v="oN4L8KpOzEuYrb1g4k4vTxr91PjR3pU4wmRMn"/>
    <s v="RBC Staff Banking"/>
    <s v="RBC Royal Bank"/>
    <s v="credit"/>
    <x v="2"/>
    <x v="154"/>
    <x v="22"/>
    <b v="1"/>
    <n v="-18125.097037037034"/>
    <n v="-21523.72"/>
    <n v="-18125.097037037034"/>
    <n v="0"/>
  </r>
  <r>
    <s v="eOMxkwaqNZH7Vznj6o6XTA4KJOvewbhnEVmgd"/>
    <s v="added"/>
    <n v="-105.02"/>
    <s v="Transfer, Payroll"/>
    <s v="2024-02-21, 7:00:00 p.m."/>
    <s v="CAD"/>
    <m/>
    <x v="149"/>
    <s v="other"/>
    <b v="0"/>
    <s v="bp893zMDNxT90nm7Q5QEskAbRZX0jzCJnEkLA"/>
    <s v="RBC Staff Banking"/>
    <s v="RBC Royal Bank"/>
    <s v="credit"/>
    <x v="1"/>
    <x v="154"/>
    <x v="22"/>
    <b v="1"/>
    <n v="14532.989714285719"/>
    <n v="9828.4599999999991"/>
    <n v="14532.989714285719"/>
    <n v="0"/>
  </r>
  <r>
    <s v="prmkQjxRzEikMOjvZwjyuky9emyqeau3VyE5V"/>
    <s v="added"/>
    <n v="4804.21"/>
    <s v="Transfer, Debit"/>
    <s v="2024-02-22, 7:00:00 p.m."/>
    <s v="CAD"/>
    <m/>
    <x v="248"/>
    <s v="other"/>
    <b v="0"/>
    <s v="zPR83pa1z6TNMeP5AKPRFbRzExBq5zHv5MA8B"/>
    <s v="Preferred Package"/>
    <s v="Scotiabank"/>
    <s v="debit"/>
    <x v="0"/>
    <x v="155"/>
    <x v="22"/>
    <b v="1"/>
    <n v="12589.494482758622"/>
    <n v="14456.86"/>
    <n v="12589.494482758622"/>
    <n v="0"/>
  </r>
  <r>
    <s v="prmkQjxRzEikMOjvZwjyuky9emyqeau3VyE5V"/>
    <s v="added"/>
    <n v="-4804.21"/>
    <s v="Transfer, Deposit"/>
    <s v="2024-02-22, 7:00:00 p.m."/>
    <s v="CAD"/>
    <m/>
    <x v="249"/>
    <s v="other"/>
    <b v="0"/>
    <s v="mvj3MnkOzVSYOXRKb5RxuyN6Koveb6iBZ8r6N"/>
    <s v="Preferred Package"/>
    <s v="Scotiabank"/>
    <s v="credit"/>
    <x v="16"/>
    <x v="155"/>
    <x v="22"/>
    <b v="1"/>
    <n v="-12680.457777777781"/>
    <n v="-9787.67"/>
    <n v="-12680.457777777781"/>
    <n v="0"/>
  </r>
  <r>
    <s v="eOMxkwaqNZH7Vznj6o6XTA4KJOvewbhnEVmgd"/>
    <s v="added"/>
    <n v="-5000"/>
    <s v="Transfer, Credit"/>
    <s v="2024-02-22, 7:00:00 p.m."/>
    <s v="CAD"/>
    <m/>
    <x v="250"/>
    <s v="other"/>
    <b v="0"/>
    <s v="JpJrezRvoQTpmz9wbZb3IX5DmZejR0HmyJK5Z"/>
    <s v="RBC Staff Banking"/>
    <s v="RBC Royal Bank"/>
    <s v="credit"/>
    <x v="2"/>
    <x v="155"/>
    <x v="22"/>
    <b v="1"/>
    <n v="-18125.097037037034"/>
    <n v="-21523.72"/>
    <n v="-18125.097037037034"/>
    <n v="0"/>
  </r>
  <r>
    <s v="eOMxkwaqNZH7Vznj6o6XTA4KJOvewbhnEVmgd"/>
    <s v="added"/>
    <n v="205"/>
    <s v="Transfer, Debit"/>
    <s v="2024-02-22, 7:00:00 p.m."/>
    <s v="CAD"/>
    <m/>
    <x v="251"/>
    <s v="other"/>
    <b v="0"/>
    <s v="8ekd9pPAqrtQrAjep3pmc6b3P1gLRmIxDbozN"/>
    <s v="RBC Staff Banking"/>
    <s v="RBC Royal Bank"/>
    <s v="debit"/>
    <x v="0"/>
    <x v="155"/>
    <x v="22"/>
    <b v="1"/>
    <n v="12589.494482758622"/>
    <n v="14456.86"/>
    <n v="12589.494482758622"/>
    <n v="0"/>
  </r>
  <r>
    <s v="eOMxkwaqNZH7Vznj6o6XTA4KJOvewbhnEVmgd"/>
    <s v="added"/>
    <n v="4804.21"/>
    <s v="Transfer, Debit"/>
    <s v="2024-02-22, 7:00:00 p.m."/>
    <s v="CAD"/>
    <m/>
    <x v="252"/>
    <s v="other"/>
    <b v="0"/>
    <s v="ZORJwzanNkHyVPDOemeocB6pX7EqzMtbmYeEe"/>
    <s v="RBC Staff Banking"/>
    <s v="RBC Royal Bank"/>
    <s v="debit"/>
    <x v="1"/>
    <x v="155"/>
    <x v="22"/>
    <b v="1"/>
    <n v="14532.989714285719"/>
    <n v="9828.4599999999991"/>
    <n v="14532.989714285719"/>
    <n v="0"/>
  </r>
  <r>
    <s v="NpJvYzRnNdTaNZ0XOMOATOvYmey8M7ioaPe7Y"/>
    <s v="added"/>
    <n v="289.08999999999997"/>
    <s v="Service"/>
    <s v="2024-02-23, 7:00:00 p.m."/>
    <s v="CAD"/>
    <s v="A2 Hosting"/>
    <x v="253"/>
    <s v="online"/>
    <b v="0"/>
    <s v="ZORJwzanNkHyVPDOemeocB6pX7EqzMtbmYerZ"/>
    <s v="WestJet RBC World Elite Mastercard"/>
    <s v="RBC Royal Bank"/>
    <s v="debit"/>
    <x v="25"/>
    <x v="156"/>
    <x v="22"/>
    <b v="1"/>
    <n v="6.21"/>
    <n v="0"/>
    <n v="6.21"/>
    <n v="0"/>
  </r>
  <r>
    <s v="NpJvYzRnNdTaNZ0XOMOATOvYmey8M7ioaPe7Y"/>
    <s v="added"/>
    <n v="30.57"/>
    <s v="Shops, Digital Purchase"/>
    <s v="2024-02-23, 7:00:00 p.m."/>
    <s v="CAD"/>
    <s v="Amazon"/>
    <x v="227"/>
    <s v="online"/>
    <b v="0"/>
    <s v="5X3rbpLyDvSjXnV1EPEZi9zQ3D1jgwcwvjrQX"/>
    <s v="WestJet RBC World Elite Mastercard"/>
    <s v="RBC Royal Bank"/>
    <s v="debit"/>
    <x v="21"/>
    <x v="156"/>
    <x v="22"/>
    <b v="1"/>
    <n v="128.65625000000003"/>
    <n v="200.69"/>
    <n v="128.65625000000003"/>
    <n v="0"/>
  </r>
  <r>
    <s v="NpJvYzRnNdTaNZ0XOMOATOvYmey8M7ioaPe7Y"/>
    <s v="added"/>
    <n v="22.59"/>
    <s v="Shops, Digital Purchase"/>
    <s v="2024-02-24, 7:00:00 p.m."/>
    <s v="CAD"/>
    <s v="Amazon"/>
    <x v="227"/>
    <s v="online"/>
    <b v="0"/>
    <s v="JpJrezRvoQTpmz9wbZb3IX5DmZejR0HmyJKxz"/>
    <s v="WestJet RBC World Elite Mastercard"/>
    <s v="RBC Royal Bank"/>
    <s v="debit"/>
    <x v="21"/>
    <x v="157"/>
    <x v="22"/>
    <b v="1"/>
    <n v="128.65625000000003"/>
    <n v="200.69"/>
    <n v="128.65625000000003"/>
    <n v="0"/>
  </r>
  <r>
    <s v="NpJvYzRnNdTaNZ0XOMOATOvYmey8M7ioaPe7Y"/>
    <s v="added"/>
    <n v="45.19"/>
    <s v="Shops, Digital Purchase"/>
    <s v="2024-02-24, 7:00:00 p.m."/>
    <s v="CAD"/>
    <s v="Amazon"/>
    <x v="227"/>
    <s v="online"/>
    <b v="0"/>
    <s v="8ekd9pPAqrtQrAjep3pmc6b3P1gLRmIxDboAw"/>
    <s v="WestJet RBC World Elite Mastercard"/>
    <s v="RBC Royal Bank"/>
    <s v="debit"/>
    <x v="21"/>
    <x v="157"/>
    <x v="22"/>
    <b v="1"/>
    <n v="128.65625000000003"/>
    <n v="200.69"/>
    <n v="128.65625000000003"/>
    <n v="0"/>
  </r>
  <r>
    <s v="prmkQjxRzEikMOjvZwjyuky9emyqeau3VyE5V"/>
    <s v="added"/>
    <n v="4983.46"/>
    <s v="Transfer, Debit"/>
    <s v="2024-02-25, 7:00:00 p.m."/>
    <s v="CAD"/>
    <m/>
    <x v="248"/>
    <s v="other"/>
    <b v="0"/>
    <s v="ePyw5mDZN8T0k4oLrRozuXmKLnBpaKtnN4xzk"/>
    <s v="Preferred Package"/>
    <s v="Scotiabank"/>
    <s v="debit"/>
    <x v="0"/>
    <x v="158"/>
    <x v="22"/>
    <b v="1"/>
    <n v="12589.494482758622"/>
    <n v="14456.86"/>
    <n v="12589.494482758622"/>
    <n v="0"/>
  </r>
  <r>
    <s v="prmkQjxRzEikMOjvZwjyuky9emyqeau3VyE5V"/>
    <s v="added"/>
    <n v="-4983.46"/>
    <s v="Transfer, Deposit"/>
    <s v="2024-02-25, 7:00:00 p.m."/>
    <s v="CAD"/>
    <m/>
    <x v="249"/>
    <s v="other"/>
    <b v="0"/>
    <s v="YgMzkRXKNyc1OBpaEDpRsQ7nvJmy4niJEze5n"/>
    <s v="Preferred Package"/>
    <s v="Scotiabank"/>
    <s v="credit"/>
    <x v="16"/>
    <x v="158"/>
    <x v="22"/>
    <b v="1"/>
    <n v="-12680.457777777781"/>
    <n v="-9787.67"/>
    <n v="-12680.457777777781"/>
    <n v="0"/>
  </r>
  <r>
    <s v="eOMxkwaqNZH7Vznj6o6XTA4KJOvewbhnEVmgd"/>
    <s v="added"/>
    <n v="-5000"/>
    <s v="Transfer, Credit"/>
    <s v="2024-02-25, 7:00:00 p.m."/>
    <s v="CAD"/>
    <m/>
    <x v="254"/>
    <s v="other"/>
    <b v="0"/>
    <s v="6XyrgpDK10SB8yvazqz5CNobV3VyQvtwxBYvB"/>
    <s v="RBC Staff Banking"/>
    <s v="RBC Royal Bank"/>
    <s v="credit"/>
    <x v="2"/>
    <x v="158"/>
    <x v="22"/>
    <b v="1"/>
    <n v="-18125.097037037034"/>
    <n v="-21523.72"/>
    <n v="-18125.097037037034"/>
    <n v="0"/>
  </r>
  <r>
    <s v="eOMxkwaqNZH7Vznj6o6XTA4KJOvewbhnEVmgd"/>
    <s v="added"/>
    <n v="16.54"/>
    <s v="Food and Drink, Restaurants"/>
    <s v="2024-02-25, 7:00:00 p.m."/>
    <s v="CAD"/>
    <s v="Tim Hortons"/>
    <x v="242"/>
    <s v="in store"/>
    <b v="0"/>
    <s v="LNJEezRjgpuv83A7wmwKTZaJoAoQ4PHZe68Ak"/>
    <s v="RBC Staff Banking"/>
    <s v="RBC Royal Bank"/>
    <s v="debit"/>
    <x v="18"/>
    <x v="158"/>
    <x v="22"/>
    <b v="1"/>
    <n v="414.67285714285714"/>
    <n v="482.13"/>
    <n v="800"/>
    <n v="0"/>
  </r>
  <r>
    <s v="eOMxkwaqNZH7Vznj6o6XTA4KJOvewbhnEVmgd"/>
    <s v="added"/>
    <n v="4983.46"/>
    <s v="Transfer, Debit"/>
    <s v="2024-02-25, 7:00:00 p.m."/>
    <s v="CAD"/>
    <m/>
    <x v="255"/>
    <s v="other"/>
    <b v="0"/>
    <s v="DpYkezRBa9T69a1DqJqLC0n9LxLA1KIwD7gne"/>
    <s v="RBC Staff Banking"/>
    <s v="RBC Royal Bank"/>
    <s v="debit"/>
    <x v="1"/>
    <x v="158"/>
    <x v="22"/>
    <b v="1"/>
    <n v="14532.989714285719"/>
    <n v="9828.4599999999991"/>
    <n v="14532.989714285719"/>
    <n v="0"/>
  </r>
  <r>
    <s v="NpJvYzRnNdTaNZ0XOMOATOvYmey8M7ioaPe7Y"/>
    <s v="added"/>
    <n v="-289.08999999999997"/>
    <s v="Service"/>
    <s v="2024-02-25, 7:00:00 p.m."/>
    <s v="CAD"/>
    <m/>
    <x v="253"/>
    <s v="other"/>
    <b v="0"/>
    <s v="AXN3ez01jbS3APoek4kdu09kv8v5RLIMq1jxb"/>
    <s v="WestJet RBC World Elite Mastercard"/>
    <s v="RBC Royal Bank"/>
    <s v="credit"/>
    <x v="25"/>
    <x v="158"/>
    <x v="22"/>
    <b v="1"/>
    <n v="6.21"/>
    <n v="0"/>
    <n v="6.21"/>
    <n v="0"/>
  </r>
  <r>
    <s v="NpJvYzRnNdTaNZ0XOMOATOvYmey8M7ioaPe7Y"/>
    <s v="added"/>
    <n v="3.7"/>
    <s v="Travel, Public Transportation Services"/>
    <s v="2024-02-27, 7:00:00 p.m."/>
    <s v="CAD"/>
    <s v="Presto Fare"/>
    <x v="256"/>
    <s v="in store"/>
    <b v="0"/>
    <s v="kObx4qpAm9HOVm5g9D90iNb9AoAEkgto7VEZv"/>
    <s v="WestJet RBC World Elite Mastercard"/>
    <s v="RBC Royal Bank"/>
    <s v="debit"/>
    <x v="23"/>
    <x v="159"/>
    <x v="22"/>
    <b v="1"/>
    <n v="11.100000000000001"/>
    <n v="14.8"/>
    <n v="11.100000000000001"/>
    <n v="0"/>
  </r>
  <r>
    <s v="eOMxkwaqNZH7Vznj6o6XTA4KJOvewbhnEVmgd"/>
    <s v="added"/>
    <n v="-904"/>
    <s v="Transfer, Credit"/>
    <s v="2024-02-29, 7:00:00 p.m."/>
    <s v="CAD"/>
    <m/>
    <x v="257"/>
    <s v="other"/>
    <b v="0"/>
    <s v="eOMxkwaqNZH7Vznj6o6XTA4qVwV39vInEqaQO"/>
    <s v="RBC Staff Banking"/>
    <s v="RBC Royal Bank"/>
    <s v="credit"/>
    <x v="5"/>
    <x v="160"/>
    <x v="22"/>
    <b v="1"/>
    <n v="-3209.0714285714284"/>
    <n v="-2736"/>
    <n v="-3209.0714285714284"/>
    <n v="0"/>
  </r>
  <r>
    <s v="eOMxkwaqNZH7Vznj6o6XTA4KJOvewbhnEVmgd"/>
    <s v="added"/>
    <n v="3690"/>
    <s v="Transfer, Debit"/>
    <s v="2024-02-29, 7:00:00 p.m."/>
    <s v="CAD"/>
    <m/>
    <x v="258"/>
    <s v="other"/>
    <b v="0"/>
    <s v="Yepjdz7nNKt6JRzgrpr5C8LDkEkXbVfJB891X"/>
    <s v="RBC Staff Banking"/>
    <s v="RBC Royal Bank"/>
    <s v="debit"/>
    <x v="14"/>
    <x v="160"/>
    <x v="22"/>
    <b v="1"/>
    <n v="5076"/>
    <n v="3690"/>
    <n v="5076"/>
    <n v="0"/>
  </r>
  <r>
    <s v="eOMxkwaqNZH7Vznj6o6XTA4KJOvewbhnEVmgd"/>
    <s v="added"/>
    <n v="-600"/>
    <s v="Transfer, Credit"/>
    <s v="2024-02-29, 7:00:00 p.m."/>
    <s v="CAD"/>
    <m/>
    <x v="259"/>
    <s v="other"/>
    <b v="0"/>
    <s v="zbLXY8dVz1Tm4RXq9P9buZMX303yeDHv9XKNb"/>
    <s v="RBC Staff Banking"/>
    <s v="RBC Royal Bank"/>
    <s v="credit"/>
    <x v="1"/>
    <x v="160"/>
    <x v="22"/>
    <b v="1"/>
    <n v="14532.989714285719"/>
    <n v="9828.4599999999991"/>
    <n v="14532.989714285719"/>
    <n v="0"/>
  </r>
  <r>
    <s v="eOMxkwaqNZH7Vznj6o6XTA4KJOvewbhnEVmgd"/>
    <s v="added"/>
    <n v="-5000"/>
    <s v="Transfer, Credit"/>
    <s v="2024-02-29, 7:00:00 p.m."/>
    <s v="CAD"/>
    <m/>
    <x v="260"/>
    <s v="other"/>
    <b v="0"/>
    <s v="mN4wx3p0zOuZMxmrzRzyCq8ERDR45rcBxwNq7"/>
    <s v="RBC Staff Banking"/>
    <s v="RBC Royal Bank"/>
    <s v="credit"/>
    <x v="2"/>
    <x v="160"/>
    <x v="22"/>
    <b v="1"/>
    <n v="-18125.097037037034"/>
    <n v="-21523.72"/>
    <n v="-18125.097037037034"/>
    <n v="0"/>
  </r>
  <r>
    <s v="eOMxkwaqNZH7Vznj6o6XTA4KJOvewbhnEVmgd"/>
    <s v="added"/>
    <n v="324.55"/>
    <s v="Service, Financial, Loans and Mortgages"/>
    <s v="2024-02-29, 7:00:00 p.m."/>
    <s v="CAD"/>
    <s v="Personal Loan Spl"/>
    <x v="147"/>
    <s v="online"/>
    <b v="0"/>
    <s v="dO9xKdaPN8H9zOvYwpwosEkap6pnqPTKemDEv"/>
    <s v="RBC Staff Banking"/>
    <s v="RBC Royal Bank"/>
    <s v="debit"/>
    <x v="7"/>
    <x v="160"/>
    <x v="22"/>
    <b v="1"/>
    <n v="624.12818181818193"/>
    <n v="973.65000000000009"/>
    <n v="624.12818181818193"/>
    <n v="0"/>
  </r>
  <r>
    <s v="eOMxkwaqNZH7Vznj6o6XTA4KJOvewbhnEVmgd"/>
    <s v="added"/>
    <n v="-1832"/>
    <s v="Transfer, Credit"/>
    <s v="2024-02-29, 7:00:00 p.m."/>
    <s v="CAD"/>
    <m/>
    <x v="261"/>
    <s v="other"/>
    <b v="0"/>
    <s v="wbdKVap8z6T7VjE84p4vT0RgqEqkxyIKYnr9p"/>
    <s v="RBC Staff Banking"/>
    <s v="RBC Royal Bank"/>
    <s v="credit"/>
    <x v="5"/>
    <x v="160"/>
    <x v="22"/>
    <b v="1"/>
    <n v="-3209.0714285714284"/>
    <n v="-2736"/>
    <n v="-3209.0714285714284"/>
    <n v="0"/>
  </r>
  <r>
    <s v="NpJvYzRnNdTaNZ0XOMOATOvYmey8M7ioaPe7Y"/>
    <s v="added"/>
    <n v="27.89"/>
    <s v="Service"/>
    <s v="2024-03-01, 7:00:00 p.m."/>
    <s v="CAD"/>
    <s v="OpenAI"/>
    <x v="262"/>
    <s v="online"/>
    <b v="0"/>
    <s v="KYmvezN0bnso8Rk5dDdyTx4bjwjvQXHERxNKy"/>
    <s v="WestJet RBC World Elite Mastercard"/>
    <s v="RBC Royal Bank"/>
    <s v="debit"/>
    <x v="22"/>
    <x v="161"/>
    <x v="23"/>
    <b v="1"/>
    <n v="23.11333333333333"/>
    <n v="32.409999999999997"/>
    <n v="23.11333333333333"/>
    <n v="0"/>
  </r>
  <r>
    <s v="eOMxkwaqNZH7Vznj6o6XTA4KJOvewbhnEVmgd"/>
    <s v="added"/>
    <n v="4417.45"/>
    <s v="Transfer, Debit"/>
    <s v="2024-03-03, 7:00:00 p.m."/>
    <s v="CAD"/>
    <m/>
    <x v="263"/>
    <s v="other"/>
    <b v="0"/>
    <s v="Xp8jezanNyTBNo6ARXRZC15L3R3pneidm16qE"/>
    <s v="RBC Staff Banking"/>
    <s v="RBC Royal Bank"/>
    <s v="debit"/>
    <x v="1"/>
    <x v="162"/>
    <x v="23"/>
    <b v="1"/>
    <n v="14532.989714285719"/>
    <n v="25434.52"/>
    <n v="14532.989714285719"/>
    <n v="0"/>
  </r>
  <r>
    <s v="eOMxkwaqNZH7Vznj6o6XTA4KJOvewbhnEVmgd"/>
    <s v="added"/>
    <n v="-96"/>
    <s v="Transfer, Credit"/>
    <s v="2024-03-03, 7:00:00 p.m."/>
    <s v="CAD"/>
    <m/>
    <x v="264"/>
    <s v="other"/>
    <b v="0"/>
    <s v="NpJvYzRnNdTaNZ0XOMOATOvVAMAzaycoaM3vk"/>
    <s v="RBC Staff Banking"/>
    <s v="RBC Royal Bank"/>
    <s v="credit"/>
    <x v="5"/>
    <x v="162"/>
    <x v="23"/>
    <b v="1"/>
    <n v="-3209.0714285714284"/>
    <n v="-3266"/>
    <n v="-3209.0714285714284"/>
    <n v="0"/>
  </r>
  <r>
    <s v="eOMxkwaqNZH7Vznj6o6XTA4KJOvewbhnEVmgd"/>
    <s v="added"/>
    <n v="15.97"/>
    <s v="Transfer, Billpay"/>
    <s v="2024-03-04, 7:00:00 p.m."/>
    <s v="CAD"/>
    <m/>
    <x v="155"/>
    <s v="other"/>
    <b v="0"/>
    <s v="pb4DZkp8zRTK7y0VqjqAT7DL9R9g16T3kMazq"/>
    <s v="RBC Staff Banking"/>
    <s v="RBC Royal Bank"/>
    <s v="debit"/>
    <x v="1"/>
    <x v="163"/>
    <x v="23"/>
    <b v="1"/>
    <n v="14532.989714285719"/>
    <n v="25434.52"/>
    <n v="14532.989714285719"/>
    <n v="0"/>
  </r>
  <r>
    <s v="NpJvYzRnNdTaNZ0XOMOATOvYmey8M7ioaPe7Y"/>
    <s v="added"/>
    <n v="4.5199999999999996"/>
    <s v="Food and Drink, Restaurants"/>
    <s v="2024-03-05, 7:00:00 p.m."/>
    <s v="CAD"/>
    <s v="New York Times"/>
    <x v="230"/>
    <s v="in store"/>
    <b v="0"/>
    <s v="yb6XYJp8zDT3z0Oj6P61uARdZPZBQ9IpNjaPp"/>
    <s v="WestJet RBC World Elite Mastercard"/>
    <s v="RBC Royal Bank"/>
    <s v="debit"/>
    <x v="22"/>
    <x v="164"/>
    <x v="23"/>
    <b v="1"/>
    <n v="23.11333333333333"/>
    <n v="32.409999999999997"/>
    <n v="23.11333333333333"/>
    <n v="0"/>
  </r>
  <r>
    <s v="eOMxkwaqNZH7Vznj6o6XTA4KJOvewbhnEVmgd"/>
    <s v="added"/>
    <n v="-1063"/>
    <s v="Transfer, Credit"/>
    <s v="2024-03-06, 7:00:00 p.m."/>
    <s v="CAD"/>
    <m/>
    <x v="265"/>
    <s v="other"/>
    <b v="0"/>
    <s v="QpJ5ezRXNLTNEw45P1PjHB06jNjyxVFOmBJ0m"/>
    <s v="RBC Staff Banking"/>
    <s v="RBC Royal Bank"/>
    <s v="credit"/>
    <x v="2"/>
    <x v="165"/>
    <x v="23"/>
    <b v="1"/>
    <n v="-18125.097037037034"/>
    <n v="-22459.99"/>
    <n v="-18125.097037037034"/>
    <n v="0"/>
  </r>
  <r>
    <s v="eOMxkwaqNZH7Vznj6o6XTA4KJOvewbhnEVmgd"/>
    <s v="added"/>
    <n v="1047.03"/>
    <s v="Transfer, Debit"/>
    <s v="2024-03-06, 7:00:00 p.m."/>
    <s v="CAD"/>
    <m/>
    <x v="266"/>
    <s v="other"/>
    <b v="0"/>
    <s v="nN46JypjzMu8QYa5zKzrIVjazgznKqtBeP7Lr"/>
    <s v="RBC Staff Banking"/>
    <s v="RBC Royal Bank"/>
    <s v="debit"/>
    <x v="1"/>
    <x v="165"/>
    <x v="23"/>
    <b v="1"/>
    <n v="14532.989714285719"/>
    <n v="25434.52"/>
    <n v="14532.989714285719"/>
    <n v="0"/>
  </r>
  <r>
    <s v="prmkQjxRzEikMOjvZwjyuky9emyqeau3VyE5V"/>
    <s v="added"/>
    <n v="3799.36"/>
    <s v="Transfer, Debit"/>
    <s v="2024-03-08, 7:00:00 p.m."/>
    <s v="CAD"/>
    <m/>
    <x v="248"/>
    <s v="other"/>
    <b v="0"/>
    <s v="76RevbxjPruxy9MmVXMkhdbMLvQpADf0mZrAy"/>
    <s v="Preferred Package"/>
    <s v="Scotiabank"/>
    <s v="debit"/>
    <x v="0"/>
    <x v="166"/>
    <x v="23"/>
    <b v="1"/>
    <n v="12589.494482758622"/>
    <n v="17658.5"/>
    <n v="12589.494482758622"/>
    <n v="0"/>
  </r>
  <r>
    <s v="prmkQjxRzEikMOjvZwjyuky9emyqeau3VyE5V"/>
    <s v="added"/>
    <n v="-3799.36"/>
    <s v="Transfer, Deposit"/>
    <s v="2024-03-08, 7:00:00 p.m."/>
    <s v="CAD"/>
    <m/>
    <x v="249"/>
    <s v="other"/>
    <b v="0"/>
    <s v="9DJpjmx4BaTekEyAjoy3sNxQBKEakgHgbJzoY"/>
    <s v="Preferred Package"/>
    <s v="Scotiabank"/>
    <s v="credit"/>
    <x v="16"/>
    <x v="166"/>
    <x v="23"/>
    <b v="1"/>
    <n v="-12680.457777777781"/>
    <n v="-15758.130000000001"/>
    <n v="-12680.457777777781"/>
    <n v="0"/>
  </r>
  <r>
    <s v="NpJvYzRnNdTaNZ0XOMOATOvYmey8M7ioaPe7Y"/>
    <s v="added"/>
    <n v="-1058.6400000000001"/>
    <s v="Transfer, Credit"/>
    <s v="2024-03-08, 7:00:00 p.m."/>
    <s v="CAD"/>
    <m/>
    <x v="237"/>
    <s v="other"/>
    <b v="0"/>
    <s v="BXVyezjPrgSxXRna9M9wIa6ZRzRxy5S3YeNR4"/>
    <s v="WestJet RBC World Elite Mastercard"/>
    <s v="RBC Royal Bank"/>
    <s v="credit"/>
    <x v="1"/>
    <x v="166"/>
    <x v="23"/>
    <b v="1"/>
    <n v="14532.989714285719"/>
    <n v="25434.52"/>
    <n v="14532.989714285719"/>
    <n v="0"/>
  </r>
  <r>
    <s v="NpJvYzRnNdTaNZ0XOMOATOvYmey8M7ioaPe7Y"/>
    <s v="added"/>
    <n v="12.42"/>
    <s v="Shops"/>
    <s v="2024-03-08, 7:00:00 p.m."/>
    <s v="CAD"/>
    <s v="Hostinger"/>
    <x v="267"/>
    <s v="online"/>
    <b v="0"/>
    <s v="3XqR5pwB6kSDXQKBzEzJcMaOo4oy6qCopmLMK"/>
    <s v="WestJet RBC World Elite Mastercard"/>
    <s v="RBC Royal Bank"/>
    <s v="debit"/>
    <x v="25"/>
    <x v="166"/>
    <x v="23"/>
    <b v="1"/>
    <n v="6.21"/>
    <n v="12.42"/>
    <n v="6.21"/>
    <n v="0"/>
  </r>
  <r>
    <s v="eOMxkwaqNZH7Vznj6o6XTA4KJOvewbhnEVmgd"/>
    <s v="added"/>
    <n v="1058.6400000000001"/>
    <s v="Transfer, Debit"/>
    <s v="2024-03-10, 8:00:00 p.m."/>
    <s v="CAD"/>
    <m/>
    <x v="268"/>
    <s v="other"/>
    <b v="0"/>
    <s v="VpQOez8nNBT0NRm8n6nJCAgwebeLx8I4NAk7v"/>
    <s v="RBC Staff Banking"/>
    <s v="RBC Royal Bank"/>
    <s v="debit"/>
    <x v="0"/>
    <x v="167"/>
    <x v="23"/>
    <b v="1"/>
    <n v="12589.494482758622"/>
    <n v="17658.5"/>
    <n v="12589.494482758622"/>
    <n v="0"/>
  </r>
  <r>
    <s v="eOMxkwaqNZH7Vznj6o6XTA4KJOvewbhnEVmgd"/>
    <s v="added"/>
    <n v="3799.36"/>
    <s v="Transfer, Debit"/>
    <s v="2024-03-10, 8:00:00 p.m."/>
    <s v="CAD"/>
    <m/>
    <x v="269"/>
    <s v="other"/>
    <b v="0"/>
    <s v="OpOQezXnNwT19bjmMBMvsZydewermjHxKB4J7"/>
    <s v="RBC Staff Banking"/>
    <s v="RBC Royal Bank"/>
    <s v="debit"/>
    <x v="1"/>
    <x v="167"/>
    <x v="23"/>
    <b v="1"/>
    <n v="14532.989714285719"/>
    <n v="25434.52"/>
    <n v="14532.989714285719"/>
    <n v="0"/>
  </r>
  <r>
    <s v="eOMxkwaqNZH7Vznj6o6XTA4KJOvewbhnEVmgd"/>
    <s v="added"/>
    <n v="142"/>
    <s v="Transfer, Debit"/>
    <s v="2024-03-10, 8:00:00 p.m."/>
    <s v="CAD"/>
    <m/>
    <x v="270"/>
    <s v="other"/>
    <b v="0"/>
    <s v="MpJZezRn7XToeMmQ6r6kTn16EBE0qYUX3nPmJ"/>
    <s v="RBC Staff Banking"/>
    <s v="RBC Royal Bank"/>
    <s v="debit"/>
    <x v="0"/>
    <x v="167"/>
    <x v="23"/>
    <b v="1"/>
    <n v="12589.494482758622"/>
    <n v="17658.5"/>
    <n v="12589.494482758622"/>
    <n v="0"/>
  </r>
  <r>
    <s v="eOMxkwaqNZH7Vznj6o6XTA4KJOvewbhnEVmgd"/>
    <s v="added"/>
    <n v="-5000"/>
    <s v="Transfer, Credit"/>
    <s v="2024-03-10, 8:00:00 p.m."/>
    <s v="CAD"/>
    <m/>
    <x v="271"/>
    <s v="other"/>
    <b v="0"/>
    <s v="EpbNezRmxVTmn9PBE8EDupkeLoLVAqFQB0E1A"/>
    <s v="RBC Staff Banking"/>
    <s v="RBC Royal Bank"/>
    <s v="credit"/>
    <x v="2"/>
    <x v="167"/>
    <x v="23"/>
    <b v="1"/>
    <n v="-18125.097037037034"/>
    <n v="-22459.99"/>
    <n v="-18125.097037037034"/>
    <n v="0"/>
  </r>
  <r>
    <s v="eOMxkwaqNZH7Vznj6o6XTA4KJOvewbhnEVmgd"/>
    <s v="added"/>
    <n v="153.32"/>
    <s v="Service, Utilities, Electric"/>
    <s v="2024-03-10, 8:00:00 p.m."/>
    <s v="CAD"/>
    <s v="Hydro"/>
    <x v="152"/>
    <s v="online"/>
    <b v="0"/>
    <s v="RXJjezRnNDSkNOaAe7ersEnLvrvYJVTeDE1Az"/>
    <s v="RBC Staff Banking"/>
    <s v="RBC Royal Bank"/>
    <s v="debit"/>
    <x v="8"/>
    <x v="167"/>
    <x v="23"/>
    <b v="1"/>
    <n v="139.88333333333333"/>
    <n v="153.32"/>
    <n v="139.88333333333333"/>
    <n v="0"/>
  </r>
  <r>
    <s v="eOMxkwaqNZH7Vznj6o6XTA4KJOvewbhnEVmgd"/>
    <s v="added"/>
    <n v="5254.58"/>
    <s v="Transfer, Debit"/>
    <s v="2024-03-11, 8:00:00 p.m."/>
    <s v="CAD"/>
    <m/>
    <x v="272"/>
    <s v="other"/>
    <b v="0"/>
    <s v="gO8zvLa3NoHaQ0YpjAjgTz6VXpXoBwF81wAxx"/>
    <s v="RBC Staff Banking"/>
    <s v="RBC Royal Bank"/>
    <s v="debit"/>
    <x v="1"/>
    <x v="168"/>
    <x v="23"/>
    <b v="1"/>
    <n v="14532.989714285719"/>
    <n v="25434.52"/>
    <n v="14532.989714285719"/>
    <n v="0"/>
  </r>
  <r>
    <s v="eOMxkwaqNZH7Vznj6o6XTA4KJOvewbhnEVmgd"/>
    <s v="added"/>
    <n v="-5407.9"/>
    <s v="Bank Fees, Foreign Transaction"/>
    <s v="2024-03-11, 8:00:00 p.m."/>
    <s v="CAD"/>
    <m/>
    <x v="273"/>
    <s v="other"/>
    <b v="0"/>
    <s v="7XKm7e1kPjSN8406PMPpHBo0MeMx7DF0mMYB1"/>
    <s v="RBC Staff Banking"/>
    <s v="RBC Royal Bank"/>
    <s v="credit"/>
    <x v="2"/>
    <x v="168"/>
    <x v="23"/>
    <b v="1"/>
    <n v="-18125.097037037034"/>
    <n v="-22459.99"/>
    <n v="-18125.097037037034"/>
    <n v="0"/>
  </r>
  <r>
    <s v="eOMxkwaqNZH7Vznj6o6XTA4KJOvewbhnEVmgd"/>
    <s v="added"/>
    <n v="153.29"/>
    <s v="Service, Utilities, Gas"/>
    <s v="2024-03-11, 8:00:00 p.m."/>
    <s v="CAD"/>
    <s v="Enbridge Gas"/>
    <x v="137"/>
    <s v="online"/>
    <b v="0"/>
    <s v="9XAwVpqvB4SJ7qVOnyngi8MeQAQZ5gfgbjype"/>
    <s v="RBC Staff Banking"/>
    <s v="RBC Royal Bank"/>
    <s v="debit"/>
    <x v="6"/>
    <x v="168"/>
    <x v="23"/>
    <b v="1"/>
    <n v="153.08333333333331"/>
    <n v="153.29"/>
    <n v="153.08333333333331"/>
    <n v="0"/>
  </r>
  <r>
    <s v="NpJvYzRnNdTaNZ0XOMOATOvYmey8M7ioaPe7Y"/>
    <s v="added"/>
    <n v="3.7"/>
    <s v="Travel, Public Transportation Services"/>
    <s v="2024-03-11, 8:00:00 p.m."/>
    <s v="CAD"/>
    <s v="Presto Fare"/>
    <x v="274"/>
    <s v="in store"/>
    <b v="0"/>
    <s v="PpbjezRnN6TVNZrBQMQ0UYbwr8rQ0VUoeYJ5d"/>
    <s v="WestJet RBC World Elite Mastercard"/>
    <s v="RBC Royal Bank"/>
    <s v="debit"/>
    <x v="23"/>
    <x v="168"/>
    <x v="23"/>
    <b v="1"/>
    <n v="11.100000000000001"/>
    <n v="3.7"/>
    <n v="11.100000000000001"/>
    <n v="0"/>
  </r>
  <r>
    <s v="NpJvYzRnNdTaNZ0XOMOATOvYmey8M7ioaPe7Y"/>
    <s v="added"/>
    <n v="-20.78"/>
    <s v="Shops, Digital Purchase"/>
    <s v="2024-03-11, 8:00:00 p.m."/>
    <s v="CAD"/>
    <s v="Amazon"/>
    <x v="227"/>
    <s v="other"/>
    <b v="0"/>
    <s v="qbx15Ap8zQTerAqKYXY1SVoqBrBmQLtDVyn5a"/>
    <s v="WestJet RBC World Elite Mastercard"/>
    <s v="RBC Royal Bank"/>
    <s v="credit"/>
    <x v="21"/>
    <x v="168"/>
    <x v="23"/>
    <b v="1"/>
    <n v="128.65625000000003"/>
    <n v="98.41"/>
    <n v="128.65625000000003"/>
    <n v="0"/>
  </r>
  <r>
    <s v="prmkQjxRzEikMOjvZwjyuky9emyqeau3VyE5V"/>
    <s v="added"/>
    <n v="4846.71"/>
    <s v="Transfer, Debit"/>
    <s v="2024-03-13, 8:00:00 p.m."/>
    <s v="CAD"/>
    <m/>
    <x v="248"/>
    <s v="other"/>
    <b v="0"/>
    <s v="n0XyEVAMzOcoMmKkwEkBTrQkY77v7qfBreLeg"/>
    <s v="Preferred Package"/>
    <s v="Scotiabank"/>
    <s v="debit"/>
    <x v="0"/>
    <x v="169"/>
    <x v="23"/>
    <b v="1"/>
    <n v="12589.494482758622"/>
    <n v="17658.5"/>
    <n v="12589.494482758622"/>
    <n v="0"/>
  </r>
  <r>
    <s v="prmkQjxRzEikMOjvZwjyuky9emyqeau3VyE5V"/>
    <s v="added"/>
    <n v="-4846.71"/>
    <s v="Transfer, Deposit"/>
    <s v="2024-03-13, 8:00:00 p.m."/>
    <s v="CAD"/>
    <m/>
    <x v="249"/>
    <s v="other"/>
    <b v="0"/>
    <s v="prmkQjxRzEikMOjvZwv4TkyvwQQxQ6u3vkzkb"/>
    <s v="Preferred Package"/>
    <s v="Scotiabank"/>
    <s v="credit"/>
    <x v="16"/>
    <x v="169"/>
    <x v="23"/>
    <b v="1"/>
    <n v="-12680.457777777781"/>
    <n v="-15758.130000000001"/>
    <n v="-12680.457777777781"/>
    <n v="0"/>
  </r>
  <r>
    <s v="eOMxkwaqNZH7Vznj6o6XTA4KJOvewbhnEVmgd"/>
    <s v="added"/>
    <n v="-5000"/>
    <s v="Transfer, Credit"/>
    <s v="2024-03-13, 8:00:00 p.m."/>
    <s v="CAD"/>
    <m/>
    <x v="275"/>
    <s v="other"/>
    <b v="0"/>
    <s v="oN4L8KpOzEuYrb1g4k4vTxr6RQRKA9H4jeO3Z"/>
    <s v="RBC Staff Banking"/>
    <s v="RBC Royal Bank"/>
    <s v="credit"/>
    <x v="2"/>
    <x v="169"/>
    <x v="23"/>
    <b v="1"/>
    <n v="-18125.097037037034"/>
    <n v="-22459.99"/>
    <n v="-18125.097037037034"/>
    <n v="0"/>
  </r>
  <r>
    <s v="eOMxkwaqNZH7Vznj6o6XTA4KJOvewbhnEVmgd"/>
    <s v="added"/>
    <n v="4846.71"/>
    <s v="Transfer, Debit"/>
    <s v="2024-03-13, 8:00:00 p.m."/>
    <s v="CAD"/>
    <m/>
    <x v="276"/>
    <s v="other"/>
    <b v="0"/>
    <s v="bp893zMDNxT90nm7Q5QEskAw0604pbUJ7y98a"/>
    <s v="RBC Staff Banking"/>
    <s v="RBC Royal Bank"/>
    <s v="debit"/>
    <x v="1"/>
    <x v="169"/>
    <x v="23"/>
    <b v="1"/>
    <n v="14532.989714285719"/>
    <n v="25434.52"/>
    <n v="14532.989714285719"/>
    <n v="0"/>
  </r>
  <r>
    <s v="eOMxkwaqNZH7Vznj6o6XTA4KJOvewbhnEVmgd"/>
    <s v="added"/>
    <n v="-500"/>
    <s v="Transfer, Credit"/>
    <s v="2024-03-14, 8:00:00 p.m."/>
    <s v="CAD"/>
    <m/>
    <x v="277"/>
    <s v="other"/>
    <b v="0"/>
    <s v="aOmnBzRLeaHw07Ken5nMiKY3kBkdQ1c7Xk43z"/>
    <s v="RBC Staff Banking"/>
    <s v="RBC Royal Bank"/>
    <s v="credit"/>
    <x v="2"/>
    <x v="170"/>
    <x v="23"/>
    <b v="1"/>
    <n v="-18125.097037037034"/>
    <n v="-22459.99"/>
    <n v="-18125.097037037034"/>
    <n v="0"/>
  </r>
  <r>
    <s v="eOMxkwaqNZH7Vznj6o6XTA4KJOvewbhnEVmgd"/>
    <s v="added"/>
    <n v="500"/>
    <s v="Transfer, Debit"/>
    <s v="2024-03-14, 8:00:00 p.m."/>
    <s v="CAD"/>
    <m/>
    <x v="278"/>
    <s v="other"/>
    <b v="0"/>
    <s v="xbwkYxX7zLT9rJvXa0a1swmxAqAyPEiOz0opg"/>
    <s v="RBC Staff Banking"/>
    <s v="RBC Royal Bank"/>
    <s v="debit"/>
    <x v="0"/>
    <x v="170"/>
    <x v="23"/>
    <b v="1"/>
    <n v="12589.494482758622"/>
    <n v="17658.5"/>
    <n v="12589.494482758622"/>
    <n v="0"/>
  </r>
  <r>
    <s v="eOMxkwaqNZH7Vznj6o6XTA4KJOvewbhnEVmgd"/>
    <s v="added"/>
    <n v="438.75"/>
    <s v="Service, Insurance"/>
    <s v="2024-03-14, 8:00:00 p.m."/>
    <s v="CAD"/>
    <s v="Insurance Belair Ins Ass."/>
    <x v="156"/>
    <s v="online"/>
    <b v="0"/>
    <s v="JpJrezRvoQTpmz9wbZb3IX5QjnjvKDUmwZk3V"/>
    <s v="RBC Staff Banking"/>
    <s v="RBC Royal Bank"/>
    <s v="debit"/>
    <x v="10"/>
    <x v="170"/>
    <x v="23"/>
    <b v="1"/>
    <n v="432.99599999999998"/>
    <n v="438.75"/>
    <n v="432.99599999999998"/>
    <n v="0"/>
  </r>
  <r>
    <s v="eOMxkwaqNZH7Vznj6o6XTA4KJOvewbhnEVmgd"/>
    <s v="added"/>
    <n v="324.55"/>
    <s v="Service, Financial, Loans and Mortgages"/>
    <s v="2024-03-14, 8:00:00 p.m."/>
    <s v="CAD"/>
    <s v="Personal Loan Spl"/>
    <x v="147"/>
    <s v="online"/>
    <b v="0"/>
    <s v="8ekd9pPAqrtQrAjep3pmc6bqLVLxr3UxaeZk9"/>
    <s v="RBC Staff Banking"/>
    <s v="RBC Royal Bank"/>
    <s v="debit"/>
    <x v="7"/>
    <x v="170"/>
    <x v="23"/>
    <b v="1"/>
    <n v="624.12818181818193"/>
    <n v="649.1"/>
    <n v="624.12818181818193"/>
    <n v="0"/>
  </r>
  <r>
    <s v="eOMxkwaqNZH7Vznj6o6XTA4KJOvewbhnEVmgd"/>
    <s v="added"/>
    <n v="65.7"/>
    <s v="Service, Insurance"/>
    <s v="2024-03-14, 8:00:00 p.m."/>
    <s v="CAD"/>
    <s v="Life Insurance Foresters"/>
    <x v="157"/>
    <s v="online"/>
    <b v="0"/>
    <s v="ZORJwzanNkHyVPDOemeocB61qaqrdpFb6BvPX"/>
    <s v="RBC Staff Banking"/>
    <s v="RBC Royal Bank"/>
    <s v="debit"/>
    <x v="11"/>
    <x v="170"/>
    <x v="23"/>
    <b v="1"/>
    <n v="65.7"/>
    <n v="65.7"/>
    <n v="65.7"/>
    <n v="0"/>
  </r>
  <r>
    <s v="eOMxkwaqNZH7Vznj6o6XTA4KJOvewbhnEVmgd"/>
    <s v="added"/>
    <n v="56.05"/>
    <s v="Service, Insurance"/>
    <s v="2024-03-14, 8:00:00 p.m."/>
    <s v="CAD"/>
    <s v="Insurance Belair Ins Ass."/>
    <x v="156"/>
    <s v="online"/>
    <b v="0"/>
    <s v="5X3rbpLyDvSjXnV1EPEZi9z6jLjpeQcwkPVm5"/>
    <s v="RBC Staff Banking"/>
    <s v="RBC Royal Bank"/>
    <s v="debit"/>
    <x v="12"/>
    <x v="170"/>
    <x v="23"/>
    <b v="1"/>
    <n v="57.905000000000001"/>
    <n v="56.05"/>
    <n v="57.905000000000001"/>
    <n v="0"/>
  </r>
  <r>
    <s v="prmkQjxRzEikMOjvZwjyuky9emyqeau3VyE5V"/>
    <s v="added"/>
    <n v="0.02"/>
    <s v="Bank Fees, Overdraft"/>
    <s v="2024-03-15, 8:00:00 p.m."/>
    <s v="CAD"/>
    <m/>
    <x v="160"/>
    <s v="other"/>
    <b v="0"/>
    <s v="d1ydZVL8NJC5KXp64E64Ud7V3Yqx8wfQY7PND"/>
    <s v="Preferred Package"/>
    <s v="Scotiabank"/>
    <s v="debit"/>
    <x v="13"/>
    <x v="171"/>
    <x v="23"/>
    <b v="1"/>
    <n v="2.5077777777777777"/>
    <n v="5.0999999999999996"/>
    <n v="2.5077777777777777"/>
    <n v="0"/>
  </r>
  <r>
    <s v="NpJvYzRnNdTaNZ0XOMOATOvYmey8M7ioaPe7Y"/>
    <s v="added"/>
    <n v="75"/>
    <s v="Shops, Digital Purchase"/>
    <s v="2024-03-15, 8:00:00 p.m."/>
    <s v="CAD"/>
    <s v="Amazon"/>
    <x v="227"/>
    <s v="online"/>
    <b v="0"/>
    <s v="1X148pJPdyS3OmV1M6MauzwxjpjmMEFnpdAre"/>
    <s v="WestJet RBC World Elite Mastercard"/>
    <s v="RBC Royal Bank"/>
    <s v="debit"/>
    <x v="21"/>
    <x v="171"/>
    <x v="23"/>
    <b v="1"/>
    <n v="128.65625000000003"/>
    <n v="98.41"/>
    <n v="128.65625000000003"/>
    <n v="0"/>
  </r>
  <r>
    <s v="NpJvYzRnNdTaNZ0XOMOATOvYmey8M7ioaPe7Y"/>
    <s v="added"/>
    <n v="-39.97"/>
    <s v="Shops, Digital Purchase"/>
    <s v="2024-03-16, 8:00:00 p.m."/>
    <s v="CAD"/>
    <s v="Amazon"/>
    <x v="227"/>
    <s v="other"/>
    <b v="0"/>
    <s v="DpYkezRBa9T69a1DqJqLC0n9LxLA1KIwD7gQe"/>
    <s v="WestJet RBC World Elite Mastercard"/>
    <s v="RBC Royal Bank"/>
    <s v="credit"/>
    <x v="21"/>
    <x v="172"/>
    <x v="23"/>
    <b v="1"/>
    <n v="128.65625000000003"/>
    <n v="98.41"/>
    <n v="128.65625000000003"/>
    <n v="0"/>
  </r>
  <r>
    <s v="prmkQjxRzEikMOjvZwjyuky9emyqeau3VyE5V"/>
    <s v="added"/>
    <n v="-0.02"/>
    <s v="Transfer, Credit"/>
    <s v="2024-03-17, 8:00:00 p.m."/>
    <s v="CAD"/>
    <m/>
    <x v="279"/>
    <s v="other"/>
    <b v="0"/>
    <s v="wLqaPOR6zeixMYpeDBeZHPbdZA8aA4IRZONpB"/>
    <s v="Preferred Package"/>
    <s v="Scotiabank"/>
    <s v="credit"/>
    <x v="3"/>
    <x v="173"/>
    <x v="23"/>
    <b v="1"/>
    <n v="-333.34666666666664"/>
    <n v="-0.02"/>
    <n v="-333.34666666666664"/>
    <n v="0"/>
  </r>
  <r>
    <s v="eOMxkwaqNZH7Vznj6o6XTA4KJOvewbhnEVmgd"/>
    <s v="added"/>
    <n v="-800"/>
    <s v="Transfer, Credit"/>
    <s v="2024-03-17, 8:00:00 p.m."/>
    <s v="CAD"/>
    <m/>
    <x v="280"/>
    <s v="other"/>
    <b v="0"/>
    <s v="rb4Povp8znTzYwXg9A9rIP8XjZjYNEfVm4bje"/>
    <s v="RBC Staff Banking"/>
    <s v="RBC Royal Bank"/>
    <s v="credit"/>
    <x v="5"/>
    <x v="173"/>
    <x v="23"/>
    <b v="1"/>
    <n v="-3209.0714285714284"/>
    <n v="-3266"/>
    <n v="-3209.0714285714284"/>
    <n v="0"/>
  </r>
  <r>
    <s v="eOMxkwaqNZH7Vznj6o6XTA4KJOvewbhnEVmgd"/>
    <s v="added"/>
    <n v="-3489.09"/>
    <s v="Transfer, Credit"/>
    <s v="2024-03-17, 8:00:00 p.m."/>
    <s v="CAD"/>
    <m/>
    <x v="281"/>
    <s v="other"/>
    <b v="0"/>
    <s v="4XBJop63LASgpJk40108SNXLgEgZy9tRb5qz7"/>
    <s v="RBC Staff Banking"/>
    <s v="RBC Royal Bank"/>
    <s v="credit"/>
    <x v="2"/>
    <x v="173"/>
    <x v="23"/>
    <b v="1"/>
    <n v="-18125.097037037034"/>
    <n v="-22459.99"/>
    <n v="-18125.097037037034"/>
    <n v="0"/>
  </r>
  <r>
    <s v="eOMxkwaqNZH7Vznj6o6XTA4KJOvewbhnEVmgd"/>
    <s v="added"/>
    <n v="5.08"/>
    <s v="Bank Fees, Overdraft"/>
    <s v="2024-03-18, 8:00:00 p.m."/>
    <s v="CAD"/>
    <m/>
    <x v="160"/>
    <s v="other"/>
    <b v="0"/>
    <s v="jOoXrPpkN7HKQmxMzAzLTXv3wRw4xMUeNP3k3"/>
    <s v="RBC Staff Banking"/>
    <s v="RBC Royal Bank"/>
    <s v="debit"/>
    <x v="13"/>
    <x v="174"/>
    <x v="23"/>
    <b v="1"/>
    <n v="2.5077777777777777"/>
    <n v="5.0999999999999996"/>
    <n v="2.5077777777777777"/>
    <n v="0"/>
  </r>
  <r>
    <s v="prmkQjxRzEikMOjvZwjyuky9emyqeau3VyE5V"/>
    <s v="added"/>
    <n v="5870"/>
    <s v="Transfer, Debit"/>
    <s v="2024-03-20, 8:00:00 p.m."/>
    <s v="CAD"/>
    <m/>
    <x v="248"/>
    <s v="other"/>
    <b v="0"/>
    <s v="y1RJB94DzwC5MgPZXyZYIAYNNv3KKnCpJEJPg"/>
    <s v="Preferred Package"/>
    <s v="Scotiabank"/>
    <s v="debit"/>
    <x v="0"/>
    <x v="175"/>
    <x v="23"/>
    <b v="1"/>
    <n v="12589.494482758622"/>
    <n v="17658.5"/>
    <n v="12589.494482758622"/>
    <n v="0"/>
  </r>
  <r>
    <s v="prmkQjxRzEikMOjvZwjyuky9emyqeau3VyE5V"/>
    <s v="added"/>
    <n v="-7112.06"/>
    <s v="Transfer, Deposit"/>
    <s v="2024-03-20, 8:00:00 p.m."/>
    <s v="CAD"/>
    <m/>
    <x v="249"/>
    <s v="other"/>
    <b v="0"/>
    <s v="KgQzRaPnbpcqpxDV93VOIxLkkYn55ZtEzMzK1"/>
    <s v="Preferred Package"/>
    <s v="Scotiabank"/>
    <s v="credit"/>
    <x v="16"/>
    <x v="175"/>
    <x v="23"/>
    <b v="1"/>
    <n v="-12680.457777777781"/>
    <n v="-15758.130000000001"/>
    <n v="-12680.457777777781"/>
    <n v="0"/>
  </r>
  <r>
    <s v="eOMxkwaqNZH7Vznj6o6XTA4KJOvewbhnEVmgd"/>
    <s v="added"/>
    <n v="7112.06"/>
    <s v="Transfer, Debit"/>
    <s v="2024-03-20, 8:00:00 p.m."/>
    <s v="CAD"/>
    <m/>
    <x v="282"/>
    <s v="other"/>
    <b v="0"/>
    <s v="vbVy94p8zwTZVRYD787pCbvx1o1kpAUV31gPY"/>
    <s v="RBC Staff Banking"/>
    <s v="RBC Royal Bank"/>
    <s v="debit"/>
    <x v="1"/>
    <x v="175"/>
    <x v="23"/>
    <b v="1"/>
    <n v="14532.989714285719"/>
    <n v="25434.52"/>
    <n v="14532.989714285719"/>
    <n v="0"/>
  </r>
  <r>
    <s v="eOMxkwaqNZH7Vznj6o6XTA4KJOvewbhnEVmgd"/>
    <s v="added"/>
    <n v="-3713.1"/>
    <s v="Tax, Refund"/>
    <s v="2024-03-20, 8:00:00 p.m."/>
    <s v="CAD"/>
    <s v="Canada"/>
    <x v="283"/>
    <s v="in store"/>
    <b v="0"/>
    <s v="0XDrJpO173S7XKVnMwM4TZOr7a7o09HANnJB5"/>
    <s v="RBC Staff Banking"/>
    <s v="RBC Royal Bank"/>
    <s v="credit"/>
    <x v="26"/>
    <x v="175"/>
    <x v="23"/>
    <b v="1"/>
    <n v="-3713.1"/>
    <n v="-3713.1"/>
    <n v="-3713.1"/>
    <n v="0"/>
  </r>
  <r>
    <s v="NpJvYzRnNdTaNZ0XOMOATOvYmey8M7ioaPe7Y"/>
    <s v="added"/>
    <n v="84.16"/>
    <s v="Shops, Digital Purchase"/>
    <s v="2024-03-24, 8:00:00 p.m."/>
    <s v="CAD"/>
    <s v="Amazon"/>
    <x v="227"/>
    <s v="online"/>
    <b v="0"/>
    <s v="kObx4qpAm9HOVm5g9D9QfdpqpVzYvgfoqpyob"/>
    <s v="WestJet RBC World Elite Mastercard"/>
    <s v="RBC Royal Bank"/>
    <s v="debit"/>
    <x v="21"/>
    <x v="176"/>
    <x v="23"/>
    <b v="1"/>
    <n v="128.65625000000003"/>
    <n v="98.41"/>
    <n v="128.65625000000003"/>
    <n v="0"/>
  </r>
  <r>
    <s v="prmkQjxRzEikMOjvZwjyuky9emyqeau3VyE5V"/>
    <s v="added"/>
    <n v="1241.79"/>
    <s v="Transfer, Debit"/>
    <s v="2024-03-27, 8:00:00 p.m."/>
    <s v="CAD"/>
    <s v="Pad Ccra Canada"/>
    <x v="284"/>
    <s v="in store"/>
    <b v="0"/>
    <s v="gBkLbVPoN5cEvnA1K41vHB4M86enx4C81ym33"/>
    <s v="Preferred Package"/>
    <s v="Scotiabank"/>
    <s v="debit"/>
    <x v="0"/>
    <x v="177"/>
    <x v="23"/>
    <b v="1"/>
    <n v="12589.494482758622"/>
    <n v="17658.5"/>
    <n v="12589.494482758622"/>
    <n v="0"/>
  </r>
  <r>
    <s v="eOMxkwaqNZH7Vznj6o6XTA4KJOvewbhnEVmgd"/>
    <s v="added"/>
    <n v="-2000"/>
    <s v="Transfer, Credit"/>
    <s v="2024-03-31, 8:00:00 p.m."/>
    <s v="CAD"/>
    <m/>
    <x v="285"/>
    <s v="other"/>
    <b v="0"/>
    <s v="EpbNezRmxVTmn9PBE8bzU8wyAA3kRNCQbqwMB"/>
    <s v="RBC Staff Banking"/>
    <s v="RBC Royal Bank"/>
    <s v="credit"/>
    <x v="2"/>
    <x v="178"/>
    <x v="23"/>
    <b v="1"/>
    <n v="-18125.097037037034"/>
    <n v="-22459.99"/>
    <n v="-18125.097037037034"/>
    <n v="0"/>
  </r>
  <r>
    <s v="eOMxkwaqNZH7Vznj6o6XTA4KJOvewbhnEVmgd"/>
    <s v="added"/>
    <n v="-1000"/>
    <s v="Transfer, Credit"/>
    <s v="2024-03-31, 8:00:00 p.m."/>
    <s v="CAD"/>
    <m/>
    <x v="286"/>
    <s v="other"/>
    <b v="0"/>
    <s v="RXJjezRnNDSkNOaAe7ZwUkNoJJynaPUemr80O"/>
    <s v="RBC Staff Banking"/>
    <s v="RBC Royal Bank"/>
    <s v="credit"/>
    <x v="5"/>
    <x v="178"/>
    <x v="23"/>
    <b v="1"/>
    <n v="-3209.0714285714284"/>
    <n v="-3266"/>
    <n v="-3209.0714285714284"/>
    <n v="0"/>
  </r>
  <r>
    <s v="eOMxkwaqNZH7Vznj6o6XTA4KJOvewbhnEVmgd"/>
    <s v="added"/>
    <n v="3690"/>
    <s v="Transfer, Debit"/>
    <s v="2024-03-31, 8:00:00 p.m."/>
    <s v="CAD"/>
    <m/>
    <x v="287"/>
    <s v="other"/>
    <b v="0"/>
    <s v="QpJ5ezRXNLTNEw45P1yXTmK7xxL0v8sOqokvX"/>
    <s v="RBC Staff Banking"/>
    <s v="RBC Royal Bank"/>
    <s v="debit"/>
    <x v="14"/>
    <x v="178"/>
    <x v="23"/>
    <b v="1"/>
    <n v="5076"/>
    <n v="3690"/>
    <n v="5076"/>
    <n v="0"/>
  </r>
  <r>
    <s v="eOMxkwaqNZH7Vznj6o6XTA4KJOvewbhnEVmgd"/>
    <s v="added"/>
    <n v="200"/>
    <s v="Transfer, Debit"/>
    <s v="2024-03-31, 8:00:00 p.m."/>
    <s v="CAD"/>
    <m/>
    <x v="288"/>
    <s v="other"/>
    <b v="0"/>
    <s v="nN46JypjzMu8QYa5zKgxUv73KKNjoxtBvX8gz"/>
    <s v="RBC Staff Banking"/>
    <s v="RBC Royal Bank"/>
    <s v="debit"/>
    <x v="0"/>
    <x v="178"/>
    <x v="23"/>
    <b v="1"/>
    <n v="12589.494482758622"/>
    <n v="17658.5"/>
    <n v="12589.494482758622"/>
    <n v="0"/>
  </r>
  <r>
    <s v="eOMxkwaqNZH7Vznj6o6XTA4KJOvewbhnEVmgd"/>
    <s v="added"/>
    <n v="-1370"/>
    <s v="Transfer, Credit"/>
    <s v="2024-03-31, 8:00:00 p.m."/>
    <s v="CAD"/>
    <m/>
    <x v="289"/>
    <s v="other"/>
    <b v="0"/>
    <s v="pb4DZkp8zRTK7y0Vqj39UxQN11jDPXH3xLOg8"/>
    <s v="RBC Staff Banking"/>
    <s v="RBC Royal Bank"/>
    <s v="credit"/>
    <x v="5"/>
    <x v="178"/>
    <x v="23"/>
    <b v="1"/>
    <n v="-3209.0714285714284"/>
    <n v="-3266"/>
    <n v="-3209.0714285714284"/>
    <n v="0"/>
  </r>
  <r>
    <s v="eOMxkwaqNZH7Vznj6o6XTA4KJOvewbhnEVmgd"/>
    <s v="added"/>
    <n v="324.55"/>
    <s v="Service, Financial, Loans and Mortgages"/>
    <s v="2024-03-31, 8:00:00 p.m."/>
    <s v="CAD"/>
    <s v="Personal Loan Spl"/>
    <x v="147"/>
    <s v="online"/>
    <b v="0"/>
    <s v="Xp8jezanNyTBNo6ARXnmSVkKnn75BYfdLj75g"/>
    <s v="RBC Staff Banking"/>
    <s v="RBC Royal Bank"/>
    <s v="debit"/>
    <x v="7"/>
    <x v="178"/>
    <x v="23"/>
    <b v="1"/>
    <n v="624.12818181818193"/>
    <n v="649.1"/>
    <n v="624.12818181818193"/>
    <n v="0"/>
  </r>
  <r>
    <s v="NpJvYzRnNdTaNZ0XOMOATOvYmey8M7ioaPe7Y"/>
    <s v="added"/>
    <n v="4.5199999999999996"/>
    <s v="Food and Drink, Restaurants"/>
    <s v="2024-04-02, 8:00:00 p.m."/>
    <s v="CAD"/>
    <s v="New York Times"/>
    <x v="230"/>
    <s v="in store"/>
    <b v="0"/>
    <s v="VpQOez8nNBT0NRm8n6YnuDMKQyq68nI4eXrEP"/>
    <s v="WestJet RBC World Elite Mastercard"/>
    <s v="RBC Royal Bank"/>
    <s v="debit"/>
    <x v="22"/>
    <x v="179"/>
    <x v="24"/>
    <b v="1"/>
    <n v="23.11333333333333"/>
    <n v="4.5199999999999996"/>
    <n v="23.11333333333333"/>
    <n v="0"/>
  </r>
  <r>
    <s v="NpJvYzRnNdTaNZ0XOMOATOvYmey8M7ioaPe7Y"/>
    <s v="added"/>
    <n v="-68.92"/>
    <s v="Shops, Digital Purchase"/>
    <s v="2024-04-04, 8:00:00 p.m."/>
    <s v="CAD"/>
    <s v="Amazon"/>
    <x v="227"/>
    <s v="other"/>
    <b v="0"/>
    <s v="Xp8jezanNyTBNo6ARXnnC5kLmXOoPDhdp1Q5K"/>
    <s v="WestJet RBC World Elite Mastercard"/>
    <s v="RBC Royal Bank"/>
    <s v="credit"/>
    <x v="21"/>
    <x v="180"/>
    <x v="24"/>
    <b v="1"/>
    <n v="128.65625000000003"/>
    <n v="33.539999999999992"/>
    <n v="128.65625000000003"/>
    <n v="0"/>
  </r>
  <r>
    <s v="eOMxkwaqNZH7Vznj6o6XTA4KJOvewbhnEVmgd"/>
    <s v="added"/>
    <n v="-1000"/>
    <s v="Transfer, Credit"/>
    <s v="2024-04-07, 8:00:00 p.m."/>
    <s v="CAD"/>
    <m/>
    <x v="290"/>
    <s v="other"/>
    <b v="0"/>
    <s v="DpYkezRBa9T69a1DqJeZi8RopRv85qfwPwmpz"/>
    <s v="RBC Staff Banking"/>
    <s v="RBC Royal Bank"/>
    <s v="credit"/>
    <x v="3"/>
    <x v="181"/>
    <x v="24"/>
    <b v="1"/>
    <n v="-333.34666666666664"/>
    <n v="-1000"/>
    <n v="-333.34666666666664"/>
    <n v="0"/>
  </r>
  <r>
    <s v="eOMxkwaqNZH7Vznj6o6XTA4KJOvewbhnEVmgd"/>
    <s v="added"/>
    <n v="1000"/>
    <s v="Transfer, Debit"/>
    <s v="2024-04-07, 8:00:00 p.m."/>
    <s v="CAD"/>
    <m/>
    <x v="291"/>
    <s v="other"/>
    <b v="0"/>
    <s v="1X148pJPdyS3OmV1M6qockXYvX6kanunwn9Qq"/>
    <s v="RBC Staff Banking"/>
    <s v="RBC Royal Bank"/>
    <s v="debit"/>
    <x v="0"/>
    <x v="181"/>
    <x v="24"/>
    <b v="1"/>
    <n v="12589.494482758622"/>
    <n v="1050.1300000000001"/>
    <n v="12589.494482758622"/>
    <n v="0"/>
  </r>
  <r>
    <s v="eOMxkwaqNZH7Vznj6o6XTA4KJOvewbhnEVmgd"/>
    <s v="added"/>
    <n v="155.47"/>
    <s v="Service, Utilities, Electric"/>
    <s v="2024-04-07, 8:00:00 p.m."/>
    <s v="CAD"/>
    <s v="Hydro"/>
    <x v="152"/>
    <s v="online"/>
    <b v="0"/>
    <s v="PpbjezRnN6TVNZrBQM54CoARZAzo7XfoVoErJ"/>
    <s v="RBC Staff Banking"/>
    <s v="RBC Royal Bank"/>
    <s v="debit"/>
    <x v="8"/>
    <x v="181"/>
    <x v="24"/>
    <b v="1"/>
    <n v="139.88333333333333"/>
    <n v="155.47"/>
    <n v="139.88333333333333"/>
    <n v="0"/>
  </r>
  <r>
    <s v="eOMxkwaqNZH7Vznj6o6XTA4KJOvewbhnEVmgd"/>
    <s v="added"/>
    <n v="50.13"/>
    <s v="Transfer, Debit"/>
    <s v="2024-04-08, 8:00:00 p.m."/>
    <s v="CAD"/>
    <m/>
    <x v="292"/>
    <s v="other"/>
    <b v="0"/>
    <s v="9XAwVpqvB4SJ7qVOnyD7s8K19X6aj4F63Y5Mb"/>
    <s v="RBC Staff Banking"/>
    <s v="RBC Royal Bank"/>
    <s v="debit"/>
    <x v="0"/>
    <x v="182"/>
    <x v="24"/>
    <b v="1"/>
    <n v="12589.494482758622"/>
    <n v="1050.1300000000001"/>
    <n v="12589.494482758622"/>
    <n v="0"/>
  </r>
  <r>
    <s v="eOMxkwaqNZH7Vznj6o6XTA4KJOvewbhnEVmgd"/>
    <s v="added"/>
    <n v="9.93"/>
    <s v="Food and Drink, Restaurants"/>
    <s v="2024-04-08, 8:00:00 p.m."/>
    <s v="CAD"/>
    <s v="Tim Hortons"/>
    <x v="242"/>
    <s v="in store"/>
    <b v="0"/>
    <s v="VpQOez8nNBT0NRm8n6YNuA5zyv1P3ntnbeZpR"/>
    <s v="RBC Staff Banking"/>
    <s v="RBC Royal Bank"/>
    <s v="debit"/>
    <x v="18"/>
    <x v="182"/>
    <x v="24"/>
    <b v="1"/>
    <n v="414.67285714285714"/>
    <n v="9.93"/>
    <n v="800"/>
    <n v="0"/>
  </r>
  <r>
    <s v="eOMxkwaqNZH7Vznj6o6XTA4KJOvewbhnEVmgd"/>
    <s v="added"/>
    <n v="753.71"/>
    <s v="Payment"/>
    <s v="2024-04-08, 8:00:00 p.m."/>
    <s v="CAD"/>
    <m/>
    <x v="293"/>
    <s v="other"/>
    <b v="0"/>
    <s v="OpOQezXnNwT19bjmMBZ9cZkDX706YzFp0rLAr"/>
    <s v="RBC Staff Banking"/>
    <s v="RBC Royal Bank"/>
    <s v="debit"/>
    <x v="1"/>
    <x v="182"/>
    <x v="24"/>
    <b v="1"/>
    <n v="14532.989714285719"/>
    <n v="1743.58"/>
    <n v="14532.989714285719"/>
    <n v="0"/>
  </r>
  <r>
    <s v="eOMxkwaqNZH7Vznj6o6XTA4KJOvewbhnEVmgd"/>
    <s v="added"/>
    <n v="-1486.25"/>
    <s v="Transfer, Credit"/>
    <s v="2024-04-08, 8:00:00 p.m."/>
    <s v="CAD"/>
    <m/>
    <x v="294"/>
    <s v="other"/>
    <b v="0"/>
    <s v="MpJZezRn7XToeMmQ6rDeunyJ7wjgAeF0Lx4No"/>
    <s v="RBC Staff Banking"/>
    <s v="RBC Royal Bank"/>
    <s v="credit"/>
    <x v="2"/>
    <x v="182"/>
    <x v="24"/>
    <b v="1"/>
    <n v="-18125.097037037034"/>
    <n v="-2486.25"/>
    <n v="-18125.097037037034"/>
    <n v="0"/>
  </r>
  <r>
    <s v="NpJvYzRnNdTaNZ0XOMOATOvYmey8M7ioaPe7Y"/>
    <s v="added"/>
    <n v="-50.13"/>
    <s v="Transfer, Credit"/>
    <s v="2024-04-08, 8:00:00 p.m."/>
    <s v="CAD"/>
    <m/>
    <x v="237"/>
    <s v="other"/>
    <b v="0"/>
    <s v="bp893zMDNxT90nm7Q5y0ckmYMZQKz7cPX0BQM"/>
    <s v="WestJet RBC World Elite Mastercard"/>
    <s v="RBC Royal Bank"/>
    <s v="credit"/>
    <x v="1"/>
    <x v="182"/>
    <x v="24"/>
    <b v="1"/>
    <n v="14532.989714285719"/>
    <n v="1743.58"/>
    <n v="14532.989714285719"/>
    <n v="0"/>
  </r>
  <r>
    <s v="eOMxkwaqNZH7Vznj6o6XTA4KJOvewbhnEVmgd"/>
    <s v="added"/>
    <n v="158.4"/>
    <s v="Service, Utilities, Gas"/>
    <s v="2024-04-09, 8:00:00 p.m."/>
    <s v="CAD"/>
    <s v="Enbridge Gas"/>
    <x v="137"/>
    <s v="online"/>
    <b v="0"/>
    <s v="DpYkezRBa9T69a1DqJeBFQjLo6va8XhwPOK7Y"/>
    <s v="RBC Staff Banking"/>
    <s v="RBC Royal Bank"/>
    <s v="debit"/>
    <x v="6"/>
    <x v="183"/>
    <x v="24"/>
    <b v="1"/>
    <n v="153.08333333333331"/>
    <n v="158.4"/>
    <n v="153.08333333333331"/>
    <n v="0"/>
  </r>
  <r>
    <s v="eOMxkwaqNZH7Vznj6o6XTA4KJOvewbhnEVmgd"/>
    <s v="added"/>
    <n v="1040"/>
    <s v="Transfer, Debit"/>
    <s v="2024-04-10, 8:00:00 p.m."/>
    <s v="CAD"/>
    <m/>
    <x v="295"/>
    <s v="other"/>
    <b v="0"/>
    <s v="1X148pJPdyS3OmV1M6qBHBYxem4BB1tnwjKYb"/>
    <s v="RBC Staff Banking"/>
    <s v="RBC Royal Bank"/>
    <s v="debit"/>
    <x v="1"/>
    <x v="184"/>
    <x v="24"/>
    <b v="1"/>
    <n v="14532.989714285719"/>
    <n v="1743.58"/>
    <n v="14532.989714285719"/>
    <n v="0"/>
  </r>
  <r>
    <s v="eOMxkwaqNZH7Vznj6o6XTA4KJOvewbhnEVmgd"/>
    <s v="added"/>
    <n v="-1000"/>
    <s v="Transfer, Credit"/>
    <s v="2024-04-10, 8:00:00 p.m."/>
    <s v="CAD"/>
    <m/>
    <x v="296"/>
    <s v="other"/>
    <b v="0"/>
    <s v="PpbjezRnN6TVNZrBQM59i5RwLQe559HoV1kOm"/>
    <s v="RBC Staff Banking"/>
    <s v="RBC Royal Bank"/>
    <s v="credit"/>
    <x v="2"/>
    <x v="184"/>
    <x v="24"/>
    <b v="1"/>
    <n v="-18125.097037037034"/>
    <n v="-2486.25"/>
    <n v="-18125.097037037034"/>
    <n v="0"/>
  </r>
  <r>
    <s v="NpJvYzRnNdTaNZ0XOMOATOvYmey8M7ioaPe7Y"/>
    <s v="added"/>
    <n v="102.46"/>
    <s v="Shops"/>
    <s v="2024-04-10, 8:00:00 p.m."/>
    <s v="CAD"/>
    <s v="Amazon"/>
    <x v="297"/>
    <s v="online"/>
    <b v="0"/>
    <s v="nN46JypjzMu8QYa5zKgpsovXMDBKjvhjbZejR"/>
    <s v="WestJet RBC World Elite Mastercard"/>
    <s v="RBC Royal Bank"/>
    <s v="debit"/>
    <x v="21"/>
    <x v="184"/>
    <x v="24"/>
    <b v="1"/>
    <n v="128.65625000000003"/>
    <n v="33.539999999999992"/>
    <n v="128.65625000000003"/>
    <n v="0"/>
  </r>
  <r>
    <s v="eOMxkwaqNZH7Vznj6o6XTA4KJOvewbhnEVmgd"/>
    <s v="added"/>
    <n v="324.55"/>
    <s v="Service, Financial, Loans and Mortgages"/>
    <s v="2024-04-11, 8:00:00 p.m."/>
    <s v="CAD"/>
    <s v="Personal Loan Spl"/>
    <x v="147"/>
    <s v="online"/>
    <b v="0"/>
    <s v="Xp8jezanNyTBNo6ARXnpUBVZmr6n5VCz3gmzB"/>
    <s v="RBC Staff Banking"/>
    <s v="RBC Royal Bank"/>
    <s v="debit"/>
    <x v="7"/>
    <x v="185"/>
    <x v="24"/>
    <b v="1"/>
    <n v="624.12818181818193"/>
    <n v="324.55"/>
    <n v="624.12818181818193"/>
    <n v="0"/>
  </r>
  <r>
    <s v="NpJvYzRnNdTaNZ0XOMOATOvYmey8M7ioaPe7Y"/>
    <s v="added"/>
    <n v="27.89"/>
    <s v="Service"/>
    <s v="2024-05-01, 7:00:00 p.m."/>
    <s v="CAD"/>
    <s v="OpenAI"/>
    <x v="262"/>
    <s v="online"/>
    <b v="0"/>
    <s v="KYmvezN0bnso8Rk5dDdyTx4bjwjvQXHERxNKy"/>
    <s v="WestJet RBC World Elite Mastercard"/>
    <s v="RBC Royal Bank"/>
    <s v="debit"/>
    <x v="22"/>
    <x v="186"/>
    <x v="25"/>
    <b v="1"/>
    <n v="23.11333333333333"/>
    <n v="32.409999999999997"/>
    <n v="23.11333333333333"/>
    <n v="27.89"/>
  </r>
  <r>
    <s v="eOMxkwaqNZH7Vznj6o6XTA4KJOvewbhnEVmgd"/>
    <s v="added"/>
    <n v="4417.45"/>
    <s v="Transfer, Debit"/>
    <s v="2024-05-03, 7:00:00 p.m."/>
    <s v="CAD"/>
    <m/>
    <x v="263"/>
    <s v="other"/>
    <b v="0"/>
    <s v="Xp8jezanNyTBNo6ARXRZC15L3R3pneidm16qE"/>
    <s v="RBC Staff Banking"/>
    <s v="RBC Royal Bank"/>
    <s v="debit"/>
    <x v="1"/>
    <x v="187"/>
    <x v="25"/>
    <b v="1"/>
    <n v="14532.989714285719"/>
    <n v="25434.52"/>
    <n v="14532.989714285719"/>
    <n v="4417.45"/>
  </r>
  <r>
    <s v="eOMxkwaqNZH7Vznj6o6XTA4KJOvewbhnEVmgd"/>
    <s v="added"/>
    <n v="-96"/>
    <s v="Transfer, Credit"/>
    <s v="2024-05-03, 7:00:00 p.m."/>
    <s v="CAD"/>
    <m/>
    <x v="264"/>
    <s v="other"/>
    <b v="0"/>
    <s v="NpJvYzRnNdTaNZ0XOMOATOvVAMAzaycoaM3vk"/>
    <s v="RBC Staff Banking"/>
    <s v="RBC Royal Bank"/>
    <s v="credit"/>
    <x v="5"/>
    <x v="187"/>
    <x v="25"/>
    <b v="1"/>
    <n v="-3209.0714285714284"/>
    <n v="-3266"/>
    <n v="-3209.0714285714284"/>
    <n v="-96"/>
  </r>
  <r>
    <s v="eOMxkwaqNZH7Vznj6o6XTA4KJOvewbhnEVmgd"/>
    <s v="added"/>
    <n v="15.97"/>
    <s v="Transfer, Billpay"/>
    <s v="2024-05-04, 7:00:00 p.m."/>
    <s v="CAD"/>
    <m/>
    <x v="155"/>
    <s v="other"/>
    <b v="0"/>
    <s v="pb4DZkp8zRTK7y0VqjqAT7DL9R9g16T3kMazq"/>
    <s v="RBC Staff Banking"/>
    <s v="RBC Royal Bank"/>
    <s v="debit"/>
    <x v="1"/>
    <x v="188"/>
    <x v="25"/>
    <b v="1"/>
    <n v="14532.989714285719"/>
    <n v="25434.52"/>
    <n v="14532.989714285719"/>
    <n v="15.97"/>
  </r>
  <r>
    <s v="NpJvYzRnNdTaNZ0XOMOATOvYmey8M7ioaPe7Y"/>
    <s v="added"/>
    <n v="4.5199999999999996"/>
    <s v="Food and Drink, Restaurants"/>
    <s v="2024-05-05, 7:00:00 p.m."/>
    <s v="CAD"/>
    <s v="New York Times"/>
    <x v="230"/>
    <s v="in store"/>
    <b v="0"/>
    <s v="yb6XYJp8zDT3z0Oj6P61uARdZPZBQ9IpNjaPp"/>
    <s v="WestJet RBC World Elite Mastercard"/>
    <s v="RBC Royal Bank"/>
    <s v="debit"/>
    <x v="22"/>
    <x v="189"/>
    <x v="25"/>
    <b v="1"/>
    <n v="23.11333333333333"/>
    <n v="32.409999999999997"/>
    <n v="23.11333333333333"/>
    <n v="4.5199999999999996"/>
  </r>
  <r>
    <s v="eOMxkwaqNZH7Vznj6o6XTA4KJOvewbhnEVmgd"/>
    <s v="added"/>
    <n v="-1063"/>
    <s v="Transfer, Credit"/>
    <s v="2024-05-06, 7:00:00 p.m."/>
    <s v="CAD"/>
    <m/>
    <x v="265"/>
    <s v="other"/>
    <b v="0"/>
    <s v="QpJ5ezRXNLTNEw45P1PjHB06jNjyxVFOmBJ0m"/>
    <s v="RBC Staff Banking"/>
    <s v="RBC Royal Bank"/>
    <s v="credit"/>
    <x v="2"/>
    <x v="190"/>
    <x v="25"/>
    <b v="1"/>
    <n v="-18125.097037037034"/>
    <n v="-22459.99"/>
    <n v="-18125.097037037034"/>
    <n v="-1063"/>
  </r>
  <r>
    <s v="eOMxkwaqNZH7Vznj6o6XTA4KJOvewbhnEVmgd"/>
    <s v="added"/>
    <n v="1047.03"/>
    <s v="Transfer, Debit"/>
    <s v="2024-05-06, 7:00:00 p.m."/>
    <s v="CAD"/>
    <m/>
    <x v="266"/>
    <s v="other"/>
    <b v="0"/>
    <s v="nN46JypjzMu8QYa5zKzrIVjazgznKqtBeP7Lr"/>
    <s v="RBC Staff Banking"/>
    <s v="RBC Royal Bank"/>
    <s v="debit"/>
    <x v="1"/>
    <x v="190"/>
    <x v="25"/>
    <b v="1"/>
    <n v="14532.989714285719"/>
    <n v="25434.52"/>
    <n v="14532.989714285719"/>
    <n v="1047.03"/>
  </r>
  <r>
    <s v="prmkQjxRzEikMOjvZwjyuky9emyqeau3VyE5V"/>
    <s v="added"/>
    <n v="3799.36"/>
    <s v="Transfer, Debit"/>
    <s v="2024-05-08, 7:00:00 p.m."/>
    <s v="CAD"/>
    <m/>
    <x v="248"/>
    <s v="other"/>
    <b v="0"/>
    <s v="76RevbxjPruxy9MmVXMkhdbMLvQpADf0mZrAy"/>
    <s v="Preferred Package"/>
    <s v="Scotiabank"/>
    <s v="debit"/>
    <x v="0"/>
    <x v="191"/>
    <x v="25"/>
    <b v="1"/>
    <n v="12589.494482758622"/>
    <n v="17658.5"/>
    <n v="12589.494482758622"/>
    <n v="3799.36"/>
  </r>
  <r>
    <s v="prmkQjxRzEikMOjvZwjyuky9emyqeau3VyE5V"/>
    <s v="added"/>
    <n v="-3799.36"/>
    <s v="Transfer, Deposit"/>
    <s v="2024-05-08, 7:00:00 p.m."/>
    <s v="CAD"/>
    <m/>
    <x v="249"/>
    <s v="other"/>
    <b v="0"/>
    <s v="9DJpjmx4BaTekEyAjoy3sNxQBKEakgHgbJzoY"/>
    <s v="Preferred Package"/>
    <s v="Scotiabank"/>
    <s v="credit"/>
    <x v="16"/>
    <x v="191"/>
    <x v="25"/>
    <b v="1"/>
    <n v="-12680.457777777781"/>
    <n v="-15758.130000000001"/>
    <n v="-12680.457777777781"/>
    <n v="-3799.36"/>
  </r>
  <r>
    <s v="NpJvYzRnNdTaNZ0XOMOATOvYmey8M7ioaPe7Y"/>
    <s v="added"/>
    <n v="-1058.6400000000001"/>
    <s v="Transfer, Credit"/>
    <s v="2024-05-08, 7:00:00 p.m."/>
    <s v="CAD"/>
    <m/>
    <x v="237"/>
    <s v="other"/>
    <b v="0"/>
    <s v="BXVyezjPrgSxXRna9M9wIa6ZRzRxy5S3YeNR4"/>
    <s v="WestJet RBC World Elite Mastercard"/>
    <s v="RBC Royal Bank"/>
    <s v="credit"/>
    <x v="1"/>
    <x v="191"/>
    <x v="25"/>
    <b v="1"/>
    <n v="14532.989714285719"/>
    <n v="25434.52"/>
    <n v="14532.989714285719"/>
    <n v="-1058.6400000000001"/>
  </r>
  <r>
    <s v="NpJvYzRnNdTaNZ0XOMOATOvYmey8M7ioaPe7Y"/>
    <s v="added"/>
    <n v="12.42"/>
    <s v="Shops"/>
    <s v="2024-05-08, 7:00:00 p.m."/>
    <s v="CAD"/>
    <s v="Hostinger"/>
    <x v="267"/>
    <s v="online"/>
    <b v="0"/>
    <s v="3XqR5pwB6kSDXQKBzEzJcMaOo4oy6qCopmLMK"/>
    <s v="WestJet RBC World Elite Mastercard"/>
    <s v="RBC Royal Bank"/>
    <s v="debit"/>
    <x v="25"/>
    <x v="191"/>
    <x v="25"/>
    <b v="1"/>
    <n v="6.21"/>
    <n v="12.42"/>
    <n v="6.21"/>
    <n v="12.42"/>
  </r>
  <r>
    <s v="eOMxkwaqNZH7Vznj6o6XTA4KJOvewbhnEVmgd"/>
    <s v="added"/>
    <n v="1058.6400000000001"/>
    <s v="Transfer, Debit"/>
    <s v="2024-05-10, 8:00:00 p.m."/>
    <s v="CAD"/>
    <m/>
    <x v="268"/>
    <s v="other"/>
    <b v="0"/>
    <s v="VpQOez8nNBT0NRm8n6nJCAgwebeLx8I4NAk7v"/>
    <s v="RBC Staff Banking"/>
    <s v="RBC Royal Bank"/>
    <s v="debit"/>
    <x v="0"/>
    <x v="192"/>
    <x v="25"/>
    <b v="1"/>
    <n v="12589.494482758622"/>
    <n v="17658.5"/>
    <n v="12589.494482758622"/>
    <n v="1058.6400000000001"/>
  </r>
  <r>
    <s v="eOMxkwaqNZH7Vznj6o6XTA4KJOvewbhnEVmgd"/>
    <s v="added"/>
    <n v="3799.36"/>
    <s v="Transfer, Debit"/>
    <s v="2024-05-10, 8:00:00 p.m."/>
    <s v="CAD"/>
    <m/>
    <x v="269"/>
    <s v="other"/>
    <b v="0"/>
    <s v="OpOQezXnNwT19bjmMBMvsZydewermjHxKB4J7"/>
    <s v="RBC Staff Banking"/>
    <s v="RBC Royal Bank"/>
    <s v="debit"/>
    <x v="1"/>
    <x v="192"/>
    <x v="25"/>
    <b v="1"/>
    <n v="14532.989714285719"/>
    <n v="25434.52"/>
    <n v="14532.989714285719"/>
    <n v="3799.36"/>
  </r>
  <r>
    <s v="eOMxkwaqNZH7Vznj6o6XTA4KJOvewbhnEVmgd"/>
    <s v="added"/>
    <n v="142"/>
    <s v="Transfer, Debit"/>
    <s v="2024-05-10, 8:00:00 p.m."/>
    <s v="CAD"/>
    <m/>
    <x v="270"/>
    <s v="other"/>
    <b v="0"/>
    <s v="MpJZezRn7XToeMmQ6r6kTn16EBE0qYUX3nPmJ"/>
    <s v="RBC Staff Banking"/>
    <s v="RBC Royal Bank"/>
    <s v="debit"/>
    <x v="0"/>
    <x v="192"/>
    <x v="25"/>
    <b v="1"/>
    <n v="12589.494482758622"/>
    <n v="17658.5"/>
    <n v="12589.494482758622"/>
    <n v="142"/>
  </r>
  <r>
    <s v="eOMxkwaqNZH7Vznj6o6XTA4KJOvewbhnEVmgd"/>
    <s v="added"/>
    <n v="-5000"/>
    <s v="Transfer, Credit"/>
    <s v="2024-05-10, 8:00:00 p.m."/>
    <s v="CAD"/>
    <m/>
    <x v="271"/>
    <s v="other"/>
    <b v="0"/>
    <s v="EpbNezRmxVTmn9PBE8EDupkeLoLVAqFQB0E1A"/>
    <s v="RBC Staff Banking"/>
    <s v="RBC Royal Bank"/>
    <s v="credit"/>
    <x v="2"/>
    <x v="192"/>
    <x v="25"/>
    <b v="1"/>
    <n v="-18125.097037037034"/>
    <n v="-22459.99"/>
    <n v="-18125.097037037034"/>
    <n v="-5000"/>
  </r>
  <r>
    <s v="eOMxkwaqNZH7Vznj6o6XTA4KJOvewbhnEVmgd"/>
    <s v="added"/>
    <n v="153.32"/>
    <s v="Service, Utilities, Electric"/>
    <s v="2024-05-10, 8:00:00 p.m."/>
    <s v="CAD"/>
    <s v="Hydro"/>
    <x v="152"/>
    <s v="online"/>
    <b v="0"/>
    <s v="RXJjezRnNDSkNOaAe7ersEnLvrvYJVTeDE1Az"/>
    <s v="RBC Staff Banking"/>
    <s v="RBC Royal Bank"/>
    <s v="debit"/>
    <x v="8"/>
    <x v="192"/>
    <x v="25"/>
    <b v="1"/>
    <n v="139.88333333333333"/>
    <n v="153.32"/>
    <n v="139.88333333333333"/>
    <n v="153.32"/>
  </r>
  <r>
    <s v="eOMxkwaqNZH7Vznj6o6XTA4KJOvewbhnEVmgd"/>
    <s v="added"/>
    <n v="5254.58"/>
    <s v="Transfer, Debit"/>
    <s v="2024-05-11, 8:00:00 p.m."/>
    <s v="CAD"/>
    <m/>
    <x v="272"/>
    <s v="other"/>
    <b v="0"/>
    <s v="gO8zvLa3NoHaQ0YpjAjgTz6VXpXoBwF81wAxx"/>
    <s v="RBC Staff Banking"/>
    <s v="RBC Royal Bank"/>
    <s v="debit"/>
    <x v="1"/>
    <x v="193"/>
    <x v="25"/>
    <b v="1"/>
    <n v="14532.989714285719"/>
    <n v="25434.52"/>
    <n v="14532.989714285719"/>
    <n v="5254.58"/>
  </r>
  <r>
    <s v="eOMxkwaqNZH7Vznj6o6XTA4KJOvewbhnEVmgd"/>
    <s v="added"/>
    <n v="-5407.9"/>
    <s v="Bank Fees, Foreign Transaction"/>
    <s v="2024-05-11, 8:00:00 p.m."/>
    <s v="CAD"/>
    <m/>
    <x v="273"/>
    <s v="other"/>
    <b v="0"/>
    <s v="7XKm7e1kPjSN8406PMPpHBo0MeMx7DF0mMYB1"/>
    <s v="RBC Staff Banking"/>
    <s v="RBC Royal Bank"/>
    <s v="credit"/>
    <x v="2"/>
    <x v="193"/>
    <x v="25"/>
    <b v="1"/>
    <n v="-18125.097037037034"/>
    <n v="-22459.99"/>
    <n v="-18125.097037037034"/>
    <n v="-5407.9"/>
  </r>
  <r>
    <s v="eOMxkwaqNZH7Vznj6o6XTA4KJOvewbhnEVmgd"/>
    <s v="added"/>
    <n v="153.29"/>
    <s v="Service, Utilities, Gas"/>
    <s v="2024-05-11, 8:00:00 p.m."/>
    <s v="CAD"/>
    <s v="Enbridge Gas"/>
    <x v="137"/>
    <s v="online"/>
    <b v="0"/>
    <s v="9XAwVpqvB4SJ7qVOnyngi8MeQAQZ5gfgbjype"/>
    <s v="RBC Staff Banking"/>
    <s v="RBC Royal Bank"/>
    <s v="debit"/>
    <x v="6"/>
    <x v="193"/>
    <x v="25"/>
    <b v="1"/>
    <n v="153.08333333333331"/>
    <n v="153.29"/>
    <n v="153.08333333333331"/>
    <n v="153.29"/>
  </r>
  <r>
    <s v="NpJvYzRnNdTaNZ0XOMOATOvYmey8M7ioaPe7Y"/>
    <s v="added"/>
    <n v="3.7"/>
    <s v="Travel, Public Transportation Services"/>
    <s v="2024-05-11, 8:00:00 p.m."/>
    <s v="CAD"/>
    <s v="Presto Fare"/>
    <x v="274"/>
    <s v="in store"/>
    <b v="0"/>
    <s v="PpbjezRnN6TVNZrBQMQ0UYbwr8rQ0VUoeYJ5d"/>
    <s v="WestJet RBC World Elite Mastercard"/>
    <s v="RBC Royal Bank"/>
    <s v="debit"/>
    <x v="23"/>
    <x v="193"/>
    <x v="25"/>
    <b v="1"/>
    <n v="11.100000000000001"/>
    <n v="3.7"/>
    <n v="11.100000000000001"/>
    <n v="3.7"/>
  </r>
  <r>
    <s v="NpJvYzRnNdTaNZ0XOMOATOvYmey8M7ioaPe7Y"/>
    <s v="added"/>
    <n v="-20.78"/>
    <s v="Shops, Digital Purchase"/>
    <s v="2024-05-11, 8:00:00 p.m."/>
    <s v="CAD"/>
    <s v="Amazon"/>
    <x v="227"/>
    <s v="other"/>
    <b v="0"/>
    <s v="qbx15Ap8zQTerAqKYXY1SVoqBrBmQLtDVyn5a"/>
    <s v="WestJet RBC World Elite Mastercard"/>
    <s v="RBC Royal Bank"/>
    <s v="credit"/>
    <x v="21"/>
    <x v="193"/>
    <x v="25"/>
    <b v="1"/>
    <n v="128.65625000000003"/>
    <n v="98.41"/>
    <n v="128.65625000000003"/>
    <n v="-20.78"/>
  </r>
  <r>
    <s v="prmkQjxRzEikMOjvZwjyuky9emyqeau3VyE5V"/>
    <s v="added"/>
    <n v="4846.71"/>
    <s v="Transfer, Debit"/>
    <s v="2024-05-13, 8:00:00 p.m."/>
    <s v="CAD"/>
    <m/>
    <x v="248"/>
    <s v="other"/>
    <b v="0"/>
    <s v="n0XyEVAMzOcoMmKkwEkBTrQkY77v7qfBreLeg"/>
    <s v="Preferred Package"/>
    <s v="Scotiabank"/>
    <s v="debit"/>
    <x v="0"/>
    <x v="194"/>
    <x v="25"/>
    <b v="1"/>
    <n v="12589.494482758622"/>
    <n v="17658.5"/>
    <n v="12589.494482758622"/>
    <n v="4846.71"/>
  </r>
  <r>
    <s v="prmkQjxRzEikMOjvZwjyuky9emyqeau3VyE5V"/>
    <s v="added"/>
    <n v="-4846.71"/>
    <s v="Transfer, Deposit"/>
    <s v="2024-05-13, 8:00:00 p.m."/>
    <s v="CAD"/>
    <m/>
    <x v="249"/>
    <s v="other"/>
    <b v="0"/>
    <s v="prmkQjxRzEikMOjvZwv4TkyvwQQxQ6u3vkzkb"/>
    <s v="Preferred Package"/>
    <s v="Scotiabank"/>
    <s v="credit"/>
    <x v="16"/>
    <x v="194"/>
    <x v="25"/>
    <b v="1"/>
    <n v="-12680.457777777781"/>
    <n v="-15758.130000000001"/>
    <n v="-12680.457777777781"/>
    <n v="-4846.71"/>
  </r>
  <r>
    <s v="eOMxkwaqNZH7Vznj6o6XTA4KJOvewbhnEVmgd"/>
    <s v="added"/>
    <n v="-5000"/>
    <s v="Transfer, Credit"/>
    <s v="2024-05-13, 8:00:00 p.m."/>
    <s v="CAD"/>
    <m/>
    <x v="275"/>
    <s v="other"/>
    <b v="0"/>
    <s v="oN4L8KpOzEuYrb1g4k4vTxr6RQRKA9H4jeO3Z"/>
    <s v="RBC Staff Banking"/>
    <s v="RBC Royal Bank"/>
    <s v="credit"/>
    <x v="2"/>
    <x v="194"/>
    <x v="25"/>
    <b v="1"/>
    <n v="-18125.097037037034"/>
    <n v="-22459.99"/>
    <n v="-18125.097037037034"/>
    <n v="-5000"/>
  </r>
  <r>
    <s v="eOMxkwaqNZH7Vznj6o6XTA4KJOvewbhnEVmgd"/>
    <s v="added"/>
    <n v="4846.71"/>
    <s v="Transfer, Debit"/>
    <s v="2024-05-13, 8:00:00 p.m."/>
    <s v="CAD"/>
    <m/>
    <x v="276"/>
    <s v="other"/>
    <b v="0"/>
    <s v="bp893zMDNxT90nm7Q5QEskAw0604pbUJ7y98a"/>
    <s v="RBC Staff Banking"/>
    <s v="RBC Royal Bank"/>
    <s v="debit"/>
    <x v="1"/>
    <x v="194"/>
    <x v="25"/>
    <b v="1"/>
    <n v="14532.989714285719"/>
    <n v="25434.52"/>
    <n v="14532.989714285719"/>
    <n v="4846.71"/>
  </r>
  <r>
    <s v="eOMxkwaqNZH7Vznj6o6XTA4KJOvewbhnEVmgd"/>
    <s v="added"/>
    <n v="-500"/>
    <s v="Transfer, Credit"/>
    <s v="2024-05-14, 8:00:00 p.m."/>
    <s v="CAD"/>
    <m/>
    <x v="277"/>
    <s v="other"/>
    <b v="0"/>
    <s v="aOmnBzRLeaHw07Ken5nMiKY3kBkdQ1c7Xk43z"/>
    <s v="RBC Staff Banking"/>
    <s v="RBC Royal Bank"/>
    <s v="credit"/>
    <x v="2"/>
    <x v="195"/>
    <x v="25"/>
    <b v="1"/>
    <n v="-18125.097037037034"/>
    <n v="-22459.99"/>
    <n v="-18125.097037037034"/>
    <n v="-500"/>
  </r>
  <r>
    <s v="eOMxkwaqNZH7Vznj6o6XTA4KJOvewbhnEVmgd"/>
    <s v="added"/>
    <n v="500"/>
    <s v="Transfer, Debit"/>
    <s v="2024-05-14, 8:00:00 p.m."/>
    <s v="CAD"/>
    <m/>
    <x v="278"/>
    <s v="other"/>
    <b v="0"/>
    <s v="xbwkYxX7zLT9rJvXa0a1swmxAqAyPEiOz0opg"/>
    <s v="RBC Staff Banking"/>
    <s v="RBC Royal Bank"/>
    <s v="debit"/>
    <x v="0"/>
    <x v="195"/>
    <x v="25"/>
    <b v="1"/>
    <n v="12589.494482758622"/>
    <n v="17658.5"/>
    <n v="12589.494482758622"/>
    <n v="500"/>
  </r>
  <r>
    <s v="eOMxkwaqNZH7Vznj6o6XTA4KJOvewbhnEVmgd"/>
    <s v="added"/>
    <n v="438.75"/>
    <s v="Service, Insurance"/>
    <s v="2024-05-14, 8:00:00 p.m."/>
    <s v="CAD"/>
    <s v="Insurance Belair Ins Ass."/>
    <x v="156"/>
    <s v="online"/>
    <b v="0"/>
    <s v="JpJrezRvoQTpmz9wbZb3IX5QjnjvKDUmwZk3V"/>
    <s v="RBC Staff Banking"/>
    <s v="RBC Royal Bank"/>
    <s v="debit"/>
    <x v="10"/>
    <x v="195"/>
    <x v="25"/>
    <b v="1"/>
    <n v="432.99599999999998"/>
    <n v="438.75"/>
    <n v="432.99599999999998"/>
    <n v="438.75"/>
  </r>
  <r>
    <s v="eOMxkwaqNZH7Vznj6o6XTA4KJOvewbhnEVmgd"/>
    <s v="added"/>
    <n v="324.55"/>
    <s v="Service, Financial, Loans and Mortgages"/>
    <s v="2024-05-14, 8:00:00 p.m."/>
    <s v="CAD"/>
    <s v="Personal Loan Spl"/>
    <x v="147"/>
    <s v="online"/>
    <b v="0"/>
    <s v="8ekd9pPAqrtQrAjep3pmc6bqLVLxr3UxaeZk9"/>
    <s v="RBC Staff Banking"/>
    <s v="RBC Royal Bank"/>
    <s v="debit"/>
    <x v="7"/>
    <x v="195"/>
    <x v="25"/>
    <b v="1"/>
    <n v="624.12818181818193"/>
    <n v="649.1"/>
    <n v="624.12818181818193"/>
    <n v="324.55"/>
  </r>
  <r>
    <s v="eOMxkwaqNZH7Vznj6o6XTA4KJOvewbhnEVmgd"/>
    <s v="added"/>
    <n v="65.7"/>
    <s v="Service, Insurance"/>
    <s v="2024-05-14, 8:00:00 p.m."/>
    <s v="CAD"/>
    <s v="Life Insurance Foresters"/>
    <x v="157"/>
    <s v="online"/>
    <b v="0"/>
    <s v="ZORJwzanNkHyVPDOemeocB61qaqrdpFb6BvPX"/>
    <s v="RBC Staff Banking"/>
    <s v="RBC Royal Bank"/>
    <s v="debit"/>
    <x v="11"/>
    <x v="195"/>
    <x v="25"/>
    <b v="1"/>
    <n v="65.7"/>
    <n v="65.7"/>
    <n v="65.7"/>
    <n v="65.7"/>
  </r>
  <r>
    <s v="eOMxkwaqNZH7Vznj6o6XTA4KJOvewbhnEVmgd"/>
    <s v="added"/>
    <n v="56.05"/>
    <s v="Service, Insurance"/>
    <s v="2024-05-14, 8:00:00 p.m."/>
    <s v="CAD"/>
    <s v="Insurance Belair Ins Ass."/>
    <x v="156"/>
    <s v="online"/>
    <b v="0"/>
    <s v="5X3rbpLyDvSjXnV1EPEZi9z6jLjpeQcwkPVm5"/>
    <s v="RBC Staff Banking"/>
    <s v="RBC Royal Bank"/>
    <s v="debit"/>
    <x v="12"/>
    <x v="195"/>
    <x v="25"/>
    <b v="1"/>
    <n v="57.905000000000001"/>
    <n v="56.05"/>
    <n v="57.905000000000001"/>
    <n v="56.05"/>
  </r>
  <r>
    <s v="prmkQjxRzEikMOjvZwjyuky9emyqeau3VyE5V"/>
    <s v="added"/>
    <n v="0.02"/>
    <s v="Bank Fees, Overdraft"/>
    <s v="2024-05-15, 8:00:00 p.m."/>
    <s v="CAD"/>
    <m/>
    <x v="160"/>
    <s v="other"/>
    <b v="0"/>
    <s v="d1ydZVL8NJC5KXp64E64Ud7V3Yqx8wfQY7PND"/>
    <s v="Preferred Package"/>
    <s v="Scotiabank"/>
    <s v="debit"/>
    <x v="13"/>
    <x v="196"/>
    <x v="25"/>
    <b v="1"/>
    <n v="2.5077777777777777"/>
    <n v="5.0999999999999996"/>
    <n v="2.5077777777777777"/>
    <n v="0.02"/>
  </r>
  <r>
    <s v="NpJvYzRnNdTaNZ0XOMOATOvYmey8M7ioaPe7Y"/>
    <s v="added"/>
    <n v="75"/>
    <s v="Shops, Digital Purchase"/>
    <s v="2024-05-15, 8:00:00 p.m."/>
    <s v="CAD"/>
    <s v="Amazon"/>
    <x v="227"/>
    <s v="online"/>
    <b v="0"/>
    <s v="1X148pJPdyS3OmV1M6MauzwxjpjmMEFnpdAre"/>
    <s v="WestJet RBC World Elite Mastercard"/>
    <s v="RBC Royal Bank"/>
    <s v="debit"/>
    <x v="21"/>
    <x v="196"/>
    <x v="25"/>
    <b v="1"/>
    <n v="128.65625000000003"/>
    <n v="98.41"/>
    <n v="128.65625000000003"/>
    <n v="75"/>
  </r>
  <r>
    <s v="NpJvYzRnNdTaNZ0XOMOATOvYmey8M7ioaPe7Y"/>
    <s v="added"/>
    <n v="-39.97"/>
    <s v="Shops, Digital Purchase"/>
    <s v="2024-05-16, 8:00:00 p.m."/>
    <s v="CAD"/>
    <s v="Amazon"/>
    <x v="227"/>
    <s v="other"/>
    <b v="0"/>
    <s v="DpYkezRBa9T69a1DqJqLC0n9LxLA1KIwD7gQe"/>
    <s v="WestJet RBC World Elite Mastercard"/>
    <s v="RBC Royal Bank"/>
    <s v="credit"/>
    <x v="21"/>
    <x v="197"/>
    <x v="25"/>
    <b v="1"/>
    <n v="128.65625000000003"/>
    <n v="98.41"/>
    <n v="128.65625000000003"/>
    <n v="-39.97"/>
  </r>
  <r>
    <s v="prmkQjxRzEikMOjvZwjyuky9emyqeau3VyE5V"/>
    <s v="added"/>
    <n v="-0.02"/>
    <s v="Transfer, Credit"/>
    <s v="2024-05-17, 8:00:00 p.m."/>
    <s v="CAD"/>
    <m/>
    <x v="279"/>
    <s v="other"/>
    <b v="0"/>
    <s v="wLqaPOR6zeixMYpeDBeZHPbdZA8aA4IRZONpB"/>
    <s v="Preferred Package"/>
    <s v="Scotiabank"/>
    <s v="credit"/>
    <x v="3"/>
    <x v="198"/>
    <x v="25"/>
    <b v="1"/>
    <n v="-333.34666666666664"/>
    <n v="-0.02"/>
    <n v="-333.34666666666664"/>
    <n v="-0.02"/>
  </r>
  <r>
    <s v="eOMxkwaqNZH7Vznj6o6XTA4KJOvewbhnEVmgd"/>
    <s v="added"/>
    <n v="-800"/>
    <s v="Transfer, Credit"/>
    <s v="2024-05-17, 8:00:00 p.m."/>
    <s v="CAD"/>
    <m/>
    <x v="280"/>
    <s v="other"/>
    <b v="0"/>
    <s v="rb4Povp8znTzYwXg9A9rIP8XjZjYNEfVm4bje"/>
    <s v="RBC Staff Banking"/>
    <s v="RBC Royal Bank"/>
    <s v="credit"/>
    <x v="5"/>
    <x v="198"/>
    <x v="25"/>
    <b v="1"/>
    <n v="-3209.0714285714284"/>
    <n v="-3266"/>
    <n v="-3209.0714285714284"/>
    <n v="-800"/>
  </r>
  <r>
    <s v="eOMxkwaqNZH7Vznj6o6XTA4KJOvewbhnEVmgd"/>
    <s v="added"/>
    <n v="-3489.09"/>
    <s v="Transfer, Credit"/>
    <s v="2024-05-17, 8:00:00 p.m."/>
    <s v="CAD"/>
    <m/>
    <x v="281"/>
    <s v="other"/>
    <b v="0"/>
    <s v="4XBJop63LASgpJk40108SNXLgEgZy9tRb5qz7"/>
    <s v="RBC Staff Banking"/>
    <s v="RBC Royal Bank"/>
    <s v="credit"/>
    <x v="2"/>
    <x v="198"/>
    <x v="25"/>
    <b v="1"/>
    <n v="-18125.097037037034"/>
    <n v="-22459.99"/>
    <n v="-18125.097037037034"/>
    <n v="-3489.09"/>
  </r>
  <r>
    <s v="eOMxkwaqNZH7Vznj6o6XTA4KJOvewbhnEVmgd"/>
    <s v="added"/>
    <n v="5.08"/>
    <s v="Bank Fees, Overdraft"/>
    <s v="2024-05-18, 8:00:00 p.m."/>
    <s v="CAD"/>
    <m/>
    <x v="160"/>
    <s v="other"/>
    <b v="0"/>
    <s v="jOoXrPpkN7HKQmxMzAzLTXv3wRw4xMUeNP3k3"/>
    <s v="RBC Staff Banking"/>
    <s v="RBC Royal Bank"/>
    <s v="debit"/>
    <x v="13"/>
    <x v="199"/>
    <x v="25"/>
    <b v="1"/>
    <n v="2.5077777777777777"/>
    <n v="5.0999999999999996"/>
    <n v="2.5077777777777777"/>
    <n v="5.08"/>
  </r>
  <r>
    <s v="prmkQjxRzEikMOjvZwjyuky9emyqeau3VyE5V"/>
    <s v="added"/>
    <n v="5870"/>
    <s v="Transfer, Debit"/>
    <s v="2024-05-20, 8:00:00 p.m."/>
    <s v="CAD"/>
    <m/>
    <x v="248"/>
    <s v="other"/>
    <b v="0"/>
    <s v="y1RJB94DzwC5MgPZXyZYIAYNNv3KKnCpJEJPg"/>
    <s v="Preferred Package"/>
    <s v="Scotiabank"/>
    <s v="debit"/>
    <x v="0"/>
    <x v="200"/>
    <x v="25"/>
    <b v="1"/>
    <n v="12589.494482758622"/>
    <n v="17658.5"/>
    <n v="12589.494482758622"/>
    <n v="5870"/>
  </r>
  <r>
    <s v="prmkQjxRzEikMOjvZwjyuky9emyqeau3VyE5V"/>
    <s v="added"/>
    <n v="-7112.06"/>
    <s v="Transfer, Deposit"/>
    <s v="2024-05-20, 8:00:00 p.m."/>
    <s v="CAD"/>
    <m/>
    <x v="249"/>
    <s v="other"/>
    <b v="0"/>
    <s v="KgQzRaPnbpcqpxDV93VOIxLkkYn55ZtEzMzK1"/>
    <s v="Preferred Package"/>
    <s v="Scotiabank"/>
    <s v="credit"/>
    <x v="16"/>
    <x v="200"/>
    <x v="25"/>
    <b v="1"/>
    <n v="-12680.457777777781"/>
    <n v="-15758.130000000001"/>
    <n v="-12680.457777777781"/>
    <n v="-7112.06"/>
  </r>
  <r>
    <s v="eOMxkwaqNZH7Vznj6o6XTA4KJOvewbhnEVmgd"/>
    <s v="added"/>
    <n v="7112.06"/>
    <s v="Transfer, Debit"/>
    <s v="2024-05-20, 8:00:00 p.m."/>
    <s v="CAD"/>
    <m/>
    <x v="282"/>
    <s v="other"/>
    <b v="0"/>
    <s v="vbVy94p8zwTZVRYD787pCbvx1o1kpAUV31gPY"/>
    <s v="RBC Staff Banking"/>
    <s v="RBC Royal Bank"/>
    <s v="debit"/>
    <x v="1"/>
    <x v="200"/>
    <x v="25"/>
    <b v="1"/>
    <n v="14532.989714285719"/>
    <n v="25434.52"/>
    <n v="14532.989714285719"/>
    <n v="7112.06"/>
  </r>
  <r>
    <s v="eOMxkwaqNZH7Vznj6o6XTA4KJOvewbhnEVmgd"/>
    <s v="added"/>
    <n v="-3713.1"/>
    <s v="Tax, Refund"/>
    <s v="2024-05-20, 8:00:00 p.m."/>
    <s v="CAD"/>
    <s v="Canada"/>
    <x v="283"/>
    <s v="in store"/>
    <b v="0"/>
    <s v="0XDrJpO173S7XKVnMwM4TZOr7a7o09HANnJB5"/>
    <s v="RBC Staff Banking"/>
    <s v="RBC Royal Bank"/>
    <s v="credit"/>
    <x v="26"/>
    <x v="200"/>
    <x v="25"/>
    <b v="1"/>
    <n v="-3713.1"/>
    <n v="-3713.1"/>
    <n v="-3713.1"/>
    <n v="-3713.1"/>
  </r>
  <r>
    <s v="NpJvYzRnNdTaNZ0XOMOATOvYmey8M7ioaPe7Y"/>
    <s v="added"/>
    <n v="84.16"/>
    <s v="Shops, Digital Purchase"/>
    <s v="2024-05-24, 8:00:00 p.m."/>
    <s v="CAD"/>
    <s v="Amazon"/>
    <x v="227"/>
    <s v="online"/>
    <b v="0"/>
    <s v="kObx4qpAm9HOVm5g9D9QfdpqpVzYvgfoqpyob"/>
    <s v="WestJet RBC World Elite Mastercard"/>
    <s v="RBC Royal Bank"/>
    <s v="debit"/>
    <x v="21"/>
    <x v="201"/>
    <x v="25"/>
    <b v="1"/>
    <n v="128.65625000000003"/>
    <n v="98.41"/>
    <n v="128.65625000000003"/>
    <n v="84.16"/>
  </r>
  <r>
    <s v="prmkQjxRzEikMOjvZwjyuky9emyqeau3VyE5V"/>
    <s v="added"/>
    <n v="1241.79"/>
    <s v="Transfer, Debit"/>
    <s v="2024-05-27, 8:00:00 p.m."/>
    <s v="CAD"/>
    <s v="Pad Ccra Canada"/>
    <x v="284"/>
    <s v="in store"/>
    <b v="0"/>
    <s v="gBkLbVPoN5cEvnA1K41vHB4M86enx4C81ym33"/>
    <s v="Preferred Package"/>
    <s v="Scotiabank"/>
    <s v="debit"/>
    <x v="0"/>
    <x v="202"/>
    <x v="25"/>
    <b v="0"/>
    <n v="12589.494482758622"/>
    <n v="17658.5"/>
    <n v="12589.494482758622"/>
    <n v="1241.79"/>
  </r>
  <r>
    <s v="eOMxkwaqNZH7Vznj6o6XTA4KJOvewbhnEVmgd"/>
    <s v="added"/>
    <n v="-2000"/>
    <s v="Transfer, Credit"/>
    <s v="2024-05-31, 8:00:00 p.m."/>
    <s v="CAD"/>
    <m/>
    <x v="285"/>
    <s v="other"/>
    <b v="0"/>
    <s v="EpbNezRmxVTmn9PBE8bzU8wyAA3kRNCQbqwMB"/>
    <s v="RBC Staff Banking"/>
    <s v="RBC Royal Bank"/>
    <s v="credit"/>
    <x v="2"/>
    <x v="203"/>
    <x v="25"/>
    <b v="0"/>
    <n v="-18125.097037037034"/>
    <n v="-22459.99"/>
    <n v="-18125.097037037034"/>
    <n v="-2000"/>
  </r>
  <r>
    <s v="eOMxkwaqNZH7Vznj6o6XTA4KJOvewbhnEVmgd"/>
    <s v="added"/>
    <n v="-1000"/>
    <s v="Transfer, Credit"/>
    <s v="2024-05-31, 8:00:00 p.m."/>
    <s v="CAD"/>
    <m/>
    <x v="286"/>
    <s v="other"/>
    <b v="0"/>
    <s v="RXJjezRnNDSkNOaAe7ZwUkNoJJynaPUemr80O"/>
    <s v="RBC Staff Banking"/>
    <s v="RBC Royal Bank"/>
    <s v="credit"/>
    <x v="5"/>
    <x v="203"/>
    <x v="25"/>
    <b v="0"/>
    <n v="-3209.0714285714284"/>
    <n v="-3266"/>
    <n v="-3209.0714285714284"/>
    <n v="-1000"/>
  </r>
  <r>
    <s v="eOMxkwaqNZH7Vznj6o6XTA4KJOvewbhnEVmgd"/>
    <s v="added"/>
    <n v="3690"/>
    <s v="Transfer, Debit"/>
    <s v="2024-05-31, 8:00:00 p.m."/>
    <s v="CAD"/>
    <m/>
    <x v="287"/>
    <s v="other"/>
    <b v="0"/>
    <s v="QpJ5ezRXNLTNEw45P1yXTmK7xxL0v8sOqokvX"/>
    <s v="RBC Staff Banking"/>
    <s v="RBC Royal Bank"/>
    <s v="debit"/>
    <x v="14"/>
    <x v="203"/>
    <x v="25"/>
    <b v="0"/>
    <n v="5076"/>
    <n v="3690"/>
    <n v="5076"/>
    <n v="3690"/>
  </r>
  <r>
    <s v="eOMxkwaqNZH7Vznj6o6XTA4KJOvewbhnEVmgd"/>
    <s v="added"/>
    <n v="200"/>
    <s v="Transfer, Debit"/>
    <s v="2024-05-31, 8:00:00 p.m."/>
    <s v="CAD"/>
    <m/>
    <x v="288"/>
    <s v="other"/>
    <b v="0"/>
    <s v="nN46JypjzMu8QYa5zKgxUv73KKNjoxtBvX8gz"/>
    <s v="RBC Staff Banking"/>
    <s v="RBC Royal Bank"/>
    <s v="debit"/>
    <x v="0"/>
    <x v="203"/>
    <x v="25"/>
    <b v="0"/>
    <n v="12589.494482758622"/>
    <n v="17658.5"/>
    <n v="12589.494482758622"/>
    <n v="200"/>
  </r>
  <r>
    <s v="eOMxkwaqNZH7Vznj6o6XTA4KJOvewbhnEVmgd"/>
    <s v="added"/>
    <n v="-1370"/>
    <s v="Transfer, Credit"/>
    <s v="2024-05-31, 8:00:00 p.m."/>
    <s v="CAD"/>
    <m/>
    <x v="289"/>
    <s v="other"/>
    <b v="0"/>
    <s v="pb4DZkp8zRTK7y0Vqj39UxQN11jDPXH3xLOg8"/>
    <s v="RBC Staff Banking"/>
    <s v="RBC Royal Bank"/>
    <s v="credit"/>
    <x v="5"/>
    <x v="203"/>
    <x v="25"/>
    <b v="0"/>
    <n v="-3209.0714285714284"/>
    <n v="-3266"/>
    <n v="-3209.0714285714284"/>
    <n v="-1370"/>
  </r>
  <r>
    <s v="eOMxkwaqNZH7Vznj6o6XTA4KJOvewbhnEVmgd"/>
    <s v="added"/>
    <n v="324.55"/>
    <s v="Service, Financial, Loans and Mortgages"/>
    <s v="2024-05-31, 8:00:00 p.m."/>
    <s v="CAD"/>
    <s v="Personal Loan Spl"/>
    <x v="147"/>
    <s v="online"/>
    <b v="0"/>
    <s v="Xp8jezanNyTBNo6ARXnmSVkKnn75BYfdLj75g"/>
    <s v="RBC Staff Banking"/>
    <s v="RBC Royal Bank"/>
    <s v="debit"/>
    <x v="7"/>
    <x v="203"/>
    <x v="25"/>
    <b v="0"/>
    <n v="624.12818181818193"/>
    <n v="649.1"/>
    <n v="624.12818181818193"/>
    <n v="324.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E2FF5-7303-48C8-8138-5C333B340DF8}" name="PivotTable2" cacheId="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>
  <location ref="A4:C32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axis="axisRow" showAll="0">
      <items count="304">
        <item x="253"/>
        <item x="227"/>
        <item x="297"/>
        <item x="224"/>
        <item x="241"/>
        <item x="262"/>
        <item x="222"/>
        <item x="223"/>
        <item x="154"/>
        <item x="244"/>
        <item x="279"/>
        <item x="248"/>
        <item x="209"/>
        <item x="249"/>
        <item x="70"/>
        <item x="231"/>
        <item x="226"/>
        <item x="289"/>
        <item x="197"/>
        <item x="158"/>
        <item x="90"/>
        <item x="99"/>
        <item x="217"/>
        <item x="204"/>
        <item x="184"/>
        <item x="172"/>
        <item x="261"/>
        <item x="280"/>
        <item x="73"/>
        <item x="143"/>
        <item x="107"/>
        <item x="95"/>
        <item x="101"/>
        <item x="144"/>
        <item x="219"/>
        <item x="257"/>
        <item x="173"/>
        <item x="286"/>
        <item x="264"/>
        <item x="206"/>
        <item x="188"/>
        <item x="49"/>
        <item x="88"/>
        <item x="106"/>
        <item x="127"/>
        <item x="122"/>
        <item x="117"/>
        <item x="97"/>
        <item x="120"/>
        <item x="110"/>
        <item x="199"/>
        <item x="116"/>
        <item x="125"/>
        <item x="129"/>
        <item x="114"/>
        <item x="66"/>
        <item x="135"/>
        <item x="133"/>
        <item x="163"/>
        <item x="165"/>
        <item x="150"/>
        <item x="141"/>
        <item x="179"/>
        <item x="131"/>
        <item x="136"/>
        <item x="178"/>
        <item x="139"/>
        <item x="123"/>
        <item x="208"/>
        <item x="259"/>
        <item x="94"/>
        <item x="86"/>
        <item x="142"/>
        <item x="81"/>
        <item x="145"/>
        <item x="52"/>
        <item x="211"/>
        <item x="170"/>
        <item x="186"/>
        <item x="287"/>
        <item x="218"/>
        <item x="207"/>
        <item x="258"/>
        <item x="164"/>
        <item x="151"/>
        <item x="187"/>
        <item x="195"/>
        <item x="205"/>
        <item x="103"/>
        <item x="203"/>
        <item x="30"/>
        <item x="288"/>
        <item x="291"/>
        <item x="278"/>
        <item x="251"/>
        <item x="9"/>
        <item x="69"/>
        <item x="171"/>
        <item x="2"/>
        <item m="1" x="300"/>
        <item x="272"/>
        <item x="175"/>
        <item x="214"/>
        <item x="193"/>
        <item x="111"/>
        <item x="252"/>
        <item x="198"/>
        <item x="235"/>
        <item x="185"/>
        <item m="1" x="298"/>
        <item x="246"/>
        <item x="269"/>
        <item x="255"/>
        <item x="282"/>
        <item x="276"/>
        <item x="161"/>
        <item x="270"/>
        <item x="3"/>
        <item x="4"/>
        <item x="263"/>
        <item x="216"/>
        <item x="189"/>
        <item x="153"/>
        <item x="177"/>
        <item x="169"/>
        <item x="295"/>
        <item x="266"/>
        <item x="212"/>
        <item x="183"/>
        <item x="182"/>
        <item x="267"/>
        <item x="152"/>
        <item x="156"/>
        <item x="157"/>
        <item x="239"/>
        <item x="155"/>
        <item x="167"/>
        <item x="168"/>
        <item x="149"/>
        <item x="134"/>
        <item x="213"/>
        <item x="31"/>
        <item x="146"/>
        <item x="10"/>
        <item x="79"/>
        <item x="92"/>
        <item x="100"/>
        <item x="234"/>
        <item x="124"/>
        <item x="200"/>
        <item x="132"/>
        <item x="273"/>
        <item x="159"/>
        <item x="33"/>
        <item x="104"/>
        <item x="138"/>
        <item x="190"/>
        <item x="194"/>
        <item x="293"/>
        <item x="77"/>
        <item x="108"/>
        <item x="93"/>
        <item x="202"/>
        <item x="119"/>
        <item x="1"/>
        <item x="13"/>
        <item x="174"/>
        <item x="292"/>
        <item x="105"/>
        <item x="24"/>
        <item x="118"/>
        <item x="17"/>
        <item x="72"/>
        <item x="85"/>
        <item x="89"/>
        <item x="50"/>
        <item x="21"/>
        <item x="102"/>
        <item x="87"/>
        <item x="78"/>
        <item x="75"/>
        <item x="38"/>
        <item x="236"/>
        <item x="32"/>
        <item m="1" x="301"/>
        <item x="84"/>
        <item x="82"/>
        <item x="113"/>
        <item x="74"/>
        <item x="115"/>
        <item x="12"/>
        <item x="65"/>
        <item x="80"/>
        <item x="98"/>
        <item x="121"/>
        <item x="64"/>
        <item x="68"/>
        <item x="43"/>
        <item x="83"/>
        <item x="192"/>
        <item x="71"/>
        <item x="44"/>
        <item x="130"/>
        <item x="162"/>
        <item x="96"/>
        <item x="210"/>
        <item x="221"/>
        <item x="126"/>
        <item x="19"/>
        <item x="268"/>
        <item x="51"/>
        <item x="128"/>
        <item x="59"/>
        <item x="140"/>
        <item x="148"/>
        <item x="0"/>
        <item x="91"/>
        <item m="1" x="299"/>
        <item x="76"/>
        <item x="109"/>
        <item x="55"/>
        <item x="53"/>
        <item x="26"/>
        <item x="58"/>
        <item x="112"/>
        <item x="41"/>
        <item x="215"/>
        <item x="16"/>
        <item x="48"/>
        <item x="47"/>
        <item x="37"/>
        <item x="15"/>
        <item x="191"/>
        <item x="265"/>
        <item x="28"/>
        <item x="277"/>
        <item x="281"/>
        <item x="57"/>
        <item x="27"/>
        <item x="6"/>
        <item x="181"/>
        <item x="29"/>
        <item x="20"/>
        <item x="62"/>
        <item x="11"/>
        <item x="34"/>
        <item x="14"/>
        <item x="275"/>
        <item x="67"/>
        <item x="250"/>
        <item x="23"/>
        <item x="22"/>
        <item x="36"/>
        <item x="61"/>
        <item x="7"/>
        <item x="196"/>
        <item x="5"/>
        <item m="1" x="302"/>
        <item x="254"/>
        <item x="42"/>
        <item x="294"/>
        <item x="46"/>
        <item x="201"/>
        <item x="296"/>
        <item x="39"/>
        <item x="18"/>
        <item x="290"/>
        <item x="25"/>
        <item x="247"/>
        <item x="40"/>
        <item x="45"/>
        <item x="8"/>
        <item x="63"/>
        <item x="220"/>
        <item x="56"/>
        <item x="180"/>
        <item x="35"/>
        <item x="54"/>
        <item x="260"/>
        <item x="60"/>
        <item x="285"/>
        <item x="271"/>
        <item x="166"/>
        <item x="160"/>
        <item x="284"/>
        <item x="237"/>
        <item x="147"/>
        <item x="228"/>
        <item x="274"/>
        <item x="243"/>
        <item x="240"/>
        <item x="245"/>
        <item x="256"/>
        <item x="238"/>
        <item x="283"/>
        <item x="176"/>
        <item x="230"/>
        <item x="242"/>
        <item x="225"/>
        <item x="229"/>
        <item x="233"/>
        <item x="137"/>
        <item x="23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29">
        <item sd="0" m="1" x="27"/>
        <item sd="0" x="13"/>
        <item sd="0" x="25"/>
        <item sd="0" x="24"/>
        <item sd="0" x="18"/>
        <item sd="0" x="17"/>
        <item sd="0" x="21"/>
        <item sd="0" x="4"/>
        <item sd="0" x="5"/>
        <item sd="0" x="2"/>
        <item sd="0" x="26"/>
        <item sd="0" x="10"/>
        <item sd="0" x="12"/>
        <item sd="0" x="11"/>
        <item sd="0" x="7"/>
        <item sd="0" x="14"/>
        <item sd="0" x="22"/>
        <item sd="0" x="3"/>
        <item sd="0" x="0"/>
        <item sd="0" x="16"/>
        <item sd="0" x="9"/>
        <item sd="0" x="20"/>
        <item sd="0" x="1"/>
        <item sd="0" x="19"/>
        <item sd="0" x="23"/>
        <item sd="0" x="8"/>
        <item sd="0" x="6"/>
        <item sd="0" x="15"/>
        <item t="default" sd="0"/>
      </items>
    </pivotField>
    <pivotField numFmtId="14" showAll="0">
      <items count="2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91"/>
        <item x="194"/>
        <item x="196"/>
        <item x="198"/>
        <item x="200"/>
        <item x="202"/>
        <item x="199"/>
        <item x="195"/>
        <item x="193"/>
        <item x="192"/>
        <item x="190"/>
        <item x="188"/>
        <item x="187"/>
        <item x="203"/>
        <item x="197"/>
        <item x="189"/>
        <item x="186"/>
        <item x="201"/>
        <item t="default"/>
      </items>
    </pivotField>
    <pivotField numFmtId="14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dataField="1"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x="4"/>
        <item x="5"/>
        <item x="6"/>
        <item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x="1"/>
        <item sd="0" x="2"/>
        <item sd="0" x="3"/>
        <item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6">
        <item sd="0" x="0"/>
        <item sd="0" x="1"/>
        <item sd="0" x="2"/>
        <item x="3"/>
        <item x="4"/>
        <item t="default"/>
      </items>
    </pivotField>
  </pivotFields>
  <rowFields count="2">
    <field x="14"/>
    <field x="7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6M Average" fld="18" subtotal="max" baseField="14" baseItem="3" numFmtId="164"/>
    <dataField name=" Budget" fld="20" subtotal="max" baseField="14" baseItem="4" numFmtId="164"/>
  </dataFields>
  <formats count="2"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342AE-9F64-43E9-9C24-D278F10FA61B}" name="Custom_Cat" displayName="Custom_Cat" ref="L2:N34" totalsRowShown="0">
  <autoFilter ref="L2:N34" xr:uid="{3AA342AE-9F64-43E9-9C24-D278F10FA61B}"/>
  <tableColumns count="3">
    <tableColumn id="2" xr3:uid="{1DE10980-B7CE-4858-9F8C-668E469FEF7B}" name="Name"/>
    <tableColumn id="5" xr3:uid="{87AE3E96-121A-4029-9F8F-CAA20184F5F6}" name="Amount"/>
    <tableColumn id="6" xr3:uid="{D16A0D9C-D130-444A-A9FB-9227E20F4C4E}" name="Custom Category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B6DAEB-14C8-4F77-BCBD-9F35CCD9BA6B}" name="Budgets" displayName="Budgets" ref="G2:J4" totalsRowShown="0">
  <autoFilter ref="G2:J4" xr:uid="{97B6DAEB-14C8-4F77-BCBD-9F35CCD9BA6B}"/>
  <tableColumns count="4">
    <tableColumn id="2" xr3:uid="{3EC0B0AB-A09B-4166-B91A-F77A3697F501}" name="Custom Category"/>
    <tableColumn id="5" xr3:uid="{29B6E52D-18A5-4228-9BE9-F028F8440B9A}" name="Frequency"/>
    <tableColumn id="1" xr3:uid="{5C3B8725-4D93-4109-A2E9-FADB1B0D406A}" name="Amount" dataDxfId="14" dataCellStyle="Currency"/>
    <tableColumn id="3" xr3:uid="{FF2DA77A-5C08-472C-A461-1685E195818E}" name="Monthly" dataDxfId="13">
      <calculatedColumnFormula>Budgets[[#This Row],[Amount]]*_xlfn.XLOOKUP(Budgets[[#This Row],[Frequency]],Frequency[Frequency],Frequency[Factor],1,0)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CC42E-E872-4757-9A7B-95D0F2C6FCA1}" name="Accounts" displayName="Accounts" ref="A1:I27" totalsRowShown="0">
  <autoFilter ref="A1:I27" xr:uid="{D30CC42E-E872-4757-9A7B-95D0F2C6FCA1}"/>
  <tableColumns count="9">
    <tableColumn id="1" xr3:uid="{1C1F973D-7421-4E9E-A33C-5EC6AF57D061}" name="Institution Name"/>
    <tableColumn id="2" xr3:uid="{88739272-A437-45B3-AB08-442D6CE6422B}" name="Credential ID"/>
    <tableColumn id="3" xr3:uid="{DA4E3341-0413-4F1B-8A87-24EEF0A2789A}" name="Next Cursor"/>
    <tableColumn id="4" xr3:uid="{ECB3AE42-9C04-4AD7-8114-D0CE777DB9B9}" name="Balance"/>
    <tableColumn id="5" xr3:uid="{5ECD8CD2-CE7E-488B-AD87-C9937FFEE2E0}" name="Mask"/>
    <tableColumn id="6" xr3:uid="{AF743B31-A08D-40F9-89EC-3D5255949E9A}" name="Name"/>
    <tableColumn id="7" xr3:uid="{1C59C5AC-7623-40CD-95A7-98B4BF158C01}" name="Plaid Account ID"/>
    <tableColumn id="8" xr3:uid="{2A4A4452-2CAA-435C-8FCE-D44344540866}" name="Subtype"/>
    <tableColumn id="9" xr3:uid="{874F2CFA-78B9-45D3-9C90-FC93D3E12F49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D1956-10E9-47C2-94E2-17878B56C857}" name="Transactions" displayName="Transactions" ref="A1:V502" totalsRowShown="0">
  <autoFilter ref="A1:V502" xr:uid="{9C1D1956-10E9-47C2-94E2-17878B56C857}"/>
  <tableColumns count="22">
    <tableColumn id="1" xr3:uid="{51422D36-8608-402D-9556-E21ADF235E19}" name="Account ID"/>
    <tableColumn id="2" xr3:uid="{70D00C6D-82FC-44EA-A188-8DD337183763}" name="Action"/>
    <tableColumn id="3" xr3:uid="{8A8261D0-0207-43EC-8022-AB0EEF2AD790}" name="Amount"/>
    <tableColumn id="4" xr3:uid="{4CA7917F-D21A-40C7-8E8E-D46E718BFB4A}" name="Categories"/>
    <tableColumn id="5" xr3:uid="{7903BA1D-30C3-442F-A72E-5B308B722F7F}" name="Date"/>
    <tableColumn id="6" xr3:uid="{E52EABFC-6041-4F1E-9E9E-16E710A8C058}" name="ISO Currency Code"/>
    <tableColumn id="7" xr3:uid="{BD48680A-5F96-4A54-B799-B9D32BA9DFA8}" name="Merchant Name"/>
    <tableColumn id="8" xr3:uid="{9863C03B-47E9-4B7F-AD43-12D173B61697}" name="Name"/>
    <tableColumn id="9" xr3:uid="{8809F606-8D59-48E1-9DA3-8D175347E23A}" name="Payment Channel"/>
    <tableColumn id="10" xr3:uid="{E12A8AEC-3150-482F-A321-E8C64CE312E2}" name="Pending"/>
    <tableColumn id="11" xr3:uid="{E99C4E9D-5566-4001-812B-BA0744191FBD}" name="Transaction ID"/>
    <tableColumn id="12" xr3:uid="{F15D2B2F-3ECF-4B44-B153-7021FFA8E60C}" name="Account Name" dataDxfId="12">
      <calculatedColumnFormula>_xlfn.XLOOKUP(Transactions[[#This Row],[Account ID]],Accounts[Plaid Account ID],Accounts[Name],"Not Found",0)</calculatedColumnFormula>
    </tableColumn>
    <tableColumn id="13" xr3:uid="{8E174EF5-A9D6-42F7-AB5D-D912A144E77B}" name="Bank" dataDxfId="11">
      <calculatedColumnFormula>_xlfn.XLOOKUP(Transactions[[#This Row],[Account ID]],Accounts[Plaid Account ID],Accounts[Institution Name],"Not Found",0)</calculatedColumnFormula>
    </tableColumn>
    <tableColumn id="15" xr3:uid="{7184C2C1-CC86-4ADF-B1EA-DAA18A3DBCFD}" name="Operation" dataDxfId="10">
      <calculatedColumnFormula>IF(Transactions[[#This Row],[Amount]]&lt;0,"credit","debit")</calculatedColumnFormula>
    </tableColumn>
    <tableColumn id="14" xr3:uid="{63F95195-6109-4F2E-B0D6-A0CB6C7B9505}" name="Custom Category" dataDxfId="9">
      <calculatedColumnFormula array="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calculatedColumnFormula>
    </tableColumn>
    <tableColumn id="16" xr3:uid="{27066D41-1BF1-4973-BB0A-2BAA6E9C038E}" name="Datetime" dataDxfId="8">
      <calculatedColumnFormula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calculatedColumnFormula>
    </tableColumn>
    <tableColumn id="19" xr3:uid="{B93D5812-027F-4158-855E-DF1B2AC36DA5}" name="Month" dataDxfId="7">
      <calculatedColumnFormula>DATE(YEAR(Transactions[[#This Row],[Datetime]]),MONTH(Transactions[[#This Row],[Datetime]]),1)</calculatedColumnFormula>
    </tableColumn>
    <tableColumn id="17" xr3:uid="{6992B076-C5E4-4386-B486-B5CCF9425AA7}" name="Recent" dataDxfId="6">
      <calculatedColumnFormula>AND(Transactions[[#This Row],[Datetime]]&gt;=EDATE(MAX(Transactions[Datetime]),-6),Transactions[[#This Row],[Datetime]]&lt;=TODAY())</calculatedColumnFormula>
    </tableColumn>
    <tableColumn id="21" xr3:uid="{FD248E00-CFDF-4194-8637-1627E9D25D38}" name="6M AVG" dataDxfId="5" dataCellStyle="Currency">
      <calculatedColumnFormula>AVERAGEIFS(Transactions[Month''s Total],Transactions[Recent],TRUE,Transactions[Custom Category],Transactions[[#This Row],[Custom Category]])</calculatedColumnFormula>
    </tableColumn>
    <tableColumn id="18" xr3:uid="{FB0F68A0-09BE-4DFC-9D8C-F2F45CE00EC7}" name="Month's Total" dataDxfId="4">
      <calculatedColumnFormula>SUMIFS(Transactions[Amount],Transactions[Month],Transactions[[#This Row],[Month]],Transactions[Custom Category],Transactions[[#This Row],[Custom Category]])</calculatedColumnFormula>
    </tableColumn>
    <tableColumn id="20" xr3:uid="{6DF09082-20C1-468F-A4B4-4F5E30F307D9}" name="Budget" dataDxfId="3">
      <calculatedColumnFormula>IF(COUNTIF(Budgets[Custom Category],Transactions[[#This Row],[Custom Category]])=0,Transactions[[#This Row],[6M AVG]],_xlfn.XLOOKUP(Transactions[[#This Row],[Custom Category]],Budgets[Custom Category],Budgets[Monthly],0,0))</calculatedColumnFormula>
    </tableColumn>
    <tableColumn id="23" xr3:uid="{AC57BF83-C480-477C-B5D0-FF43C0E76C8F}" name="Sel Month" dataDxfId="2">
      <calculatedColumnFormula>IF(Transactions[[#This Row],[Month]]=Sel_Month,Transactions[[#This Row],[Amount]],0)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E87A8B-9592-49B6-B54F-1919543F54A3}" name="Frequency" displayName="Frequency" ref="A1:B8" totalsRowShown="0">
  <autoFilter ref="A1:B8" xr:uid="{5AE87A8B-9592-49B6-B54F-1919543F54A3}"/>
  <tableColumns count="2">
    <tableColumn id="1" xr3:uid="{D7BA4E04-1AE1-43A9-A966-18DB2247326A}" name="Frequency"/>
    <tableColumn id="2" xr3:uid="{125A5E8B-A376-4599-BB58-76287B58F06B}" name="Facto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890b82-86e7-4f79-9a57-bf6c14c7714d}">
  <we:reference id="12890b82-86e7-4f79-9a57-bf6c14c7714d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5"/>
  <sheetViews>
    <sheetView tabSelected="1" zoomScale="108" zoomScaleNormal="130" workbookViewId="0">
      <selection activeCell="A9" sqref="A9"/>
    </sheetView>
  </sheetViews>
  <sheetFormatPr defaultRowHeight="15" x14ac:dyDescent="0.25"/>
  <cols>
    <col min="1" max="1" width="37.42578125" bestFit="1" customWidth="1"/>
    <col min="2" max="2" width="11.140625" bestFit="1" customWidth="1"/>
    <col min="3" max="3" width="8.42578125" bestFit="1" customWidth="1"/>
    <col min="4" max="4" width="15.28515625" bestFit="1" customWidth="1"/>
    <col min="5" max="5" width="10.85546875" customWidth="1"/>
    <col min="6" max="6" width="11.5703125" customWidth="1"/>
    <col min="7" max="7" width="26.28515625" customWidth="1"/>
    <col min="8" max="8" width="17.42578125" customWidth="1"/>
    <col min="9" max="9" width="11.5703125" customWidth="1"/>
    <col min="10" max="11" width="10.7109375" bestFit="1" customWidth="1"/>
    <col min="12" max="12" width="21.7109375" customWidth="1"/>
    <col min="13" max="13" width="11.140625" bestFit="1" customWidth="1"/>
    <col min="14" max="14" width="26.5703125" bestFit="1" customWidth="1"/>
    <col min="15" max="15" width="14.5703125" bestFit="1" customWidth="1"/>
    <col min="16" max="16" width="16.7109375" bestFit="1" customWidth="1"/>
    <col min="17" max="17" width="15.7109375" bestFit="1" customWidth="1"/>
    <col min="18" max="18" width="24.5703125" bestFit="1" customWidth="1"/>
    <col min="19" max="19" width="26.42578125" bestFit="1" customWidth="1"/>
    <col min="20" max="20" width="29" bestFit="1" customWidth="1"/>
    <col min="21" max="21" width="35.5703125" bestFit="1" customWidth="1"/>
    <col min="22" max="22" width="11.28515625" bestFit="1" customWidth="1"/>
  </cols>
  <sheetData>
    <row r="1" spans="1:14" ht="21" x14ac:dyDescent="0.35">
      <c r="A1" s="4" t="s">
        <v>1072</v>
      </c>
      <c r="G1" s="4" t="s">
        <v>1073</v>
      </c>
      <c r="L1" s="4" t="s">
        <v>1064</v>
      </c>
    </row>
    <row r="2" spans="1:14" x14ac:dyDescent="0.25">
      <c r="C2" s="10" t="s">
        <v>1066</v>
      </c>
      <c r="D2" s="11">
        <v>45413</v>
      </c>
      <c r="G2" t="s">
        <v>1056</v>
      </c>
      <c r="H2" t="s">
        <v>1074</v>
      </c>
      <c r="I2" t="s">
        <v>11</v>
      </c>
      <c r="J2" t="s">
        <v>1078</v>
      </c>
      <c r="L2" t="s">
        <v>5</v>
      </c>
      <c r="M2" t="s">
        <v>11</v>
      </c>
      <c r="N2" t="s">
        <v>1056</v>
      </c>
    </row>
    <row r="3" spans="1:14" x14ac:dyDescent="0.25">
      <c r="G3" t="s">
        <v>1060</v>
      </c>
      <c r="H3" t="s">
        <v>1078</v>
      </c>
      <c r="I3" s="6">
        <v>428</v>
      </c>
      <c r="J3" s="7">
        <f>Budgets[[#This Row],[Amount]]*_xlfn.XLOOKUP(Budgets[[#This Row],[Frequency]],Frequency[Frequency],Frequency[Factor],1,0)</f>
        <v>428</v>
      </c>
      <c r="L3" t="s">
        <v>1058</v>
      </c>
      <c r="M3" t="s">
        <v>1059</v>
      </c>
      <c r="N3" t="s">
        <v>1118</v>
      </c>
    </row>
    <row r="4" spans="1:14" ht="30" x14ac:dyDescent="0.25">
      <c r="A4" s="1" t="s">
        <v>1062</v>
      </c>
      <c r="B4" s="8" t="s">
        <v>1084</v>
      </c>
      <c r="C4" s="8" t="s">
        <v>1106</v>
      </c>
      <c r="D4" s="10" t="s">
        <v>1108</v>
      </c>
      <c r="E4" s="10" t="s">
        <v>1110</v>
      </c>
      <c r="G4" t="s">
        <v>197</v>
      </c>
      <c r="H4" t="s">
        <v>1075</v>
      </c>
      <c r="I4" s="6">
        <v>200</v>
      </c>
      <c r="J4" s="7">
        <f>Budgets[[#This Row],[Amount]]*_xlfn.XLOOKUP(Budgets[[#This Row],[Frequency]],Frequency[Frequency],Frequency[Factor],1,0)</f>
        <v>800</v>
      </c>
      <c r="L4" t="s">
        <v>1058</v>
      </c>
      <c r="M4" t="s">
        <v>1061</v>
      </c>
      <c r="N4" t="s">
        <v>1117</v>
      </c>
    </row>
    <row r="5" spans="1:14" x14ac:dyDescent="0.25">
      <c r="A5" s="2" t="s">
        <v>79</v>
      </c>
      <c r="B5" s="5">
        <v>2.5077777777777777</v>
      </c>
      <c r="C5" s="5">
        <v>2.5077777777777777</v>
      </c>
      <c r="D5" s="12" cm="1">
        <f t="array" ref="D5">_xlfn.IFS(A5="","",A5="Grand Total",SUM(D$4:D4),TRUE,IF(COUNTIF(Transactions[Custom Category],Dashboard!A5)&gt;0,SUMIFS(Transactions[Amount],Transactions[Custom Category],Dashboard!A5,Transactions[Month],Sel_Month),SUMIFS(Transactions[Amount],Transactions[Name],Dashboard!A5,Transactions[Month],Sel_Month)))</f>
        <v>5.0999999999999996</v>
      </c>
      <c r="E5" s="13">
        <f>IF(C5="","",IF(C5=0,0,1-((C5-D5)/C5)))</f>
        <v>2.0336730172795745</v>
      </c>
      <c r="L5" t="s">
        <v>1068</v>
      </c>
      <c r="N5" t="s">
        <v>1069</v>
      </c>
    </row>
    <row r="6" spans="1:14" x14ac:dyDescent="0.25">
      <c r="A6" s="2" t="s">
        <v>1123</v>
      </c>
      <c r="B6" s="5">
        <v>6.21</v>
      </c>
      <c r="C6" s="5">
        <v>6.21</v>
      </c>
      <c r="D6" s="12" cm="1">
        <f t="array" ref="D6">_xlfn.IFS(A6="","",A6="Grand Total",SUM(D$4:D5),TRUE,IF(COUNTIF(Transactions[Custom Category],Dashboard!A6)&gt;0,SUMIFS(Transactions[Amount],Transactions[Custom Category],Dashboard!A6,Transactions[Month],Sel_Month),SUMIFS(Transactions[Amount],Transactions[Name],Dashboard!A6,Transactions[Month],Sel_Month)))</f>
        <v>12.42</v>
      </c>
      <c r="E6" s="13">
        <f t="shared" ref="E6:E69" si="0">IF(C6="","",IF(C6=0,0,1-((C6-D6)/C6)))</f>
        <v>2</v>
      </c>
      <c r="L6" t="s">
        <v>1070</v>
      </c>
      <c r="N6" t="s">
        <v>197</v>
      </c>
    </row>
    <row r="7" spans="1:14" x14ac:dyDescent="0.25">
      <c r="A7" s="2" t="s">
        <v>1130</v>
      </c>
      <c r="B7" s="5">
        <v>16.39</v>
      </c>
      <c r="C7" s="5">
        <v>16.39</v>
      </c>
      <c r="D7" s="12" cm="1">
        <f t="array" ref="D7">_xlfn.IFS(A7="","",A7="Grand Total",SUM(D$4:D6),TRUE,IF(COUNTIF(Transactions[Custom Category],Dashboard!A7)&gt;0,SUMIFS(Transactions[Amount],Transactions[Custom Category],Dashboard!A7,Transactions[Month],Sel_Month),SUMIFS(Transactions[Amount],Transactions[Name],Dashboard!A7,Transactions[Month],Sel_Month)))</f>
        <v>0</v>
      </c>
      <c r="E7" s="13">
        <f t="shared" si="0"/>
        <v>0</v>
      </c>
      <c r="L7" t="s">
        <v>1105</v>
      </c>
      <c r="N7" t="s">
        <v>1103</v>
      </c>
    </row>
    <row r="8" spans="1:14" x14ac:dyDescent="0.25">
      <c r="A8" s="2" t="s">
        <v>197</v>
      </c>
      <c r="B8" s="5">
        <v>414.67285714285714</v>
      </c>
      <c r="C8" s="5">
        <v>800</v>
      </c>
      <c r="D8" s="12" cm="1">
        <f t="array" ref="D8">_xlfn.IFS(A8="","",A8="Grand Total",SUM(D$4:D7),TRUE,IF(COUNTIF(Transactions[Custom Category],Dashboard!A8)&gt;0,SUMIFS(Transactions[Amount],Transactions[Custom Category],Dashboard!A8,Transactions[Month],Sel_Month),SUMIFS(Transactions[Amount],Transactions[Name],Dashboard!A8,Transactions[Month],Sel_Month)))</f>
        <v>0</v>
      </c>
      <c r="E8" s="13">
        <f t="shared" si="0"/>
        <v>0</v>
      </c>
      <c r="L8" t="s">
        <v>1104</v>
      </c>
      <c r="N8" t="s">
        <v>1103</v>
      </c>
    </row>
    <row r="9" spans="1:14" x14ac:dyDescent="0.25">
      <c r="A9" s="2" t="s">
        <v>1131</v>
      </c>
      <c r="B9" s="5">
        <v>248.35999999999999</v>
      </c>
      <c r="C9" s="5">
        <v>248.35999999999999</v>
      </c>
      <c r="D9" s="12" cm="1">
        <f t="array" ref="D9">_xlfn.IFS(A9="","",A9="Grand Total",SUM(D$4:D8),TRUE,IF(COUNTIF(Transactions[Custom Category],Dashboard!A9)&gt;0,SUMIFS(Transactions[Amount],Transactions[Custom Category],Dashboard!A9,Transactions[Month],Sel_Month),SUMIFS(Transactions[Amount],Transactions[Name],Dashboard!A9,Transactions[Month],Sel_Month)))</f>
        <v>0</v>
      </c>
      <c r="E9" s="13">
        <f t="shared" si="0"/>
        <v>0</v>
      </c>
      <c r="L9" t="s">
        <v>1111</v>
      </c>
      <c r="N9" t="s">
        <v>1069</v>
      </c>
    </row>
    <row r="10" spans="1:14" x14ac:dyDescent="0.25">
      <c r="A10" s="2" t="s">
        <v>1129</v>
      </c>
      <c r="B10" s="5">
        <v>128.65625000000003</v>
      </c>
      <c r="C10" s="5">
        <v>128.65625000000003</v>
      </c>
      <c r="D10" s="12" cm="1">
        <f t="array" ref="D10">_xlfn.IFS(A10="","",A10="Grand Total",SUM(D$4:D9),TRUE,IF(COUNTIF(Transactions[Custom Category],Dashboard!A10)&gt;0,SUMIFS(Transactions[Amount],Transactions[Custom Category],Dashboard!A10,Transactions[Month],Sel_Month),SUMIFS(Transactions[Amount],Transactions[Name],Dashboard!A10,Transactions[Month],Sel_Month)))</f>
        <v>98.41</v>
      </c>
      <c r="E10" s="13">
        <f t="shared" si="0"/>
        <v>0.76490648530483341</v>
      </c>
      <c r="L10" t="s">
        <v>1112</v>
      </c>
      <c r="N10" t="s">
        <v>1114</v>
      </c>
    </row>
    <row r="11" spans="1:14" x14ac:dyDescent="0.25">
      <c r="A11" s="2" t="s">
        <v>1121</v>
      </c>
      <c r="B11" s="5">
        <v>-0.01</v>
      </c>
      <c r="C11" s="5">
        <v>-0.01</v>
      </c>
      <c r="D11" s="12" cm="1">
        <f t="array" ref="D11">_xlfn.IFS(A11="","",A11="Grand Total",SUM(D$4:D10),TRUE,IF(COUNTIF(Transactions[Custom Category],Dashboard!A11)&gt;0,SUMIFS(Transactions[Amount],Transactions[Custom Category],Dashboard!A11,Transactions[Month],Sel_Month),SUMIFS(Transactions[Amount],Transactions[Name],Dashboard!A11,Transactions[Month],Sel_Month)))</f>
        <v>0</v>
      </c>
      <c r="E11" s="13">
        <f t="shared" si="0"/>
        <v>0</v>
      </c>
      <c r="L11" t="s">
        <v>165</v>
      </c>
      <c r="N11" t="s">
        <v>1113</v>
      </c>
    </row>
    <row r="12" spans="1:14" x14ac:dyDescent="0.25">
      <c r="A12" s="2" t="s">
        <v>1137</v>
      </c>
      <c r="B12" s="5">
        <v>-3209.0714285714284</v>
      </c>
      <c r="C12" s="5">
        <v>-3209.0714285714284</v>
      </c>
      <c r="D12" s="12" cm="1">
        <f t="array" ref="D12">_xlfn.IFS(A12="","",A12="Grand Total",SUM(D$4:D11),TRUE,IF(COUNTIF(Transactions[Custom Category],Dashboard!A12)&gt;0,SUMIFS(Transactions[Amount],Transactions[Custom Category],Dashboard!A12,Transactions[Month],Sel_Month),SUMIFS(Transactions[Amount],Transactions[Name],Dashboard!A12,Transactions[Month],Sel_Month)))</f>
        <v>-3266</v>
      </c>
      <c r="E12" s="13">
        <f t="shared" si="0"/>
        <v>1.0177398891535157</v>
      </c>
      <c r="L12" t="s">
        <v>1115</v>
      </c>
      <c r="N12" t="s">
        <v>1116</v>
      </c>
    </row>
    <row r="13" spans="1:14" x14ac:dyDescent="0.25">
      <c r="A13" s="2" t="s">
        <v>1116</v>
      </c>
      <c r="B13" s="5">
        <v>-18125.097037037034</v>
      </c>
      <c r="C13" s="5">
        <v>-18125.097037037034</v>
      </c>
      <c r="D13" s="12" cm="1">
        <f t="array" ref="D13">_xlfn.IFS(A13="","",A13="Grand Total",SUM(D$4:D12),TRUE,IF(COUNTIF(Transactions[Custom Category],Dashboard!A13)&gt;0,SUMIFS(Transactions[Amount],Transactions[Custom Category],Dashboard!A13,Transactions[Month],Sel_Month),SUMIFS(Transactions[Amount],Transactions[Name],Dashboard!A13,Transactions[Month],Sel_Month)))</f>
        <v>-22459.99</v>
      </c>
      <c r="E13" s="13">
        <f t="shared" si="0"/>
        <v>1.2391652278663665</v>
      </c>
      <c r="L13" t="s">
        <v>95</v>
      </c>
      <c r="N13" t="s">
        <v>79</v>
      </c>
    </row>
    <row r="14" spans="1:14" x14ac:dyDescent="0.25">
      <c r="A14" s="2" t="s">
        <v>1132</v>
      </c>
      <c r="B14" s="5">
        <v>-3713.1</v>
      </c>
      <c r="C14" s="5">
        <v>-3713.1</v>
      </c>
      <c r="D14" s="12" cm="1">
        <f t="array" ref="D14">_xlfn.IFS(A14="","",A14="Grand Total",SUM(D$4:D13),TRUE,IF(COUNTIF(Transactions[Custom Category],Dashboard!A14)&gt;0,SUMIFS(Transactions[Amount],Transactions[Custom Category],Dashboard!A14,Transactions[Month],Sel_Month),SUMIFS(Transactions[Amount],Transactions[Name],Dashboard!A14,Transactions[Month],Sel_Month)))</f>
        <v>-3713.1</v>
      </c>
      <c r="E14" s="13">
        <f t="shared" si="0"/>
        <v>1</v>
      </c>
      <c r="L14" t="s">
        <v>1119</v>
      </c>
      <c r="N14" t="s">
        <v>1120</v>
      </c>
    </row>
    <row r="15" spans="1:14" x14ac:dyDescent="0.25">
      <c r="A15" s="2" t="s">
        <v>1117</v>
      </c>
      <c r="B15" s="5">
        <v>432.99599999999998</v>
      </c>
      <c r="C15" s="5">
        <v>432.99599999999998</v>
      </c>
      <c r="D15" s="12" cm="1">
        <f t="array" ref="D15">_xlfn.IFS(A15="","",A15="Grand Total",SUM(D$4:D14),TRUE,IF(COUNTIF(Transactions[Custom Category],Dashboard!A15)&gt;0,SUMIFS(Transactions[Amount],Transactions[Custom Category],Dashboard!A15,Transactions[Month],Sel_Month),SUMIFS(Transactions[Amount],Transactions[Name],Dashboard!A15,Transactions[Month],Sel_Month)))</f>
        <v>438.75</v>
      </c>
      <c r="E15" s="13">
        <f t="shared" si="0"/>
        <v>1.0132888063631074</v>
      </c>
      <c r="L15" t="s">
        <v>246</v>
      </c>
      <c r="N15" t="s">
        <v>1121</v>
      </c>
    </row>
    <row r="16" spans="1:14" x14ac:dyDescent="0.25">
      <c r="A16" s="2" t="s">
        <v>1118</v>
      </c>
      <c r="B16" s="5">
        <v>57.905000000000001</v>
      </c>
      <c r="C16" s="5">
        <v>57.905000000000001</v>
      </c>
      <c r="D16" s="12" cm="1">
        <f t="array" ref="D16">_xlfn.IFS(A16="","",A16="Grand Total",SUM(D$4:D15),TRUE,IF(COUNTIF(Transactions[Custom Category],Dashboard!A16)&gt;0,SUMIFS(Transactions[Amount],Transactions[Custom Category],Dashboard!A16,Transactions[Month],Sel_Month),SUMIFS(Transactions[Amount],Transactions[Name],Dashboard!A16,Transactions[Month],Sel_Month)))</f>
        <v>56.05</v>
      </c>
      <c r="E16" s="13">
        <f t="shared" si="0"/>
        <v>0.96796476988170277</v>
      </c>
      <c r="L16" t="s">
        <v>335</v>
      </c>
      <c r="N16" t="s">
        <v>1103</v>
      </c>
    </row>
    <row r="17" spans="1:14" x14ac:dyDescent="0.25">
      <c r="A17" s="2" t="s">
        <v>1125</v>
      </c>
      <c r="B17" s="5">
        <v>65.7</v>
      </c>
      <c r="C17" s="5">
        <v>65.7</v>
      </c>
      <c r="D17" s="12" cm="1">
        <f t="array" ref="D17">_xlfn.IFS(A17="","",A17="Grand Total",SUM(D$4:D16),TRUE,IF(COUNTIF(Transactions[Custom Category],Dashboard!A17)&gt;0,SUMIFS(Transactions[Amount],Transactions[Custom Category],Dashboard!A17,Transactions[Month],Sel_Month),SUMIFS(Transactions[Amount],Transactions[Name],Dashboard!A17,Transactions[Month],Sel_Month)))</f>
        <v>65.7</v>
      </c>
      <c r="E17" s="13">
        <f t="shared" si="0"/>
        <v>1</v>
      </c>
      <c r="L17" t="s">
        <v>1122</v>
      </c>
      <c r="N17" t="s">
        <v>1123</v>
      </c>
    </row>
    <row r="18" spans="1:14" x14ac:dyDescent="0.25">
      <c r="A18" s="2" t="s">
        <v>1114</v>
      </c>
      <c r="B18" s="5">
        <v>624.12818181818193</v>
      </c>
      <c r="C18" s="5">
        <v>624.12818181818193</v>
      </c>
      <c r="D18" s="12" cm="1">
        <f t="array" ref="D18">_xlfn.IFS(A18="","",A18="Grand Total",SUM(D$4:D17),TRUE,IF(COUNTIF(Transactions[Custom Category],Dashboard!A18)&gt;0,SUMIFS(Transactions[Amount],Transactions[Custom Category],Dashboard!A18,Transactions[Month],Sel_Month),SUMIFS(Transactions[Amount],Transactions[Name],Dashboard!A18,Transactions[Month],Sel_Month)))</f>
        <v>649.1</v>
      </c>
      <c r="E18" s="13">
        <f t="shared" si="0"/>
        <v>1.0400107204085407</v>
      </c>
      <c r="L18" t="s">
        <v>1124</v>
      </c>
      <c r="N18" t="s">
        <v>1125</v>
      </c>
    </row>
    <row r="19" spans="1:14" x14ac:dyDescent="0.25">
      <c r="A19" s="2" t="s">
        <v>1143</v>
      </c>
      <c r="B19" s="5">
        <v>5076</v>
      </c>
      <c r="C19" s="5">
        <v>5076</v>
      </c>
      <c r="D19" s="12" cm="1">
        <f t="array" ref="D19">_xlfn.IFS(A19="","",A19="Grand Total",SUM(D$4:D18),TRUE,IF(COUNTIF(Transactions[Custom Category],Dashboard!A19)&gt;0,SUMIFS(Transactions[Amount],Transactions[Custom Category],Dashboard!A19,Transactions[Month],Sel_Month),SUMIFS(Transactions[Amount],Transactions[Name],Dashboard!A19,Transactions[Month],Sel_Month)))</f>
        <v>3690</v>
      </c>
      <c r="E19" s="13">
        <f t="shared" si="0"/>
        <v>0.72695035460992907</v>
      </c>
      <c r="L19" t="s">
        <v>152</v>
      </c>
      <c r="N19" t="s">
        <v>1126</v>
      </c>
    </row>
    <row r="20" spans="1:14" x14ac:dyDescent="0.25">
      <c r="A20" s="2" t="s">
        <v>1069</v>
      </c>
      <c r="B20" s="5">
        <v>23.11333333333333</v>
      </c>
      <c r="C20" s="5">
        <v>23.11333333333333</v>
      </c>
      <c r="D20" s="12" cm="1">
        <f t="array" ref="D20">_xlfn.IFS(A20="","",A20="Grand Total",SUM(D$4:D19),TRUE,IF(COUNTIF(Transactions[Custom Category],Dashboard!A20)&gt;0,SUMIFS(Transactions[Amount],Transactions[Custom Category],Dashboard!A20,Transactions[Month],Sel_Month),SUMIFS(Transactions[Amount],Transactions[Name],Dashboard!A20,Transactions[Month],Sel_Month)))</f>
        <v>32.409999999999997</v>
      </c>
      <c r="E20" s="13">
        <f t="shared" si="0"/>
        <v>1.4022209402942025</v>
      </c>
      <c r="L20" t="s">
        <v>1127</v>
      </c>
      <c r="N20" t="s">
        <v>1123</v>
      </c>
    </row>
    <row r="21" spans="1:14" x14ac:dyDescent="0.25">
      <c r="A21" s="2" t="s">
        <v>99</v>
      </c>
      <c r="B21" s="5">
        <v>-333.34666666666664</v>
      </c>
      <c r="C21" s="5">
        <v>-333.34666666666664</v>
      </c>
      <c r="D21" s="12" cm="1">
        <f t="array" ref="D21">_xlfn.IFS(A21="","",A21="Grand Total",SUM(D$4:D20),TRUE,IF(COUNTIF(Transactions[Custom Category],Dashboard!A21)&gt;0,SUMIFS(Transactions[Amount],Transactions[Custom Category],Dashboard!A21,Transactions[Month],Sel_Month),SUMIFS(Transactions[Amount],Transactions[Name],Dashboard!A21,Transactions[Month],Sel_Month)))</f>
        <v>-0.02</v>
      </c>
      <c r="E21" s="13">
        <f t="shared" si="0"/>
        <v>5.999760009589572E-5</v>
      </c>
      <c r="L21" t="s">
        <v>1128</v>
      </c>
      <c r="N21" t="s">
        <v>1129</v>
      </c>
    </row>
    <row r="22" spans="1:14" x14ac:dyDescent="0.25">
      <c r="A22" s="2" t="s">
        <v>67</v>
      </c>
      <c r="B22" s="5">
        <v>12589.494482758622</v>
      </c>
      <c r="C22" s="5">
        <v>12589.494482758622</v>
      </c>
      <c r="D22" s="12" cm="1">
        <f t="array" ref="D22">_xlfn.IFS(A22="","",A22="Grand Total",SUM(D$4:D21),TRUE,IF(COUNTIF(Transactions[Custom Category],Dashboard!A22)&gt;0,SUMIFS(Transactions[Amount],Transactions[Custom Category],Dashboard!A22,Transactions[Month],Sel_Month),SUMIFS(Transactions[Amount],Transactions[Name],Dashboard!A22,Transactions[Month],Sel_Month)))</f>
        <v>17658.5</v>
      </c>
      <c r="E22" s="13">
        <f t="shared" si="0"/>
        <v>1.4026377329275141</v>
      </c>
      <c r="L22" t="s">
        <v>1011</v>
      </c>
      <c r="N22" t="s">
        <v>1129</v>
      </c>
    </row>
    <row r="23" spans="1:14" x14ac:dyDescent="0.25">
      <c r="A23" s="2" t="s">
        <v>73</v>
      </c>
      <c r="B23" s="5">
        <v>-12680.457777777781</v>
      </c>
      <c r="C23" s="5">
        <v>-12680.457777777781</v>
      </c>
      <c r="D23" s="12" cm="1">
        <f t="array" ref="D23">_xlfn.IFS(A23="","",A23="Grand Total",SUM(D$4:D22),TRUE,IF(COUNTIF(Transactions[Custom Category],Dashboard!A23)&gt;0,SUMIFS(Transactions[Amount],Transactions[Custom Category],Dashboard!A23,Transactions[Month],Sel_Month),SUMIFS(Transactions[Amount],Transactions[Name],Dashboard!A23,Transactions[Month],Sel_Month)))</f>
        <v>-15758.130000000001</v>
      </c>
      <c r="E23" s="13">
        <f t="shared" si="0"/>
        <v>1.2427098671166092</v>
      </c>
      <c r="L23" t="s">
        <v>958</v>
      </c>
      <c r="N23" t="s">
        <v>1129</v>
      </c>
    </row>
    <row r="24" spans="1:14" x14ac:dyDescent="0.25">
      <c r="A24" s="2" t="s">
        <v>275</v>
      </c>
      <c r="B24" s="5">
        <v>-244</v>
      </c>
      <c r="C24" s="5">
        <v>-244</v>
      </c>
      <c r="D24" s="12" cm="1">
        <f t="array" ref="D24">_xlfn.IFS(A24="","",A24="Grand Total",SUM(D$4:D23),TRUE,IF(COUNTIF(Transactions[Custom Category],Dashboard!A24)&gt;0,SUMIFS(Transactions[Amount],Transactions[Custom Category],Dashboard!A24,Transactions[Month],Sel_Month),SUMIFS(Transactions[Amount],Transactions[Name],Dashboard!A24,Transactions[Month],Sel_Month)))</f>
        <v>0</v>
      </c>
      <c r="E24" s="13">
        <f t="shared" si="0"/>
        <v>0</v>
      </c>
      <c r="L24" t="s">
        <v>1003</v>
      </c>
      <c r="N24" t="s">
        <v>1130</v>
      </c>
    </row>
    <row r="25" spans="1:14" x14ac:dyDescent="0.25">
      <c r="A25" s="2" t="s">
        <v>438</v>
      </c>
      <c r="B25" s="5">
        <v>197.65</v>
      </c>
      <c r="C25" s="5">
        <v>197.65</v>
      </c>
      <c r="D25" s="12" cm="1">
        <f t="array" ref="D25">_xlfn.IFS(A25="","",A25="Grand Total",SUM(D$4:D24),TRUE,IF(COUNTIF(Transactions[Custom Category],Dashboard!A25)&gt;0,SUMIFS(Transactions[Amount],Transactions[Custom Category],Dashboard!A25,Transactions[Month],Sel_Month),SUMIFS(Transactions[Amount],Transactions[Name],Dashboard!A25,Transactions[Month],Sel_Month)))</f>
        <v>0</v>
      </c>
      <c r="E25" s="13">
        <f t="shared" si="0"/>
        <v>0</v>
      </c>
      <c r="L25" t="s">
        <v>1033</v>
      </c>
      <c r="N25" t="s">
        <v>1131</v>
      </c>
    </row>
    <row r="26" spans="1:14" x14ac:dyDescent="0.25">
      <c r="A26" s="2" t="s">
        <v>1103</v>
      </c>
      <c r="B26" s="5">
        <v>14532.989714285719</v>
      </c>
      <c r="C26" s="5">
        <v>14532.989714285719</v>
      </c>
      <c r="D26" s="12" cm="1">
        <f t="array" ref="D26">_xlfn.IFS(A26="","",A26="Grand Total",SUM(D$4:D25),TRUE,IF(COUNTIF(Transactions[Custom Category],Dashboard!A26)&gt;0,SUMIFS(Transactions[Amount],Transactions[Custom Category],Dashboard!A26,Transactions[Month],Sel_Month),SUMIFS(Transactions[Amount],Transactions[Name],Dashboard!A26,Transactions[Month],Sel_Month)))</f>
        <v>25434.52</v>
      </c>
      <c r="E26" s="13">
        <f t="shared" si="0"/>
        <v>1.7501230304318067</v>
      </c>
      <c r="L26" t="s">
        <v>113</v>
      </c>
      <c r="N26" t="s">
        <v>1132</v>
      </c>
    </row>
    <row r="27" spans="1:14" x14ac:dyDescent="0.25">
      <c r="A27" s="2" t="s">
        <v>1017</v>
      </c>
      <c r="B27" s="5">
        <v>12.969999999999999</v>
      </c>
      <c r="C27" s="5">
        <v>12.969999999999999</v>
      </c>
      <c r="D27" s="12" cm="1">
        <f t="array" ref="D27">_xlfn.IFS(A27="","",A27="Grand Total",SUM(D$4:D26),TRUE,IF(COUNTIF(Transactions[Custom Category],Dashboard!A27)&gt;0,SUMIFS(Transactions[Amount],Transactions[Custom Category],Dashboard!A27,Transactions[Month],Sel_Month),SUMIFS(Transactions[Amount],Transactions[Name],Dashboard!A27,Transactions[Month],Sel_Month)))</f>
        <v>0</v>
      </c>
      <c r="E27" s="13">
        <f t="shared" si="0"/>
        <v>0</v>
      </c>
      <c r="L27" t="s">
        <v>1133</v>
      </c>
      <c r="N27" t="s">
        <v>1116</v>
      </c>
    </row>
    <row r="28" spans="1:14" x14ac:dyDescent="0.25">
      <c r="A28" s="2" t="s">
        <v>963</v>
      </c>
      <c r="B28" s="5">
        <v>11.100000000000001</v>
      </c>
      <c r="C28" s="5">
        <v>11.100000000000001</v>
      </c>
      <c r="D28" s="12" cm="1">
        <f t="array" ref="D28">_xlfn.IFS(A28="","",A28="Grand Total",SUM(D$4:D27),TRUE,IF(COUNTIF(Transactions[Custom Category],Dashboard!A28)&gt;0,SUMIFS(Transactions[Amount],Transactions[Custom Category],Dashboard!A28,Transactions[Month],Sel_Month),SUMIFS(Transactions[Amount],Transactions[Name],Dashboard!A28,Transactions[Month],Sel_Month)))</f>
        <v>3.7</v>
      </c>
      <c r="E28" s="13">
        <f t="shared" si="0"/>
        <v>0.33333333333333326</v>
      </c>
      <c r="L28" t="s">
        <v>1134</v>
      </c>
      <c r="N28" t="s">
        <v>1103</v>
      </c>
    </row>
    <row r="29" spans="1:14" x14ac:dyDescent="0.25">
      <c r="A29" s="2" t="s">
        <v>1113</v>
      </c>
      <c r="B29" s="5">
        <v>139.88333333333333</v>
      </c>
      <c r="C29" s="5">
        <v>139.88333333333333</v>
      </c>
      <c r="D29" s="12" cm="1">
        <f t="array" ref="D29">_xlfn.IFS(A29="","",A29="Grand Total",SUM(D$4:D28),TRUE,IF(COUNTIF(Transactions[Custom Category],Dashboard!A29)&gt;0,SUMIFS(Transactions[Amount],Transactions[Custom Category],Dashboard!A29,Transactions[Month],Sel_Month),SUMIFS(Transactions[Amount],Transactions[Name],Dashboard!A29,Transactions[Month],Sel_Month)))</f>
        <v>153.32</v>
      </c>
      <c r="E29" s="13">
        <f t="shared" si="0"/>
        <v>1.0960562373406411</v>
      </c>
      <c r="L29" t="s">
        <v>1135</v>
      </c>
      <c r="N29" t="s">
        <v>1103</v>
      </c>
    </row>
    <row r="30" spans="1:14" x14ac:dyDescent="0.25">
      <c r="A30" s="2" t="s">
        <v>1126</v>
      </c>
      <c r="B30" s="5">
        <v>153.08333333333331</v>
      </c>
      <c r="C30" s="5">
        <v>153.08333333333331</v>
      </c>
      <c r="D30" s="12" cm="1">
        <f t="array" ref="D30">_xlfn.IFS(A30="","",A30="Grand Total",SUM(D$4:D29),TRUE,IF(COUNTIF(Transactions[Custom Category],Dashboard!A30)&gt;0,SUMIFS(Transactions[Amount],Transactions[Custom Category],Dashboard!A30,Transactions[Month],Sel_Month),SUMIFS(Transactions[Amount],Transactions[Name],Dashboard!A30,Transactions[Month],Sel_Month)))</f>
        <v>153.29</v>
      </c>
      <c r="E30" s="13">
        <f t="shared" si="0"/>
        <v>1.0013500272182907</v>
      </c>
      <c r="L30" t="s">
        <v>1139</v>
      </c>
      <c r="M30" t="s">
        <v>1136</v>
      </c>
      <c r="N30" t="s">
        <v>1137</v>
      </c>
    </row>
    <row r="31" spans="1:14" x14ac:dyDescent="0.25">
      <c r="A31" s="2" t="s">
        <v>1120</v>
      </c>
      <c r="B31" s="5">
        <v>489.91</v>
      </c>
      <c r="C31" s="5">
        <v>489.91</v>
      </c>
      <c r="D31" s="12" cm="1">
        <f t="array" ref="D31">_xlfn.IFS(A31="","",A31="Grand Total",SUM(D$4:D30),TRUE,IF(COUNTIF(Transactions[Custom Category],Dashboard!A31)&gt;0,SUMIFS(Transactions[Amount],Transactions[Custom Category],Dashboard!A31,Transactions[Month],Sel_Month),SUMIFS(Transactions[Amount],Transactions[Name],Dashboard!A31,Transactions[Month],Sel_Month)))</f>
        <v>0</v>
      </c>
      <c r="E31" s="13">
        <f t="shared" si="0"/>
        <v>0</v>
      </c>
      <c r="L31" t="s">
        <v>1141</v>
      </c>
      <c r="M31" t="s">
        <v>1136</v>
      </c>
      <c r="N31" t="s">
        <v>1137</v>
      </c>
    </row>
    <row r="32" spans="1:14" x14ac:dyDescent="0.25">
      <c r="A32" s="2" t="s">
        <v>1109</v>
      </c>
      <c r="B32" s="5">
        <v>14532.989714285719</v>
      </c>
      <c r="C32" s="5">
        <v>14532.989714285719</v>
      </c>
      <c r="D32" s="12" cm="1">
        <f t="array" ref="D32">_xlfn.IFS(A32="","",A32="Grand Total",SUM(D$4:D31),TRUE,IF(COUNTIF(Transactions[Custom Category],Dashboard!A32)&gt;0,SUMIFS(Transactions[Amount],Transactions[Custom Category],Dashboard!A32,Transactions[Month],Sel_Month),SUMIFS(Transactions[Amount],Transactions[Name],Dashboard!A32,Transactions[Month],Sel_Month)))</f>
        <v>0</v>
      </c>
      <c r="E32" s="13">
        <f t="shared" si="0"/>
        <v>0</v>
      </c>
      <c r="L32" t="s">
        <v>1138</v>
      </c>
      <c r="M32" t="s">
        <v>1136</v>
      </c>
      <c r="N32" t="s">
        <v>1137</v>
      </c>
    </row>
    <row r="33" spans="4:14" x14ac:dyDescent="0.25">
      <c r="D33" s="12" t="str" cm="1">
        <f t="array" ref="D33">_xlfn.IFS(A33="","",A33="Grand Total",SUM(D$4:D32),TRUE,IF(COUNTIF(Transactions[Custom Category],Dashboard!A33)&gt;0,SUMIFS(Transactions[Amount],Transactions[Custom Category],Dashboard!A33,Transactions[Month],Sel_Month),SUMIFS(Transactions[Amount],Transactions[Name],Dashboard!A33,Transactions[Month],Sel_Month)))</f>
        <v/>
      </c>
      <c r="E33" s="13" t="str">
        <f t="shared" si="0"/>
        <v/>
      </c>
      <c r="L33" t="s">
        <v>1140</v>
      </c>
      <c r="M33" t="s">
        <v>1136</v>
      </c>
      <c r="N33" t="s">
        <v>1137</v>
      </c>
    </row>
    <row r="34" spans="4:14" x14ac:dyDescent="0.25">
      <c r="D34" s="12" t="str" cm="1">
        <f t="array" ref="D34">_xlfn.IFS(A34="","",A34="Grand Total",SUM(D$4:D33),TRUE,IF(COUNTIF(Transactions[Custom Category],Dashboard!A34)&gt;0,SUMIFS(Transactions[Amount],Transactions[Custom Category],Dashboard!A34,Transactions[Month],Sel_Month),SUMIFS(Transactions[Amount],Transactions[Name],Dashboard!A34,Transactions[Month],Sel_Month)))</f>
        <v/>
      </c>
      <c r="E34" s="13" t="str">
        <f t="shared" si="0"/>
        <v/>
      </c>
      <c r="L34" t="s">
        <v>1142</v>
      </c>
      <c r="N34" t="s">
        <v>1143</v>
      </c>
    </row>
    <row r="35" spans="4:14" x14ac:dyDescent="0.25">
      <c r="D35" s="12" t="str" cm="1">
        <f t="array" ref="D35">_xlfn.IFS(A35="","",A35="Grand Total",SUM(D$4:D34),TRUE,IF(COUNTIF(Transactions[Custom Category],Dashboard!A35)&gt;0,SUMIFS(Transactions[Amount],Transactions[Custom Category],Dashboard!A35,Transactions[Month],Sel_Month),SUMIFS(Transactions[Amount],Transactions[Name],Dashboard!A35,Transactions[Month],Sel_Month)))</f>
        <v/>
      </c>
      <c r="E35" s="13" t="str">
        <f t="shared" si="0"/>
        <v/>
      </c>
    </row>
    <row r="36" spans="4:14" x14ac:dyDescent="0.25">
      <c r="D36" s="12" t="str" cm="1">
        <f t="array" ref="D36">_xlfn.IFS(A36="","",A36="Total",SUM(D$4:D35),TRUE,IF(COUNTIF(Transactions[Custom Category],Dashboard!A36)&gt;0,SUMIFS(Transactions[Amount],Transactions[Custom Category],Dashboard!A36,Transactions[Month],Sel_Month),SUMIFS(Transactions[Amount],Transactions[Name],Dashboard!A36,Transactions[Month],Sel_Month)))</f>
        <v/>
      </c>
      <c r="E36" s="13" t="str">
        <f t="shared" si="0"/>
        <v/>
      </c>
    </row>
    <row r="37" spans="4:14" x14ac:dyDescent="0.25">
      <c r="D37" s="12" t="str" cm="1">
        <f t="array" ref="D37">_xlfn.IFS(A37="","",A37="Grand Total",SUM(D$4:D36),TRUE,IF(COUNTIF(Transactions[Custom Category],Dashboard!A37)&gt;0,SUMIFS(Transactions[Amount],Transactions[Custom Category],Dashboard!A37,Transactions[Month],Sel_Month),SUMIFS(Transactions[Amount],Transactions[Name],Dashboard!A37,Transactions[Month],Sel_Month)))</f>
        <v/>
      </c>
      <c r="E37" s="13" t="str">
        <f t="shared" si="0"/>
        <v/>
      </c>
    </row>
    <row r="38" spans="4:14" x14ac:dyDescent="0.25">
      <c r="D38" s="12" t="str" cm="1">
        <f t="array" ref="D38">_xlfn.IFS(A38="","",A38="Grand Total",SUM(D$4:D37),TRUE,IF(COUNTIF(Transactions[Custom Category],Dashboard!A38)&gt;0,SUMIFS(Transactions[Amount],Transactions[Custom Category],Dashboard!A38,Transactions[Month],Sel_Month),SUMIFS(Transactions[Amount],Transactions[Name],Dashboard!A38,Transactions[Month],Sel_Month)))</f>
        <v/>
      </c>
      <c r="E38" s="13" t="str">
        <f t="shared" si="0"/>
        <v/>
      </c>
    </row>
    <row r="39" spans="4:14" x14ac:dyDescent="0.25">
      <c r="D39" s="12" t="str" cm="1">
        <f t="array" ref="D39">_xlfn.IFS(A39="","",A39="Grand Total",SUM(D$4:D38),TRUE,IF(COUNTIF(Transactions[Custom Category],Dashboard!A39)&gt;0,SUMIFS(Transactions[Amount],Transactions[Custom Category],Dashboard!A39,Transactions[Month],Sel_Month),SUMIFS(Transactions[Amount],Transactions[Name],Dashboard!A39,Transactions[Month],Sel_Month)))</f>
        <v/>
      </c>
      <c r="E39" s="13" t="str">
        <f t="shared" si="0"/>
        <v/>
      </c>
    </row>
    <row r="40" spans="4:14" x14ac:dyDescent="0.25">
      <c r="D40" s="12" t="str" cm="1">
        <f t="array" ref="D40">_xlfn.IFS(A40="","",A40="Grand Total",SUM(D$4:D39),TRUE,IF(COUNTIF(Transactions[Custom Category],Dashboard!A40)&gt;0,SUMIFS(Transactions[Amount],Transactions[Custom Category],Dashboard!A40,Transactions[Month],Sel_Month),SUMIFS(Transactions[Amount],Transactions[Name],Dashboard!A40,Transactions[Month],Sel_Month)))</f>
        <v/>
      </c>
      <c r="E40" s="13" t="str">
        <f t="shared" si="0"/>
        <v/>
      </c>
    </row>
    <row r="41" spans="4:14" x14ac:dyDescent="0.25">
      <c r="D41" s="12" t="str" cm="1">
        <f t="array" ref="D41">_xlfn.IFS(A41="","",A41="Grand Total",SUM(D$4:D40),TRUE,IF(COUNTIF(Transactions[Custom Category],Dashboard!A41)&gt;0,SUMIFS(Transactions[Amount],Transactions[Custom Category],Dashboard!A41,Transactions[Month],Sel_Month),SUMIFS(Transactions[Amount],Transactions[Name],Dashboard!A41,Transactions[Month],Sel_Month)))</f>
        <v/>
      </c>
      <c r="E41" s="13" t="str">
        <f t="shared" si="0"/>
        <v/>
      </c>
    </row>
    <row r="42" spans="4:14" x14ac:dyDescent="0.25">
      <c r="D42" s="12" t="str" cm="1">
        <f t="array" ref="D42">_xlfn.IFS(A42="","",A42="Grand Total",SUM(D$4:D41),TRUE,IF(COUNTIF(Transactions[Custom Category],Dashboard!A42)&gt;0,SUMIFS(Transactions[Amount],Transactions[Custom Category],Dashboard!A42,Transactions[Month],Sel_Month),SUMIFS(Transactions[Amount],Transactions[Name],Dashboard!A42,Transactions[Month],Sel_Month)))</f>
        <v/>
      </c>
      <c r="E42" s="13" t="str">
        <f t="shared" si="0"/>
        <v/>
      </c>
    </row>
    <row r="43" spans="4:14" x14ac:dyDescent="0.25">
      <c r="D43" s="12" t="str" cm="1">
        <f t="array" ref="D43">_xlfn.IFS(A43="","",A43="Grand Total",SUM(D$4:D42),TRUE,IF(COUNTIF(Transactions[Custom Category],Dashboard!A43)&gt;0,SUMIFS(Transactions[Amount],Transactions[Custom Category],Dashboard!A43,Transactions[Month],Sel_Month),SUMIFS(Transactions[Amount],Transactions[Name],Dashboard!A43,Transactions[Month],Sel_Month)))</f>
        <v/>
      </c>
      <c r="E43" s="13" t="str">
        <f t="shared" si="0"/>
        <v/>
      </c>
    </row>
    <row r="44" spans="4:14" x14ac:dyDescent="0.25">
      <c r="D44" s="12" t="str" cm="1">
        <f t="array" ref="D44">_xlfn.IFS(A44="","",A44="Grand Total",SUM(D$4:D43),TRUE,IF(COUNTIF(Transactions[Custom Category],Dashboard!A44)&gt;0,SUMIFS(Transactions[Amount],Transactions[Custom Category],Dashboard!A44,Transactions[Month],Sel_Month),SUMIFS(Transactions[Amount],Transactions[Name],Dashboard!A44,Transactions[Month],Sel_Month)))</f>
        <v/>
      </c>
      <c r="E44" s="13" t="str">
        <f t="shared" si="0"/>
        <v/>
      </c>
    </row>
    <row r="45" spans="4:14" x14ac:dyDescent="0.25">
      <c r="D45" s="12" t="str" cm="1">
        <f t="array" ref="D45">_xlfn.IFS(A45="","",A45="Grand Total",SUM(D$4:D44),TRUE,IF(COUNTIF(Transactions[Custom Category],Dashboard!A45)&gt;0,SUMIFS(Transactions[Amount],Transactions[Custom Category],Dashboard!A45,Transactions[Month],Sel_Month),SUMIFS(Transactions[Amount],Transactions[Name],Dashboard!A45,Transactions[Month],Sel_Month)))</f>
        <v/>
      </c>
      <c r="E45" s="13" t="str">
        <f t="shared" si="0"/>
        <v/>
      </c>
    </row>
    <row r="46" spans="4:14" x14ac:dyDescent="0.25">
      <c r="D46" s="12" t="str" cm="1">
        <f t="array" ref="D46">_xlfn.IFS(A46="","",A46="Grand Total",SUM(D$4:D45),TRUE,IF(COUNTIF(Transactions[Custom Category],Dashboard!A46)&gt;0,SUMIFS(Transactions[Amount],Transactions[Custom Category],Dashboard!A46,Transactions[Month],Sel_Month),SUMIFS(Transactions[Amount],Transactions[Name],Dashboard!A46,Transactions[Month],Sel_Month)))</f>
        <v/>
      </c>
      <c r="E46" s="13" t="str">
        <f t="shared" si="0"/>
        <v/>
      </c>
    </row>
    <row r="47" spans="4:14" x14ac:dyDescent="0.25">
      <c r="D47" s="12" t="str" cm="1">
        <f t="array" ref="D47">_xlfn.IFS(A47="","",A47="Grand Total",SUM(D$4:D46),TRUE,IF(COUNTIF(Transactions[Custom Category],Dashboard!A47)&gt;0,SUMIFS(Transactions[Amount],Transactions[Custom Category],Dashboard!A47,Transactions[Month],Sel_Month),SUMIFS(Transactions[Amount],Transactions[Name],Dashboard!A47,Transactions[Month],Sel_Month)))</f>
        <v/>
      </c>
      <c r="E47" s="13" t="str">
        <f t="shared" si="0"/>
        <v/>
      </c>
    </row>
    <row r="48" spans="4:14" x14ac:dyDescent="0.25">
      <c r="D48" s="12" t="str" cm="1">
        <f t="array" ref="D48">_xlfn.IFS(A48="","",A48="Grand Total",SUM(D$4:D47),TRUE,IF(COUNTIF(Transactions[Custom Category],Dashboard!A48)&gt;0,SUMIFS(Transactions[Amount],Transactions[Custom Category],Dashboard!A48,Transactions[Month],Sel_Month),SUMIFS(Transactions[Amount],Transactions[Name],Dashboard!A48,Transactions[Month],Sel_Month)))</f>
        <v/>
      </c>
      <c r="E48" s="13" t="str">
        <f t="shared" si="0"/>
        <v/>
      </c>
    </row>
    <row r="49" spans="4:5" x14ac:dyDescent="0.25">
      <c r="D49" s="12" t="str" cm="1">
        <f t="array" ref="D49">_xlfn.IFS(A49="","",A49="Grand Total",SUM(D$4:D48),TRUE,IF(COUNTIF(Transactions[Custom Category],Dashboard!A49)&gt;0,SUMIFS(Transactions[Amount],Transactions[Custom Category],Dashboard!A49,Transactions[Month],Sel_Month),SUMIFS(Transactions[Amount],Transactions[Name],Dashboard!A49,Transactions[Month],Sel_Month)))</f>
        <v/>
      </c>
      <c r="E49" s="13" t="str">
        <f t="shared" si="0"/>
        <v/>
      </c>
    </row>
    <row r="50" spans="4:5" x14ac:dyDescent="0.25">
      <c r="D50" s="12" t="str" cm="1">
        <f t="array" ref="D50">_xlfn.IFS(A50="","",A50="Grand Total",SUM(D$4:D49),TRUE,IF(COUNTIF(Transactions[Custom Category],Dashboard!A50)&gt;0,SUMIFS(Transactions[Amount],Transactions[Custom Category],Dashboard!A50,Transactions[Month],Sel_Month),SUMIFS(Transactions[Amount],Transactions[Name],Dashboard!A50,Transactions[Month],Sel_Month)))</f>
        <v/>
      </c>
      <c r="E50" s="13" t="str">
        <f t="shared" si="0"/>
        <v/>
      </c>
    </row>
    <row r="51" spans="4:5" x14ac:dyDescent="0.25">
      <c r="D51" s="12" t="str" cm="1">
        <f t="array" ref="D51">_xlfn.IFS(A51="","",A51="Grand Total",SUM(D$4:D50),TRUE,IF(COUNTIF(Transactions[Custom Category],Dashboard!A51)&gt;0,SUMIFS(Transactions[Amount],Transactions[Custom Category],Dashboard!A51,Transactions[Month],Sel_Month),SUMIFS(Transactions[Amount],Transactions[Name],Dashboard!A51,Transactions[Month],Sel_Month)))</f>
        <v/>
      </c>
      <c r="E51" s="13" t="str">
        <f t="shared" si="0"/>
        <v/>
      </c>
    </row>
    <row r="52" spans="4:5" x14ac:dyDescent="0.25">
      <c r="D52" s="12" t="str" cm="1">
        <f t="array" ref="D52">_xlfn.IFS(A52="","",A52="Grand Total",SUM(D$4:D51),TRUE,IF(COUNTIF(Transactions[Custom Category],Dashboard!A52)&gt;0,SUMIFS(Transactions[Amount],Transactions[Custom Category],Dashboard!A52,Transactions[Month],Sel_Month),SUMIFS(Transactions[Amount],Transactions[Name],Dashboard!A52,Transactions[Month],Sel_Month)))</f>
        <v/>
      </c>
      <c r="E52" s="13" t="str">
        <f t="shared" si="0"/>
        <v/>
      </c>
    </row>
    <row r="53" spans="4:5" x14ac:dyDescent="0.25">
      <c r="D53" s="12" t="str" cm="1">
        <f t="array" ref="D53">_xlfn.IFS(A53="","",A53="Grand Total",SUM(D$4:D52),TRUE,IF(COUNTIF(Transactions[Custom Category],Dashboard!A53)&gt;0,SUMIFS(Transactions[Amount],Transactions[Custom Category],Dashboard!A53,Transactions[Month],Sel_Month),SUMIFS(Transactions[Amount],Transactions[Name],Dashboard!A53,Transactions[Month],Sel_Month)))</f>
        <v/>
      </c>
      <c r="E53" s="13" t="str">
        <f t="shared" si="0"/>
        <v/>
      </c>
    </row>
    <row r="54" spans="4:5" x14ac:dyDescent="0.25">
      <c r="D54" s="12" t="str" cm="1">
        <f t="array" ref="D54">_xlfn.IFS(A54="","",A54="Grand Total",SUM(D$4:D53),TRUE,IF(COUNTIF(Transactions[Custom Category],Dashboard!A54)&gt;0,SUMIFS(Transactions[Amount],Transactions[Custom Category],Dashboard!A54,Transactions[Month],Sel_Month),SUMIFS(Transactions[Amount],Transactions[Name],Dashboard!A54,Transactions[Month],Sel_Month)))</f>
        <v/>
      </c>
      <c r="E54" s="13" t="str">
        <f t="shared" si="0"/>
        <v/>
      </c>
    </row>
    <row r="55" spans="4:5" x14ac:dyDescent="0.25">
      <c r="D55" s="12" t="str" cm="1">
        <f t="array" ref="D55">_xlfn.IFS(A55="","",A55="Grand Total",SUM(D$4:D54),TRUE,IF(COUNTIF(Transactions[Custom Category],Dashboard!A55)&gt;0,SUMIFS(Transactions[Amount],Transactions[Custom Category],Dashboard!A55,Transactions[Month],Sel_Month),SUMIFS(Transactions[Amount],Transactions[Name],Dashboard!A55,Transactions[Month],Sel_Month)))</f>
        <v/>
      </c>
      <c r="E55" s="13" t="str">
        <f t="shared" si="0"/>
        <v/>
      </c>
    </row>
    <row r="56" spans="4:5" x14ac:dyDescent="0.25">
      <c r="D56" s="12" t="str" cm="1">
        <f t="array" ref="D56">_xlfn.IFS(A56="","",A56="Grand Total",SUM(D$4:D55),TRUE,IF(COUNTIF(Transactions[Custom Category],Dashboard!A56)&gt;0,SUMIFS(Transactions[Amount],Transactions[Custom Category],Dashboard!A56,Transactions[Month],Sel_Month),SUMIFS(Transactions[Amount],Transactions[Name],Dashboard!A56,Transactions[Month],Sel_Month)))</f>
        <v/>
      </c>
      <c r="E56" s="13" t="str">
        <f t="shared" si="0"/>
        <v/>
      </c>
    </row>
    <row r="57" spans="4:5" x14ac:dyDescent="0.25">
      <c r="D57" s="12" t="str" cm="1">
        <f t="array" ref="D57">_xlfn.IFS(A57="","",A57="Grand Total",SUM(D$4:D56),TRUE,IF(COUNTIF(Transactions[Custom Category],Dashboard!A57)&gt;0,SUMIFS(Transactions[Amount],Transactions[Custom Category],Dashboard!A57,Transactions[Month],Sel_Month),SUMIFS(Transactions[Amount],Transactions[Name],Dashboard!A57,Transactions[Month],Sel_Month)))</f>
        <v/>
      </c>
      <c r="E57" s="13" t="str">
        <f t="shared" si="0"/>
        <v/>
      </c>
    </row>
    <row r="58" spans="4:5" x14ac:dyDescent="0.25">
      <c r="D58" s="12" t="str" cm="1">
        <f t="array" ref="D58">_xlfn.IFS(A58="","",A58="Grand Total",SUM(D$4:D57),TRUE,IF(COUNTIF(Transactions[Custom Category],Dashboard!A58)&gt;0,SUMIFS(Transactions[Amount],Transactions[Custom Category],Dashboard!A58,Transactions[Month],Sel_Month),SUMIFS(Transactions[Amount],Transactions[Name],Dashboard!A58,Transactions[Month],Sel_Month)))</f>
        <v/>
      </c>
      <c r="E58" s="13" t="str">
        <f t="shared" si="0"/>
        <v/>
      </c>
    </row>
    <row r="59" spans="4:5" x14ac:dyDescent="0.25">
      <c r="D59" s="12" t="str" cm="1">
        <f t="array" ref="D59">_xlfn.IFS(A59="","",A59="Grand Total",SUM(D$4:D58),TRUE,IF(COUNTIF(Transactions[Custom Category],Dashboard!A59)&gt;0,SUMIFS(Transactions[Amount],Transactions[Custom Category],Dashboard!A59,Transactions[Month],Sel_Month),SUMIFS(Transactions[Amount],Transactions[Name],Dashboard!A59,Transactions[Month],Sel_Month)))</f>
        <v/>
      </c>
      <c r="E59" s="13" t="str">
        <f t="shared" si="0"/>
        <v/>
      </c>
    </row>
    <row r="60" spans="4:5" x14ac:dyDescent="0.25">
      <c r="D60" s="12" t="str" cm="1">
        <f t="array" ref="D60">_xlfn.IFS(A60="","",A60="Grand Total",SUM(D$4:D59),TRUE,IF(COUNTIF(Transactions[Custom Category],Dashboard!A60)&gt;0,SUMIFS(Transactions[Amount],Transactions[Custom Category],Dashboard!A60,Transactions[Month],Sel_Month),SUMIFS(Transactions[Amount],Transactions[Name],Dashboard!A60,Transactions[Month],Sel_Month)))</f>
        <v/>
      </c>
      <c r="E60" s="13" t="str">
        <f t="shared" si="0"/>
        <v/>
      </c>
    </row>
    <row r="61" spans="4:5" x14ac:dyDescent="0.25">
      <c r="D61" s="12" t="str" cm="1">
        <f t="array" ref="D61">_xlfn.IFS(A61="","",A61="Grand Total",SUM(D$4:D60),TRUE,IF(COUNTIF(Transactions[Custom Category],Dashboard!A61)&gt;0,SUMIFS(Transactions[Amount],Transactions[Custom Category],Dashboard!A61,Transactions[Month],Sel_Month),SUMIFS(Transactions[Amount],Transactions[Name],Dashboard!A61,Transactions[Month],Sel_Month)))</f>
        <v/>
      </c>
      <c r="E61" s="13" t="str">
        <f t="shared" si="0"/>
        <v/>
      </c>
    </row>
    <row r="62" spans="4:5" x14ac:dyDescent="0.25">
      <c r="D62" s="12" t="str" cm="1">
        <f t="array" ref="D62">_xlfn.IFS(A62="","",A62="Grand Total",SUM(D$4:D61),TRUE,IF(COUNTIF(Transactions[Custom Category],Dashboard!A62)&gt;0,SUMIFS(Transactions[Amount],Transactions[Custom Category],Dashboard!A62,Transactions[Month],Sel_Month),SUMIFS(Transactions[Amount],Transactions[Name],Dashboard!A62,Transactions[Month],Sel_Month)))</f>
        <v/>
      </c>
      <c r="E62" s="13" t="str">
        <f t="shared" si="0"/>
        <v/>
      </c>
    </row>
    <row r="63" spans="4:5" x14ac:dyDescent="0.25">
      <c r="D63" s="12" t="str" cm="1">
        <f t="array" ref="D63">_xlfn.IFS(A63="","",A63="Grand Total",SUM(D$4:D62),TRUE,IF(COUNTIF(Transactions[Custom Category],Dashboard!A63)&gt;0,SUMIFS(Transactions[Amount],Transactions[Custom Category],Dashboard!A63,Transactions[Month],Sel_Month),SUMIFS(Transactions[Amount],Transactions[Name],Dashboard!A63,Transactions[Month],Sel_Month)))</f>
        <v/>
      </c>
      <c r="E63" s="13" t="str">
        <f t="shared" si="0"/>
        <v/>
      </c>
    </row>
    <row r="64" spans="4:5" x14ac:dyDescent="0.25">
      <c r="D64" s="12" t="str" cm="1">
        <f t="array" ref="D64">_xlfn.IFS(A64="","",A64="Grand Total",SUM(D$4:D63),TRUE,IF(COUNTIF(Transactions[Custom Category],Dashboard!A64)&gt;0,SUMIFS(Transactions[Amount],Transactions[Custom Category],Dashboard!A64,Transactions[Month],Sel_Month),SUMIFS(Transactions[Amount],Transactions[Name],Dashboard!A64,Transactions[Month],Sel_Month)))</f>
        <v/>
      </c>
      <c r="E64" s="13" t="str">
        <f t="shared" si="0"/>
        <v/>
      </c>
    </row>
    <row r="65" spans="4:5" x14ac:dyDescent="0.25">
      <c r="D65" s="12" t="str" cm="1">
        <f t="array" ref="D65">_xlfn.IFS(A65="","",A65="Grand Total",SUM(D$4:D64),TRUE,IF(COUNTIF(Transactions[Custom Category],Dashboard!A65)&gt;0,SUMIFS(Transactions[Amount],Transactions[Custom Category],Dashboard!A65,Transactions[Month],Sel_Month),SUMIFS(Transactions[Amount],Transactions[Name],Dashboard!A65,Transactions[Month],Sel_Month)))</f>
        <v/>
      </c>
      <c r="E65" s="13" t="str">
        <f t="shared" si="0"/>
        <v/>
      </c>
    </row>
    <row r="66" spans="4:5" x14ac:dyDescent="0.25">
      <c r="D66" s="12" t="str" cm="1">
        <f t="array" ref="D66">_xlfn.IFS(A66="","",A66="Grand Total",SUM(D$4:D65),TRUE,IF(COUNTIF(Transactions[Custom Category],Dashboard!A66)&gt;0,SUMIFS(Transactions[Amount],Transactions[Custom Category],Dashboard!A66,Transactions[Month],Sel_Month),SUMIFS(Transactions[Amount],Transactions[Name],Dashboard!A66,Transactions[Month],Sel_Month)))</f>
        <v/>
      </c>
      <c r="E66" s="13" t="str">
        <f t="shared" si="0"/>
        <v/>
      </c>
    </row>
    <row r="67" spans="4:5" x14ac:dyDescent="0.25">
      <c r="D67" s="12" t="str" cm="1">
        <f t="array" ref="D67">_xlfn.IFS(A67="","",A67="Grand Total",SUM(D$4:D66),TRUE,IF(COUNTIF(Transactions[Custom Category],Dashboard!A67)&gt;0,SUMIFS(Transactions[Amount],Transactions[Custom Category],Dashboard!A67,Transactions[Month],Sel_Month),SUMIFS(Transactions[Amount],Transactions[Name],Dashboard!A67,Transactions[Month],Sel_Month)))</f>
        <v/>
      </c>
      <c r="E67" s="13" t="str">
        <f t="shared" si="0"/>
        <v/>
      </c>
    </row>
    <row r="68" spans="4:5" x14ac:dyDescent="0.25">
      <c r="D68" s="12" t="str" cm="1">
        <f t="array" ref="D68">_xlfn.IFS(A68="","",A68="Grand Total",SUM(D$4:D67),TRUE,IF(COUNTIF(Transactions[Custom Category],Dashboard!A68)&gt;0,SUMIFS(Transactions[Amount],Transactions[Custom Category],Dashboard!A68,Transactions[Month],Sel_Month),SUMIFS(Transactions[Amount],Transactions[Name],Dashboard!A68,Transactions[Month],Sel_Month)))</f>
        <v/>
      </c>
      <c r="E68" s="13" t="str">
        <f t="shared" si="0"/>
        <v/>
      </c>
    </row>
    <row r="69" spans="4:5" x14ac:dyDescent="0.25">
      <c r="D69" s="12" t="str" cm="1">
        <f t="array" ref="D69">_xlfn.IFS(A69="","",A69="Grand Total",SUM(D$4:D68),TRUE,IF(COUNTIF(Transactions[Custom Category],Dashboard!A69)&gt;0,SUMIFS(Transactions[Amount],Transactions[Custom Category],Dashboard!A69,Transactions[Month],Sel_Month),SUMIFS(Transactions[Amount],Transactions[Name],Dashboard!A69,Transactions[Month],Sel_Month)))</f>
        <v/>
      </c>
      <c r="E69" s="13" t="str">
        <f t="shared" si="0"/>
        <v/>
      </c>
    </row>
    <row r="70" spans="4:5" x14ac:dyDescent="0.25">
      <c r="D70" s="12" t="str" cm="1">
        <f t="array" ref="D70">_xlfn.IFS(A70="","",A70="Grand Total",SUM(D$4:D69),TRUE,IF(COUNTIF(Transactions[Custom Category],Dashboard!A70)&gt;0,SUMIFS(Transactions[Amount],Transactions[Custom Category],Dashboard!A70,Transactions[Month],Sel_Month),SUMIFS(Transactions[Amount],Transactions[Name],Dashboard!A70,Transactions[Month],Sel_Month)))</f>
        <v/>
      </c>
      <c r="E70" s="13" t="str">
        <f t="shared" ref="E70:E133" si="1">IF(C70="","",IF(C70=0,0,1-((C70-D70)/C70)))</f>
        <v/>
      </c>
    </row>
    <row r="71" spans="4:5" x14ac:dyDescent="0.25">
      <c r="D71" s="12" t="str" cm="1">
        <f t="array" ref="D71">_xlfn.IFS(A71="","",A71="Grand Total",SUM(D$4:D70),TRUE,IF(COUNTIF(Transactions[Custom Category],Dashboard!A71)&gt;0,SUMIFS(Transactions[Amount],Transactions[Custom Category],Dashboard!A71,Transactions[Month],Sel_Month),SUMIFS(Transactions[Amount],Transactions[Name],Dashboard!A71,Transactions[Month],Sel_Month)))</f>
        <v/>
      </c>
      <c r="E71" s="13" t="str">
        <f t="shared" si="1"/>
        <v/>
      </c>
    </row>
    <row r="72" spans="4:5" x14ac:dyDescent="0.25">
      <c r="D72" s="12" t="str" cm="1">
        <f t="array" ref="D72">_xlfn.IFS(A72="","",A72="Grand Total",SUM(D$4:D71),TRUE,IF(COUNTIF(Transactions[Custom Category],Dashboard!A72)&gt;0,SUMIFS(Transactions[Amount],Transactions[Custom Category],Dashboard!A72,Transactions[Month],Sel_Month),SUMIFS(Transactions[Amount],Transactions[Name],Dashboard!A72,Transactions[Month],Sel_Month)))</f>
        <v/>
      </c>
      <c r="E72" s="13" t="str">
        <f t="shared" si="1"/>
        <v/>
      </c>
    </row>
    <row r="73" spans="4:5" x14ac:dyDescent="0.25">
      <c r="D73" s="12" t="str" cm="1">
        <f t="array" ref="D73">_xlfn.IFS(A73="","",A73="Grand Total",SUM(D$4:D72),TRUE,IF(COUNTIF(Transactions[Custom Category],Dashboard!A73)&gt;0,SUMIFS(Transactions[Amount],Transactions[Custom Category],Dashboard!A73,Transactions[Month],Sel_Month),SUMIFS(Transactions[Amount],Transactions[Name],Dashboard!A73,Transactions[Month],Sel_Month)))</f>
        <v/>
      </c>
      <c r="E73" s="13" t="str">
        <f t="shared" si="1"/>
        <v/>
      </c>
    </row>
    <row r="74" spans="4:5" x14ac:dyDescent="0.25">
      <c r="D74" s="12" t="str" cm="1">
        <f t="array" ref="D74">_xlfn.IFS(A74="","",A74="Grand Total",SUM(D$4:D73),TRUE,IF(COUNTIF(Transactions[Custom Category],Dashboard!A74)&gt;0,SUMIFS(Transactions[Amount],Transactions[Custom Category],Dashboard!A74,Transactions[Month],Sel_Month),SUMIFS(Transactions[Amount],Transactions[Name],Dashboard!A74,Transactions[Month],Sel_Month)))</f>
        <v/>
      </c>
      <c r="E74" s="13" t="str">
        <f t="shared" si="1"/>
        <v/>
      </c>
    </row>
    <row r="75" spans="4:5" x14ac:dyDescent="0.25">
      <c r="D75" s="12" t="str" cm="1">
        <f t="array" ref="D75">_xlfn.IFS(A75="","",A75="Grand Total",SUM(D$4:D74),TRUE,IF(COUNTIF(Transactions[Custom Category],Dashboard!A75)&gt;0,SUMIFS(Transactions[Amount],Transactions[Custom Category],Dashboard!A75,Transactions[Month],Sel_Month),SUMIFS(Transactions[Amount],Transactions[Name],Dashboard!A75,Transactions[Month],Sel_Month)))</f>
        <v/>
      </c>
      <c r="E75" s="13" t="str">
        <f t="shared" si="1"/>
        <v/>
      </c>
    </row>
    <row r="76" spans="4:5" x14ac:dyDescent="0.25">
      <c r="D76" s="12" t="str" cm="1">
        <f t="array" ref="D76">_xlfn.IFS(A76="","",A76="Grand Total",SUM(D$4:D75),TRUE,IF(COUNTIF(Transactions[Custom Category],Dashboard!A76)&gt;0,SUMIFS(Transactions[Amount],Transactions[Custom Category],Dashboard!A76,Transactions[Month],Sel_Month),SUMIFS(Transactions[Amount],Transactions[Name],Dashboard!A76,Transactions[Month],Sel_Month)))</f>
        <v/>
      </c>
      <c r="E76" s="13" t="str">
        <f t="shared" si="1"/>
        <v/>
      </c>
    </row>
    <row r="77" spans="4:5" x14ac:dyDescent="0.25">
      <c r="D77" s="12" t="str" cm="1">
        <f t="array" ref="D77">_xlfn.IFS(A77="","",A77="Grand Total",SUM(D$4:D76),TRUE,IF(COUNTIF(Transactions[Custom Category],Dashboard!A77)&gt;0,SUMIFS(Transactions[Amount],Transactions[Custom Category],Dashboard!A77,Transactions[Month],Sel_Month),SUMIFS(Transactions[Amount],Transactions[Name],Dashboard!A77,Transactions[Month],Sel_Month)))</f>
        <v/>
      </c>
      <c r="E77" s="13" t="str">
        <f t="shared" si="1"/>
        <v/>
      </c>
    </row>
    <row r="78" spans="4:5" x14ac:dyDescent="0.25">
      <c r="D78" s="12" t="str" cm="1">
        <f t="array" ref="D78">_xlfn.IFS(A78="","",A78="Grand Total",SUM(D$4:D77),TRUE,IF(COUNTIF(Transactions[Custom Category],Dashboard!A78)&gt;0,SUMIFS(Transactions[Amount],Transactions[Custom Category],Dashboard!A78,Transactions[Month],Sel_Month),SUMIFS(Transactions[Amount],Transactions[Name],Dashboard!A78,Transactions[Month],Sel_Month)))</f>
        <v/>
      </c>
      <c r="E78" s="13" t="str">
        <f t="shared" si="1"/>
        <v/>
      </c>
    </row>
    <row r="79" spans="4:5" x14ac:dyDescent="0.25">
      <c r="D79" s="12" t="str" cm="1">
        <f t="array" ref="D79">_xlfn.IFS(A79="","",A79="Grand Total",SUM(D$4:D78),TRUE,IF(COUNTIF(Transactions[Custom Category],Dashboard!A79)&gt;0,SUMIFS(Transactions[Amount],Transactions[Custom Category],Dashboard!A79,Transactions[Month],Sel_Month),SUMIFS(Transactions[Amount],Transactions[Name],Dashboard!A79,Transactions[Month],Sel_Month)))</f>
        <v/>
      </c>
      <c r="E79" s="13" t="str">
        <f t="shared" si="1"/>
        <v/>
      </c>
    </row>
    <row r="80" spans="4:5" x14ac:dyDescent="0.25">
      <c r="D80" s="12" t="str" cm="1">
        <f t="array" ref="D80">_xlfn.IFS(A80="","",A80="Grand Total",SUM(D$4:D79),TRUE,IF(COUNTIF(Transactions[Custom Category],Dashboard!A80)&gt;0,SUMIFS(Transactions[Amount],Transactions[Custom Category],Dashboard!A80,Transactions[Month],Sel_Month),SUMIFS(Transactions[Amount],Transactions[Name],Dashboard!A80,Transactions[Month],Sel_Month)))</f>
        <v/>
      </c>
      <c r="E80" s="13" t="str">
        <f t="shared" si="1"/>
        <v/>
      </c>
    </row>
    <row r="81" spans="4:5" x14ac:dyDescent="0.25">
      <c r="D81" s="12" t="str" cm="1">
        <f t="array" ref="D81">_xlfn.IFS(A81="","",A81="Grand Total",SUM(D$4:D80),TRUE,IF(COUNTIF(Transactions[Custom Category],Dashboard!A81)&gt;0,SUMIFS(Transactions[Amount],Transactions[Custom Category],Dashboard!A81,Transactions[Month],Sel_Month),SUMIFS(Transactions[Amount],Transactions[Name],Dashboard!A81,Transactions[Month],Sel_Month)))</f>
        <v/>
      </c>
      <c r="E81" s="13" t="str">
        <f t="shared" si="1"/>
        <v/>
      </c>
    </row>
    <row r="82" spans="4:5" x14ac:dyDescent="0.25">
      <c r="D82" s="12" t="str" cm="1">
        <f t="array" ref="D82">_xlfn.IFS(A82="","",A82="Grand Total",SUM(D$4:D81),TRUE,IF(COUNTIF(Transactions[Custom Category],Dashboard!A82)&gt;0,SUMIFS(Transactions[Amount],Transactions[Custom Category],Dashboard!A82,Transactions[Month],Sel_Month),SUMIFS(Transactions[Amount],Transactions[Name],Dashboard!A82,Transactions[Month],Sel_Month)))</f>
        <v/>
      </c>
      <c r="E82" s="13" t="str">
        <f t="shared" si="1"/>
        <v/>
      </c>
    </row>
    <row r="83" spans="4:5" x14ac:dyDescent="0.25">
      <c r="D83" s="12" t="str" cm="1">
        <f t="array" ref="D83">_xlfn.IFS(A83="","",A83="Grand Total",SUM(D$4:D82),TRUE,IF(COUNTIF(Transactions[Custom Category],Dashboard!A83)&gt;0,SUMIFS(Transactions[Amount],Transactions[Custom Category],Dashboard!A83,Transactions[Month],Sel_Month),SUMIFS(Transactions[Amount],Transactions[Name],Dashboard!A83,Transactions[Month],Sel_Month)))</f>
        <v/>
      </c>
      <c r="E83" s="13" t="str">
        <f t="shared" si="1"/>
        <v/>
      </c>
    </row>
    <row r="84" spans="4:5" x14ac:dyDescent="0.25">
      <c r="D84" s="12" t="str" cm="1">
        <f t="array" ref="D84">_xlfn.IFS(A84="","",A84="Grand Total",SUM(D$4:D83),TRUE,IF(COUNTIF(Transactions[Custom Category],Dashboard!A84)&gt;0,SUMIFS(Transactions[Amount],Transactions[Custom Category],Dashboard!A84,Transactions[Month],Sel_Month),SUMIFS(Transactions[Amount],Transactions[Name],Dashboard!A84,Transactions[Month],Sel_Month)))</f>
        <v/>
      </c>
      <c r="E84" s="13" t="str">
        <f t="shared" si="1"/>
        <v/>
      </c>
    </row>
    <row r="85" spans="4:5" x14ac:dyDescent="0.25">
      <c r="D85" s="12" t="str" cm="1">
        <f t="array" ref="D85">_xlfn.IFS(A85="","",A85="Grand Total",SUM(D$4:D84),TRUE,IF(COUNTIF(Transactions[Custom Category],Dashboard!A85)&gt;0,SUMIFS(Transactions[Amount],Transactions[Custom Category],Dashboard!A85,Transactions[Month],Sel_Month),SUMIFS(Transactions[Amount],Transactions[Name],Dashboard!A85,Transactions[Month],Sel_Month)))</f>
        <v/>
      </c>
      <c r="E85" s="13" t="str">
        <f t="shared" si="1"/>
        <v/>
      </c>
    </row>
    <row r="86" spans="4:5" x14ac:dyDescent="0.25">
      <c r="D86" s="12" t="str" cm="1">
        <f t="array" ref="D86">_xlfn.IFS(A86="","",A86="Grand Total",SUM(D$4:D85),TRUE,IF(COUNTIF(Transactions[Custom Category],Dashboard!A86)&gt;0,SUMIFS(Transactions[Amount],Transactions[Custom Category],Dashboard!A86,Transactions[Month],Sel_Month),SUMIFS(Transactions[Amount],Transactions[Name],Dashboard!A86,Transactions[Month],Sel_Month)))</f>
        <v/>
      </c>
      <c r="E86" s="13" t="str">
        <f t="shared" si="1"/>
        <v/>
      </c>
    </row>
    <row r="87" spans="4:5" x14ac:dyDescent="0.25">
      <c r="D87" s="12" t="str" cm="1">
        <f t="array" ref="D87">_xlfn.IFS(A87="","",A87="Grand Total",SUM(D$4:D86),TRUE,IF(COUNTIF(Transactions[Custom Category],Dashboard!A87)&gt;0,SUMIFS(Transactions[Amount],Transactions[Custom Category],Dashboard!A87,Transactions[Month],Sel_Month),SUMIFS(Transactions[Amount],Transactions[Name],Dashboard!A87,Transactions[Month],Sel_Month)))</f>
        <v/>
      </c>
      <c r="E87" s="13" t="str">
        <f t="shared" si="1"/>
        <v/>
      </c>
    </row>
    <row r="88" spans="4:5" x14ac:dyDescent="0.25">
      <c r="D88" s="12" t="str" cm="1">
        <f t="array" ref="D88">_xlfn.IFS(A88="","",A88="Grand Total",SUM(D$4:D87),TRUE,IF(COUNTIF(Transactions[Custom Category],Dashboard!A88)&gt;0,SUMIFS(Transactions[Amount],Transactions[Custom Category],Dashboard!A88,Transactions[Month],Sel_Month),SUMIFS(Transactions[Amount],Transactions[Name],Dashboard!A88,Transactions[Month],Sel_Month)))</f>
        <v/>
      </c>
      <c r="E88" s="13" t="str">
        <f t="shared" si="1"/>
        <v/>
      </c>
    </row>
    <row r="89" spans="4:5" x14ac:dyDescent="0.25">
      <c r="D89" s="12" t="str" cm="1">
        <f t="array" ref="D89">_xlfn.IFS(A89="","",A89="Grand Total",SUM(D$4:D88),TRUE,IF(COUNTIF(Transactions[Custom Category],Dashboard!A89)&gt;0,SUMIFS(Transactions[Amount],Transactions[Custom Category],Dashboard!A89,Transactions[Month],Sel_Month),SUMIFS(Transactions[Amount],Transactions[Name],Dashboard!A89,Transactions[Month],Sel_Month)))</f>
        <v/>
      </c>
      <c r="E89" s="13" t="str">
        <f t="shared" si="1"/>
        <v/>
      </c>
    </row>
    <row r="90" spans="4:5" x14ac:dyDescent="0.25">
      <c r="D90" s="12" t="str" cm="1">
        <f t="array" ref="D90">_xlfn.IFS(A90="","",A90="Grand Total",SUM(D$4:D89),TRUE,IF(COUNTIF(Transactions[Custom Category],Dashboard!A90)&gt;0,SUMIFS(Transactions[Amount],Transactions[Custom Category],Dashboard!A90,Transactions[Month],Sel_Month),SUMIFS(Transactions[Amount],Transactions[Name],Dashboard!A90,Transactions[Month],Sel_Month)))</f>
        <v/>
      </c>
      <c r="E90" s="13" t="str">
        <f t="shared" si="1"/>
        <v/>
      </c>
    </row>
    <row r="91" spans="4:5" x14ac:dyDescent="0.25">
      <c r="D91" s="12" t="str" cm="1">
        <f t="array" ref="D91">_xlfn.IFS(A91="","",A91="Grand Total",SUM(D$4:D90),TRUE,IF(COUNTIF(Transactions[Custom Category],Dashboard!A91)&gt;0,SUMIFS(Transactions[Amount],Transactions[Custom Category],Dashboard!A91,Transactions[Month],Sel_Month),SUMIFS(Transactions[Amount],Transactions[Name],Dashboard!A91,Transactions[Month],Sel_Month)))</f>
        <v/>
      </c>
      <c r="E91" s="13" t="str">
        <f t="shared" si="1"/>
        <v/>
      </c>
    </row>
    <row r="92" spans="4:5" x14ac:dyDescent="0.25">
      <c r="D92" s="12" t="str" cm="1">
        <f t="array" ref="D92">_xlfn.IFS(A92="","",A92="Grand Total",SUM(D$4:D91),TRUE,IF(COUNTIF(Transactions[Custom Category],Dashboard!A92)&gt;0,SUMIFS(Transactions[Amount],Transactions[Custom Category],Dashboard!A92,Transactions[Month],Sel_Month),SUMIFS(Transactions[Amount],Transactions[Name],Dashboard!A92,Transactions[Month],Sel_Month)))</f>
        <v/>
      </c>
      <c r="E92" s="13" t="str">
        <f t="shared" si="1"/>
        <v/>
      </c>
    </row>
    <row r="93" spans="4:5" x14ac:dyDescent="0.25">
      <c r="D93" s="12" t="str" cm="1">
        <f t="array" ref="D93">_xlfn.IFS(A93="","",A93="Grand Total",SUM(D$4:D92),TRUE,IF(COUNTIF(Transactions[Custom Category],Dashboard!A93)&gt;0,SUMIFS(Transactions[Amount],Transactions[Custom Category],Dashboard!A93,Transactions[Month],Sel_Month),SUMIFS(Transactions[Amount],Transactions[Name],Dashboard!A93,Transactions[Month],Sel_Month)))</f>
        <v/>
      </c>
      <c r="E93" s="13" t="str">
        <f t="shared" si="1"/>
        <v/>
      </c>
    </row>
    <row r="94" spans="4:5" x14ac:dyDescent="0.25">
      <c r="D94" s="12" t="str" cm="1">
        <f t="array" ref="D94">_xlfn.IFS(A94="","",A94="Grand Total",SUM(D$4:D93),TRUE,IF(COUNTIF(Transactions[Custom Category],Dashboard!A94)&gt;0,SUMIFS(Transactions[Amount],Transactions[Custom Category],Dashboard!A94,Transactions[Month],Sel_Month),SUMIFS(Transactions[Amount],Transactions[Name],Dashboard!A94,Transactions[Month],Sel_Month)))</f>
        <v/>
      </c>
      <c r="E94" s="13" t="str">
        <f t="shared" si="1"/>
        <v/>
      </c>
    </row>
    <row r="95" spans="4:5" x14ac:dyDescent="0.25">
      <c r="D95" s="12" t="str" cm="1">
        <f t="array" ref="D95">_xlfn.IFS(A95="","",A95="Grand Total",SUM(D$4:D94),TRUE,IF(COUNTIF(Transactions[Custom Category],Dashboard!A95)&gt;0,SUMIFS(Transactions[Amount],Transactions[Custom Category],Dashboard!A95,Transactions[Month],Sel_Month),SUMIFS(Transactions[Amount],Transactions[Name],Dashboard!A95,Transactions[Month],Sel_Month)))</f>
        <v/>
      </c>
      <c r="E95" s="13" t="str">
        <f t="shared" si="1"/>
        <v/>
      </c>
    </row>
    <row r="96" spans="4:5" x14ac:dyDescent="0.25">
      <c r="D96" s="12" t="str" cm="1">
        <f t="array" ref="D96">_xlfn.IFS(A96="","",A96="Grand Total",SUM(D$4:D95),TRUE,IF(COUNTIF(Transactions[Custom Category],Dashboard!A96)&gt;0,SUMIFS(Transactions[Amount],Transactions[Custom Category],Dashboard!A96,Transactions[Month],Sel_Month),SUMIFS(Transactions[Amount],Transactions[Name],Dashboard!A96,Transactions[Month],Sel_Month)))</f>
        <v/>
      </c>
      <c r="E96" s="13" t="str">
        <f t="shared" si="1"/>
        <v/>
      </c>
    </row>
    <row r="97" spans="4:5" x14ac:dyDescent="0.25">
      <c r="D97" s="12" t="str" cm="1">
        <f t="array" ref="D97">_xlfn.IFS(A97="","",A97="Grand Total",SUM(D$4:D96),TRUE,IF(COUNTIF(Transactions[Custom Category],Dashboard!A97)&gt;0,SUMIFS(Transactions[Amount],Transactions[Custom Category],Dashboard!A97,Transactions[Month],Sel_Month),SUMIFS(Transactions[Amount],Transactions[Name],Dashboard!A97,Transactions[Month],Sel_Month)))</f>
        <v/>
      </c>
      <c r="E97" s="13" t="str">
        <f t="shared" si="1"/>
        <v/>
      </c>
    </row>
    <row r="98" spans="4:5" x14ac:dyDescent="0.25">
      <c r="D98" s="12" t="str" cm="1">
        <f t="array" ref="D98">_xlfn.IFS(A98="","",A98="Grand Total",SUM(D$4:D97),TRUE,IF(COUNTIF(Transactions[Custom Category],Dashboard!A98)&gt;0,SUMIFS(Transactions[Amount],Transactions[Custom Category],Dashboard!A98,Transactions[Month],Sel_Month),SUMIFS(Transactions[Amount],Transactions[Name],Dashboard!A98,Transactions[Month],Sel_Month)))</f>
        <v/>
      </c>
      <c r="E98" s="13" t="str">
        <f t="shared" si="1"/>
        <v/>
      </c>
    </row>
    <row r="99" spans="4:5" x14ac:dyDescent="0.25">
      <c r="D99" s="12" t="str" cm="1">
        <f t="array" ref="D99">_xlfn.IFS(A99="","",A99="Grand Total",SUM(D$4:D98),TRUE,IF(COUNTIF(Transactions[Custom Category],Dashboard!A99)&gt;0,SUMIFS(Transactions[Amount],Transactions[Custom Category],Dashboard!A99,Transactions[Month],Sel_Month),SUMIFS(Transactions[Amount],Transactions[Name],Dashboard!A99,Transactions[Month],Sel_Month)))</f>
        <v/>
      </c>
      <c r="E99" s="13" t="str">
        <f t="shared" si="1"/>
        <v/>
      </c>
    </row>
    <row r="100" spans="4:5" x14ac:dyDescent="0.25">
      <c r="D100" s="12" t="str" cm="1">
        <f t="array" ref="D100">_xlfn.IFS(A100="","",A100="Grand Total",SUM(D$4:D99),TRUE,IF(COUNTIF(Transactions[Custom Category],Dashboard!A100)&gt;0,SUMIFS(Transactions[Amount],Transactions[Custom Category],Dashboard!A100,Transactions[Month],Sel_Month),SUMIFS(Transactions[Amount],Transactions[Name],Dashboard!A100,Transactions[Month],Sel_Month)))</f>
        <v/>
      </c>
      <c r="E100" s="13" t="str">
        <f t="shared" si="1"/>
        <v/>
      </c>
    </row>
    <row r="101" spans="4:5" x14ac:dyDescent="0.25">
      <c r="D101" s="12" t="str" cm="1">
        <f t="array" ref="D101">_xlfn.IFS(A101="","",A101="Grand Total",SUM(D$4:D100),TRUE,IF(COUNTIF(Transactions[Custom Category],Dashboard!A101)&gt;0,SUMIFS(Transactions[Amount],Transactions[Custom Category],Dashboard!A101,Transactions[Month],Sel_Month),SUMIFS(Transactions[Amount],Transactions[Name],Dashboard!A101,Transactions[Month],Sel_Month)))</f>
        <v/>
      </c>
      <c r="E101" s="13" t="str">
        <f t="shared" si="1"/>
        <v/>
      </c>
    </row>
    <row r="102" spans="4:5" x14ac:dyDescent="0.25">
      <c r="D102" s="12" t="str" cm="1">
        <f t="array" ref="D102">_xlfn.IFS(A102="","",A102="Grand Total",SUM(D$4:D101),TRUE,IF(COUNTIF(Transactions[Custom Category],Dashboard!A102)&gt;0,SUMIFS(Transactions[Amount],Transactions[Custom Category],Dashboard!A102,Transactions[Month],Sel_Month),SUMIFS(Transactions[Amount],Transactions[Name],Dashboard!A102,Transactions[Month],Sel_Month)))</f>
        <v/>
      </c>
      <c r="E102" s="13" t="str">
        <f t="shared" si="1"/>
        <v/>
      </c>
    </row>
    <row r="103" spans="4:5" x14ac:dyDescent="0.25">
      <c r="D103" s="12" t="str" cm="1">
        <f t="array" ref="D103">_xlfn.IFS(A103="","",A103="Grand Total",SUM(D$4:D102),TRUE,IF(COUNTIF(Transactions[Custom Category],Dashboard!A103)&gt;0,SUMIFS(Transactions[Amount],Transactions[Custom Category],Dashboard!A103,Transactions[Month],Sel_Month),SUMIFS(Transactions[Amount],Transactions[Name],Dashboard!A103,Transactions[Month],Sel_Month)))</f>
        <v/>
      </c>
      <c r="E103" s="13" t="str">
        <f t="shared" si="1"/>
        <v/>
      </c>
    </row>
    <row r="104" spans="4:5" x14ac:dyDescent="0.25">
      <c r="D104" s="12" t="str" cm="1">
        <f t="array" ref="D104">_xlfn.IFS(A104="","",A104="Grand Total",SUM(D$4:D103),TRUE,IF(COUNTIF(Transactions[Custom Category],Dashboard!A104)&gt;0,SUMIFS(Transactions[Amount],Transactions[Custom Category],Dashboard!A104,Transactions[Month],Sel_Month),SUMIFS(Transactions[Amount],Transactions[Name],Dashboard!A104,Transactions[Month],Sel_Month)))</f>
        <v/>
      </c>
      <c r="E104" s="13" t="str">
        <f t="shared" si="1"/>
        <v/>
      </c>
    </row>
    <row r="105" spans="4:5" x14ac:dyDescent="0.25">
      <c r="D105" s="12" t="str" cm="1">
        <f t="array" ref="D105">_xlfn.IFS(A105="","",A105="Grand Total",SUM(D$4:D104),TRUE,IF(COUNTIF(Transactions[Custom Category],Dashboard!A105)&gt;0,SUMIFS(Transactions[Amount],Transactions[Custom Category],Dashboard!A105,Transactions[Month],Sel_Month),SUMIFS(Transactions[Amount],Transactions[Name],Dashboard!A105,Transactions[Month],Sel_Month)))</f>
        <v/>
      </c>
      <c r="E105" s="13" t="str">
        <f t="shared" si="1"/>
        <v/>
      </c>
    </row>
    <row r="106" spans="4:5" x14ac:dyDescent="0.25">
      <c r="D106" s="12" t="str" cm="1">
        <f t="array" ref="D106">_xlfn.IFS(A106="","",A106="Grand Total",SUM(D$4:D105),TRUE,IF(COUNTIF(Transactions[Custom Category],Dashboard!A106)&gt;0,SUMIFS(Transactions[Amount],Transactions[Custom Category],Dashboard!A106,Transactions[Month],Sel_Month),SUMIFS(Transactions[Amount],Transactions[Name],Dashboard!A106,Transactions[Month],Sel_Month)))</f>
        <v/>
      </c>
      <c r="E106" s="13" t="str">
        <f t="shared" si="1"/>
        <v/>
      </c>
    </row>
    <row r="107" spans="4:5" x14ac:dyDescent="0.25">
      <c r="D107" s="12" t="str" cm="1">
        <f t="array" ref="D107">_xlfn.IFS(A107="","",A107="Grand Total",SUM(D$4:D106),TRUE,IF(COUNTIF(Transactions[Custom Category],Dashboard!A107)&gt;0,SUMIFS(Transactions[Amount],Transactions[Custom Category],Dashboard!A107,Transactions[Month],Sel_Month),SUMIFS(Transactions[Amount],Transactions[Name],Dashboard!A107,Transactions[Month],Sel_Month)))</f>
        <v/>
      </c>
      <c r="E107" s="13" t="str">
        <f t="shared" si="1"/>
        <v/>
      </c>
    </row>
    <row r="108" spans="4:5" x14ac:dyDescent="0.25">
      <c r="D108" s="12" t="str" cm="1">
        <f t="array" ref="D108">_xlfn.IFS(A108="","",A108="Grand Total",SUM(D$4:D107),TRUE,IF(COUNTIF(Transactions[Custom Category],Dashboard!A108)&gt;0,SUMIFS(Transactions[Amount],Transactions[Custom Category],Dashboard!A108,Transactions[Month],Sel_Month),SUMIFS(Transactions[Amount],Transactions[Name],Dashboard!A108,Transactions[Month],Sel_Month)))</f>
        <v/>
      </c>
      <c r="E108" s="13" t="str">
        <f t="shared" si="1"/>
        <v/>
      </c>
    </row>
    <row r="109" spans="4:5" x14ac:dyDescent="0.25">
      <c r="D109" s="12" t="str" cm="1">
        <f t="array" ref="D109">_xlfn.IFS(A109="","",A109="Grand Total",SUM(D$4:D108),TRUE,IF(COUNTIF(Transactions[Custom Category],Dashboard!A109)&gt;0,SUMIFS(Transactions[Amount],Transactions[Custom Category],Dashboard!A109,Transactions[Month],Sel_Month),SUMIFS(Transactions[Amount],Transactions[Name],Dashboard!A109,Transactions[Month],Sel_Month)))</f>
        <v/>
      </c>
      <c r="E109" s="13" t="str">
        <f t="shared" si="1"/>
        <v/>
      </c>
    </row>
    <row r="110" spans="4:5" x14ac:dyDescent="0.25">
      <c r="D110" s="12" t="str" cm="1">
        <f t="array" ref="D110">_xlfn.IFS(A110="","",A110="Grand Total",SUM(D$4:D109),TRUE,IF(COUNTIF(Transactions[Custom Category],Dashboard!A110)&gt;0,SUMIFS(Transactions[Amount],Transactions[Custom Category],Dashboard!A110,Transactions[Month],Sel_Month),SUMIFS(Transactions[Amount],Transactions[Name],Dashboard!A110,Transactions[Month],Sel_Month)))</f>
        <v/>
      </c>
      <c r="E110" s="13" t="str">
        <f t="shared" si="1"/>
        <v/>
      </c>
    </row>
    <row r="111" spans="4:5" x14ac:dyDescent="0.25">
      <c r="D111" s="12" t="str" cm="1">
        <f t="array" ref="D111">_xlfn.IFS(A111="","",A111="Grand Total",SUM(D$4:D110),TRUE,IF(COUNTIF(Transactions[Custom Category],Dashboard!A111)&gt;0,SUMIFS(Transactions[Amount],Transactions[Custom Category],Dashboard!A111,Transactions[Month],Sel_Month),SUMIFS(Transactions[Amount],Transactions[Name],Dashboard!A111,Transactions[Month],Sel_Month)))</f>
        <v/>
      </c>
      <c r="E111" s="13" t="str">
        <f t="shared" si="1"/>
        <v/>
      </c>
    </row>
    <row r="112" spans="4:5" x14ac:dyDescent="0.25">
      <c r="D112" s="12" t="str" cm="1">
        <f t="array" ref="D112">_xlfn.IFS(A112="","",A112="Grand Total",SUM(D$4:D111),TRUE,IF(COUNTIF(Transactions[Custom Category],Dashboard!A112)&gt;0,SUMIFS(Transactions[Amount],Transactions[Custom Category],Dashboard!A112,Transactions[Month],Sel_Month),SUMIFS(Transactions[Amount],Transactions[Name],Dashboard!A112,Transactions[Month],Sel_Month)))</f>
        <v/>
      </c>
      <c r="E112" s="13" t="str">
        <f t="shared" si="1"/>
        <v/>
      </c>
    </row>
    <row r="113" spans="4:5" x14ac:dyDescent="0.25">
      <c r="D113" s="12" t="str" cm="1">
        <f t="array" ref="D113">_xlfn.IFS(A113="","",A113="Grand Total",SUM(D$4:D112),TRUE,IF(COUNTIF(Transactions[Custom Category],Dashboard!A113)&gt;0,SUMIFS(Transactions[Amount],Transactions[Custom Category],Dashboard!A113,Transactions[Month],Sel_Month),SUMIFS(Transactions[Amount],Transactions[Name],Dashboard!A113,Transactions[Month],Sel_Month)))</f>
        <v/>
      </c>
      <c r="E113" s="13" t="str">
        <f t="shared" si="1"/>
        <v/>
      </c>
    </row>
    <row r="114" spans="4:5" x14ac:dyDescent="0.25">
      <c r="D114" s="12" t="str" cm="1">
        <f t="array" ref="D114">_xlfn.IFS(A114="","",A114="Grand Total",SUM(D$4:D113),TRUE,IF(COUNTIF(Transactions[Custom Category],Dashboard!A114)&gt;0,SUMIFS(Transactions[Amount],Transactions[Custom Category],Dashboard!A114,Transactions[Month],Sel_Month),SUMIFS(Transactions[Amount],Transactions[Name],Dashboard!A114,Transactions[Month],Sel_Month)))</f>
        <v/>
      </c>
      <c r="E114" s="13" t="str">
        <f t="shared" si="1"/>
        <v/>
      </c>
    </row>
    <row r="115" spans="4:5" x14ac:dyDescent="0.25">
      <c r="D115" s="12" t="str" cm="1">
        <f t="array" ref="D115">_xlfn.IFS(A115="","",A115="Grand Total",SUM(D$4:D114),TRUE,IF(COUNTIF(Transactions[Custom Category],Dashboard!A115)&gt;0,SUMIFS(Transactions[Amount],Transactions[Custom Category],Dashboard!A115,Transactions[Month],Sel_Month),SUMIFS(Transactions[Amount],Transactions[Name],Dashboard!A115,Transactions[Month],Sel_Month)))</f>
        <v/>
      </c>
      <c r="E115" s="13" t="str">
        <f t="shared" si="1"/>
        <v/>
      </c>
    </row>
    <row r="116" spans="4:5" x14ac:dyDescent="0.25">
      <c r="D116" s="12" t="str" cm="1">
        <f t="array" ref="D116">_xlfn.IFS(A116="","",A116="Grand Total",SUM(D$4:D115),TRUE,IF(COUNTIF(Transactions[Custom Category],Dashboard!A116)&gt;0,SUMIFS(Transactions[Amount],Transactions[Custom Category],Dashboard!A116,Transactions[Month],Sel_Month),SUMIFS(Transactions[Amount],Transactions[Name],Dashboard!A116,Transactions[Month],Sel_Month)))</f>
        <v/>
      </c>
      <c r="E116" s="13" t="str">
        <f t="shared" si="1"/>
        <v/>
      </c>
    </row>
    <row r="117" spans="4:5" x14ac:dyDescent="0.25">
      <c r="D117" s="12" t="str" cm="1">
        <f t="array" ref="D117">_xlfn.IFS(A117="","",A117="Grand Total",SUM(D$4:D116),TRUE,IF(COUNTIF(Transactions[Custom Category],Dashboard!A117)&gt;0,SUMIFS(Transactions[Amount],Transactions[Custom Category],Dashboard!A117,Transactions[Month],Sel_Month),SUMIFS(Transactions[Amount],Transactions[Name],Dashboard!A117,Transactions[Month],Sel_Month)))</f>
        <v/>
      </c>
      <c r="E117" s="13" t="str">
        <f t="shared" si="1"/>
        <v/>
      </c>
    </row>
    <row r="118" spans="4:5" x14ac:dyDescent="0.25">
      <c r="D118" s="12" t="str" cm="1">
        <f t="array" ref="D118">_xlfn.IFS(A118="","",A118="Grand Total",SUM(D$4:D117),TRUE,IF(COUNTIF(Transactions[Custom Category],Dashboard!A118)&gt;0,SUMIFS(Transactions[Amount],Transactions[Custom Category],Dashboard!A118,Transactions[Month],Sel_Month),SUMIFS(Transactions[Amount],Transactions[Name],Dashboard!A118,Transactions[Month],Sel_Month)))</f>
        <v/>
      </c>
      <c r="E118" s="13" t="str">
        <f t="shared" si="1"/>
        <v/>
      </c>
    </row>
    <row r="119" spans="4:5" x14ac:dyDescent="0.25">
      <c r="D119" s="12" t="str" cm="1">
        <f t="array" ref="D119">_xlfn.IFS(A119="","",A119="Grand Total",SUM(D$4:D118),TRUE,IF(COUNTIF(Transactions[Custom Category],Dashboard!A119)&gt;0,SUMIFS(Transactions[Amount],Transactions[Custom Category],Dashboard!A119,Transactions[Month],Sel_Month),SUMIFS(Transactions[Amount],Transactions[Name],Dashboard!A119,Transactions[Month],Sel_Month)))</f>
        <v/>
      </c>
      <c r="E119" s="13" t="str">
        <f t="shared" si="1"/>
        <v/>
      </c>
    </row>
    <row r="120" spans="4:5" x14ac:dyDescent="0.25">
      <c r="D120" s="12" t="str" cm="1">
        <f t="array" ref="D120">_xlfn.IFS(A120="","",A120="Grand Total",SUM(D$4:D119),TRUE,IF(COUNTIF(Transactions[Custom Category],Dashboard!A120)&gt;0,SUMIFS(Transactions[Amount],Transactions[Custom Category],Dashboard!A120,Transactions[Month],Sel_Month),SUMIFS(Transactions[Amount],Transactions[Name],Dashboard!A120,Transactions[Month],Sel_Month)))</f>
        <v/>
      </c>
      <c r="E120" s="13" t="str">
        <f t="shared" si="1"/>
        <v/>
      </c>
    </row>
    <row r="121" spans="4:5" x14ac:dyDescent="0.25">
      <c r="D121" s="12" t="str" cm="1">
        <f t="array" ref="D121">_xlfn.IFS(A121="","",A121="Grand Total",SUM(D$4:D120),TRUE,IF(COUNTIF(Transactions[Custom Category],Dashboard!A121)&gt;0,SUMIFS(Transactions[Amount],Transactions[Custom Category],Dashboard!A121,Transactions[Month],Sel_Month),SUMIFS(Transactions[Amount],Transactions[Name],Dashboard!A121,Transactions[Month],Sel_Month)))</f>
        <v/>
      </c>
      <c r="E121" s="13" t="str">
        <f t="shared" si="1"/>
        <v/>
      </c>
    </row>
    <row r="122" spans="4:5" x14ac:dyDescent="0.25">
      <c r="D122" s="12" t="str" cm="1">
        <f t="array" ref="D122">_xlfn.IFS(A122="","",A122="Grand Total",SUM(D$4:D121),TRUE,IF(COUNTIF(Transactions[Custom Category],Dashboard!A122)&gt;0,SUMIFS(Transactions[Amount],Transactions[Custom Category],Dashboard!A122,Transactions[Month],Sel_Month),SUMIFS(Transactions[Amount],Transactions[Name],Dashboard!A122,Transactions[Month],Sel_Month)))</f>
        <v/>
      </c>
      <c r="E122" s="13" t="str">
        <f t="shared" si="1"/>
        <v/>
      </c>
    </row>
    <row r="123" spans="4:5" x14ac:dyDescent="0.25">
      <c r="D123" s="12" t="str" cm="1">
        <f t="array" ref="D123">_xlfn.IFS(A123="","",A123="Grand Total",SUM(D$4:D122),TRUE,IF(COUNTIF(Transactions[Custom Category],Dashboard!A123)&gt;0,SUMIFS(Transactions[Amount],Transactions[Custom Category],Dashboard!A123,Transactions[Month],Sel_Month),SUMIFS(Transactions[Amount],Transactions[Name],Dashboard!A123,Transactions[Month],Sel_Month)))</f>
        <v/>
      </c>
      <c r="E123" s="13" t="str">
        <f t="shared" si="1"/>
        <v/>
      </c>
    </row>
    <row r="124" spans="4:5" x14ac:dyDescent="0.25">
      <c r="D124" s="12" t="str" cm="1">
        <f t="array" ref="D124">_xlfn.IFS(A124="","",A124="Grand Total",SUM(D$4:D123),TRUE,IF(COUNTIF(Transactions[Custom Category],Dashboard!A124)&gt;0,SUMIFS(Transactions[Amount],Transactions[Custom Category],Dashboard!A124,Transactions[Month],Sel_Month),SUMIFS(Transactions[Amount],Transactions[Name],Dashboard!A124,Transactions[Month],Sel_Month)))</f>
        <v/>
      </c>
      <c r="E124" s="13" t="str">
        <f t="shared" si="1"/>
        <v/>
      </c>
    </row>
    <row r="125" spans="4:5" x14ac:dyDescent="0.25">
      <c r="D125" s="12" t="str" cm="1">
        <f t="array" ref="D125">_xlfn.IFS(A125="","",A125="Grand Total",SUM(D$4:D124),TRUE,IF(COUNTIF(Transactions[Custom Category],Dashboard!A125)&gt;0,SUMIFS(Transactions[Amount],Transactions[Custom Category],Dashboard!A125,Transactions[Month],Sel_Month),SUMIFS(Transactions[Amount],Transactions[Name],Dashboard!A125,Transactions[Month],Sel_Month)))</f>
        <v/>
      </c>
      <c r="E125" s="13" t="str">
        <f t="shared" si="1"/>
        <v/>
      </c>
    </row>
    <row r="126" spans="4:5" x14ac:dyDescent="0.25">
      <c r="D126" s="12" t="str" cm="1">
        <f t="array" ref="D126">_xlfn.IFS(A126="","",A126="Grand Total",SUM(D$4:D125),TRUE,IF(COUNTIF(Transactions[Custom Category],Dashboard!A126)&gt;0,SUMIFS(Transactions[Amount],Transactions[Custom Category],Dashboard!A126,Transactions[Month],Sel_Month),SUMIFS(Transactions[Amount],Transactions[Name],Dashboard!A126,Transactions[Month],Sel_Month)))</f>
        <v/>
      </c>
      <c r="E126" s="13" t="str">
        <f t="shared" si="1"/>
        <v/>
      </c>
    </row>
    <row r="127" spans="4:5" x14ac:dyDescent="0.25">
      <c r="D127" s="12" t="str" cm="1">
        <f t="array" ref="D127">_xlfn.IFS(A127="","",A127="Grand Total",SUM(D$4:D126),TRUE,IF(COUNTIF(Transactions[Custom Category],Dashboard!A127)&gt;0,SUMIFS(Transactions[Amount],Transactions[Custom Category],Dashboard!A127,Transactions[Month],Sel_Month),SUMIFS(Transactions[Amount],Transactions[Name],Dashboard!A127,Transactions[Month],Sel_Month)))</f>
        <v/>
      </c>
      <c r="E127" s="13" t="str">
        <f t="shared" si="1"/>
        <v/>
      </c>
    </row>
    <row r="128" spans="4:5" x14ac:dyDescent="0.25">
      <c r="D128" s="12" t="str" cm="1">
        <f t="array" ref="D128">_xlfn.IFS(A128="","",A128="Grand Total",SUM(D$4:D127),TRUE,IF(COUNTIF(Transactions[Custom Category],Dashboard!A128)&gt;0,SUMIFS(Transactions[Amount],Transactions[Custom Category],Dashboard!A128,Transactions[Month],Sel_Month),SUMIFS(Transactions[Amount],Transactions[Name],Dashboard!A128,Transactions[Month],Sel_Month)))</f>
        <v/>
      </c>
      <c r="E128" s="13" t="str">
        <f t="shared" si="1"/>
        <v/>
      </c>
    </row>
    <row r="129" spans="4:5" x14ac:dyDescent="0.25">
      <c r="D129" s="12" t="str" cm="1">
        <f t="array" ref="D129">_xlfn.IFS(A129="","",A129="Grand Total",SUM(D$4:D128),TRUE,IF(COUNTIF(Transactions[Custom Category],Dashboard!A129)&gt;0,SUMIFS(Transactions[Amount],Transactions[Custom Category],Dashboard!A129,Transactions[Month],Sel_Month),SUMIFS(Transactions[Amount],Transactions[Name],Dashboard!A129,Transactions[Month],Sel_Month)))</f>
        <v/>
      </c>
      <c r="E129" s="13" t="str">
        <f t="shared" si="1"/>
        <v/>
      </c>
    </row>
    <row r="130" spans="4:5" x14ac:dyDescent="0.25">
      <c r="D130" s="12" t="str" cm="1">
        <f t="array" ref="D130">_xlfn.IFS(A130="","",A130="Grand Total",SUM(D$4:D129),TRUE,IF(COUNTIF(Transactions[Custom Category],Dashboard!A130)&gt;0,SUMIFS(Transactions[Amount],Transactions[Custom Category],Dashboard!A130,Transactions[Month],Sel_Month),SUMIFS(Transactions[Amount],Transactions[Name],Dashboard!A130,Transactions[Month],Sel_Month)))</f>
        <v/>
      </c>
      <c r="E130" s="13" t="str">
        <f t="shared" si="1"/>
        <v/>
      </c>
    </row>
    <row r="131" spans="4:5" x14ac:dyDescent="0.25">
      <c r="D131" s="12" t="str" cm="1">
        <f t="array" ref="D131">_xlfn.IFS(A131="","",A131="Grand Total",SUM(D$4:D130),TRUE,IF(COUNTIF(Transactions[Custom Category],Dashboard!A131)&gt;0,SUMIFS(Transactions[Amount],Transactions[Custom Category],Dashboard!A131,Transactions[Month],Sel_Month),SUMIFS(Transactions[Amount],Transactions[Name],Dashboard!A131,Transactions[Month],Sel_Month)))</f>
        <v/>
      </c>
      <c r="E131" s="13" t="str">
        <f t="shared" si="1"/>
        <v/>
      </c>
    </row>
    <row r="132" spans="4:5" x14ac:dyDescent="0.25">
      <c r="D132" s="12" t="str" cm="1">
        <f t="array" ref="D132">_xlfn.IFS(A132="","",A132="Grand Total",SUM(D$4:D131),TRUE,IF(COUNTIF(Transactions[Custom Category],Dashboard!A132)&gt;0,SUMIFS(Transactions[Amount],Transactions[Custom Category],Dashboard!A132,Transactions[Month],Sel_Month),SUMIFS(Transactions[Amount],Transactions[Name],Dashboard!A132,Transactions[Month],Sel_Month)))</f>
        <v/>
      </c>
      <c r="E132" s="13" t="str">
        <f t="shared" si="1"/>
        <v/>
      </c>
    </row>
    <row r="133" spans="4:5" x14ac:dyDescent="0.25">
      <c r="D133" s="12" t="str" cm="1">
        <f t="array" ref="D133">_xlfn.IFS(A133="","",A133="Grand Total",SUM(D$4:D132),TRUE,IF(COUNTIF(Transactions[Custom Category],Dashboard!A133)&gt;0,SUMIFS(Transactions[Amount],Transactions[Custom Category],Dashboard!A133,Transactions[Month],Sel_Month),SUMIFS(Transactions[Amount],Transactions[Name],Dashboard!A133,Transactions[Month],Sel_Month)))</f>
        <v/>
      </c>
      <c r="E133" s="13" t="str">
        <f t="shared" si="1"/>
        <v/>
      </c>
    </row>
    <row r="134" spans="4:5" x14ac:dyDescent="0.25">
      <c r="D134" s="12" t="str" cm="1">
        <f t="array" ref="D134">_xlfn.IFS(A134="","",A134="Grand Total",SUM(D$4:D133),TRUE,IF(COUNTIF(Transactions[Custom Category],Dashboard!A134)&gt;0,SUMIFS(Transactions[Amount],Transactions[Custom Category],Dashboard!A134,Transactions[Month],Sel_Month),SUMIFS(Transactions[Amount],Transactions[Name],Dashboard!A134,Transactions[Month],Sel_Month)))</f>
        <v/>
      </c>
      <c r="E134" s="13" t="str">
        <f t="shared" ref="E134:E197" si="2">IF(C134="","",IF(C134=0,0,1-((C134-D134)/C134)))</f>
        <v/>
      </c>
    </row>
    <row r="135" spans="4:5" x14ac:dyDescent="0.25">
      <c r="D135" s="12" t="str" cm="1">
        <f t="array" ref="D135">_xlfn.IFS(A135="","",A135="Grand Total",SUM(D$4:D134),TRUE,IF(COUNTIF(Transactions[Custom Category],Dashboard!A135)&gt;0,SUMIFS(Transactions[Amount],Transactions[Custom Category],Dashboard!A135,Transactions[Month],Sel_Month),SUMIFS(Transactions[Amount],Transactions[Name],Dashboard!A135,Transactions[Month],Sel_Month)))</f>
        <v/>
      </c>
      <c r="E135" s="13" t="str">
        <f t="shared" si="2"/>
        <v/>
      </c>
    </row>
    <row r="136" spans="4:5" x14ac:dyDescent="0.25">
      <c r="D136" s="12" t="str" cm="1">
        <f t="array" ref="D136">_xlfn.IFS(A136="","",A136="Grand Total",SUM(D$4:D135),TRUE,IF(COUNTIF(Transactions[Custom Category],Dashboard!A136)&gt;0,SUMIFS(Transactions[Amount],Transactions[Custom Category],Dashboard!A136,Transactions[Month],Sel_Month),SUMIFS(Transactions[Amount],Transactions[Name],Dashboard!A136,Transactions[Month],Sel_Month)))</f>
        <v/>
      </c>
      <c r="E136" s="13" t="str">
        <f t="shared" si="2"/>
        <v/>
      </c>
    </row>
    <row r="137" spans="4:5" x14ac:dyDescent="0.25">
      <c r="D137" s="12" t="str" cm="1">
        <f t="array" ref="D137">_xlfn.IFS(A137="","",A137="Grand Total",SUM(D$4:D136),TRUE,IF(COUNTIF(Transactions[Custom Category],Dashboard!A137)&gt;0,SUMIFS(Transactions[Amount],Transactions[Custom Category],Dashboard!A137,Transactions[Month],Sel_Month),SUMIFS(Transactions[Amount],Transactions[Name],Dashboard!A137,Transactions[Month],Sel_Month)))</f>
        <v/>
      </c>
      <c r="E137" s="13" t="str">
        <f t="shared" si="2"/>
        <v/>
      </c>
    </row>
    <row r="138" spans="4:5" x14ac:dyDescent="0.25">
      <c r="D138" s="12" t="str" cm="1">
        <f t="array" ref="D138">_xlfn.IFS(A138="","",A138="Grand Total",SUM(D$4:D137),TRUE,IF(COUNTIF(Transactions[Custom Category],Dashboard!A138)&gt;0,SUMIFS(Transactions[Amount],Transactions[Custom Category],Dashboard!A138,Transactions[Month],Sel_Month),SUMIFS(Transactions[Amount],Transactions[Name],Dashboard!A138,Transactions[Month],Sel_Month)))</f>
        <v/>
      </c>
      <c r="E138" s="13" t="str">
        <f t="shared" si="2"/>
        <v/>
      </c>
    </row>
    <row r="139" spans="4:5" x14ac:dyDescent="0.25">
      <c r="D139" s="12" t="str" cm="1">
        <f t="array" ref="D139">_xlfn.IFS(A139="","",A139="Grand Total",SUM(D$4:D138),TRUE,IF(COUNTIF(Transactions[Custom Category],Dashboard!A139)&gt;0,SUMIFS(Transactions[Amount],Transactions[Custom Category],Dashboard!A139,Transactions[Month],Sel_Month),SUMIFS(Transactions[Amount],Transactions[Name],Dashboard!A139,Transactions[Month],Sel_Month)))</f>
        <v/>
      </c>
      <c r="E139" s="13" t="str">
        <f t="shared" si="2"/>
        <v/>
      </c>
    </row>
    <row r="140" spans="4:5" x14ac:dyDescent="0.25">
      <c r="D140" s="12" t="str" cm="1">
        <f t="array" ref="D140">_xlfn.IFS(A140="","",A140="Grand Total",SUM(D$4:D139),TRUE,IF(COUNTIF(Transactions[Custom Category],Dashboard!A140)&gt;0,SUMIFS(Transactions[Amount],Transactions[Custom Category],Dashboard!A140,Transactions[Month],Sel_Month),SUMIFS(Transactions[Amount],Transactions[Name],Dashboard!A140,Transactions[Month],Sel_Month)))</f>
        <v/>
      </c>
      <c r="E140" s="13" t="str">
        <f t="shared" si="2"/>
        <v/>
      </c>
    </row>
    <row r="141" spans="4:5" x14ac:dyDescent="0.25">
      <c r="D141" s="12" t="str" cm="1">
        <f t="array" ref="D141">_xlfn.IFS(A141="","",A141="Grand Total",SUM(D$4:D140),TRUE,IF(COUNTIF(Transactions[Custom Category],Dashboard!A141)&gt;0,SUMIFS(Transactions[Amount],Transactions[Custom Category],Dashboard!A141,Transactions[Month],Sel_Month),SUMIFS(Transactions[Amount],Transactions[Name],Dashboard!A141,Transactions[Month],Sel_Month)))</f>
        <v/>
      </c>
      <c r="E141" s="13" t="str">
        <f t="shared" si="2"/>
        <v/>
      </c>
    </row>
    <row r="142" spans="4:5" x14ac:dyDescent="0.25">
      <c r="D142" s="12" t="str" cm="1">
        <f t="array" ref="D142">_xlfn.IFS(A142="","",A142="Grand Total",SUM(D$4:D141),TRUE,IF(COUNTIF(Transactions[Custom Category],Dashboard!A142)&gt;0,SUMIFS(Transactions[Amount],Transactions[Custom Category],Dashboard!A142,Transactions[Month],Sel_Month),SUMIFS(Transactions[Amount],Transactions[Name],Dashboard!A142,Transactions[Month],Sel_Month)))</f>
        <v/>
      </c>
      <c r="E142" s="13" t="str">
        <f t="shared" si="2"/>
        <v/>
      </c>
    </row>
    <row r="143" spans="4:5" x14ac:dyDescent="0.25">
      <c r="D143" s="12" t="str" cm="1">
        <f t="array" ref="D143">_xlfn.IFS(A143="","",A143="Grand Total",SUM(D$4:D142),TRUE,IF(COUNTIF(Transactions[Custom Category],Dashboard!A143)&gt;0,SUMIFS(Transactions[Amount],Transactions[Custom Category],Dashboard!A143,Transactions[Month],Sel_Month),SUMIFS(Transactions[Amount],Transactions[Name],Dashboard!A143,Transactions[Month],Sel_Month)))</f>
        <v/>
      </c>
      <c r="E143" s="13" t="str">
        <f t="shared" si="2"/>
        <v/>
      </c>
    </row>
    <row r="144" spans="4:5" x14ac:dyDescent="0.25">
      <c r="D144" s="12" t="str" cm="1">
        <f t="array" ref="D144">_xlfn.IFS(A144="","",A144="Grand Total",SUM(D$4:D143),TRUE,IF(COUNTIF(Transactions[Custom Category],Dashboard!A144)&gt;0,SUMIFS(Transactions[Amount],Transactions[Custom Category],Dashboard!A144,Transactions[Month],Sel_Month),SUMIFS(Transactions[Amount],Transactions[Name],Dashboard!A144,Transactions[Month],Sel_Month)))</f>
        <v/>
      </c>
      <c r="E144" s="13" t="str">
        <f t="shared" si="2"/>
        <v/>
      </c>
    </row>
    <row r="145" spans="4:5" x14ac:dyDescent="0.25">
      <c r="D145" s="12" t="str" cm="1">
        <f t="array" ref="D145">_xlfn.IFS(A145="","",A145="Grand Total",SUM(D$4:D144),TRUE,IF(COUNTIF(Transactions[Custom Category],Dashboard!A145)&gt;0,SUMIFS(Transactions[Amount],Transactions[Custom Category],Dashboard!A145,Transactions[Month],Sel_Month),SUMIFS(Transactions[Amount],Transactions[Name],Dashboard!A145,Transactions[Month],Sel_Month)))</f>
        <v/>
      </c>
      <c r="E145" s="13" t="str">
        <f t="shared" si="2"/>
        <v/>
      </c>
    </row>
    <row r="146" spans="4:5" x14ac:dyDescent="0.25">
      <c r="D146" s="12" t="str" cm="1">
        <f t="array" ref="D146">_xlfn.IFS(A146="","",A146="Grand Total",SUM(D$4:D145),TRUE,IF(COUNTIF(Transactions[Custom Category],Dashboard!A146)&gt;0,SUMIFS(Transactions[Amount],Transactions[Custom Category],Dashboard!A146,Transactions[Month],Sel_Month),SUMIFS(Transactions[Amount],Transactions[Name],Dashboard!A146,Transactions[Month],Sel_Month)))</f>
        <v/>
      </c>
      <c r="E146" s="13" t="str">
        <f t="shared" si="2"/>
        <v/>
      </c>
    </row>
    <row r="147" spans="4:5" x14ac:dyDescent="0.25">
      <c r="D147" s="12" t="str" cm="1">
        <f t="array" ref="D147">_xlfn.IFS(A147="","",A147="Grand Total",SUM(D$4:D146),TRUE,IF(COUNTIF(Transactions[Custom Category],Dashboard!A147)&gt;0,SUMIFS(Transactions[Amount],Transactions[Custom Category],Dashboard!A147,Transactions[Month],Sel_Month),SUMIFS(Transactions[Amount],Transactions[Name],Dashboard!A147,Transactions[Month],Sel_Month)))</f>
        <v/>
      </c>
      <c r="E147" s="13" t="str">
        <f t="shared" si="2"/>
        <v/>
      </c>
    </row>
    <row r="148" spans="4:5" x14ac:dyDescent="0.25">
      <c r="D148" s="12" t="str" cm="1">
        <f t="array" ref="D148">_xlfn.IFS(A148="","",A148="Grand Total",SUM(D$4:D147),TRUE,IF(COUNTIF(Transactions[Custom Category],Dashboard!A148)&gt;0,SUMIFS(Transactions[Amount],Transactions[Custom Category],Dashboard!A148,Transactions[Month],Sel_Month),SUMIFS(Transactions[Amount],Transactions[Name],Dashboard!A148,Transactions[Month],Sel_Month)))</f>
        <v/>
      </c>
      <c r="E148" s="13" t="str">
        <f t="shared" si="2"/>
        <v/>
      </c>
    </row>
    <row r="149" spans="4:5" x14ac:dyDescent="0.25">
      <c r="D149" s="12" t="str" cm="1">
        <f t="array" ref="D149">_xlfn.IFS(A149="","",A149="Grand Total",SUM(D$4:D148),TRUE,IF(COUNTIF(Transactions[Custom Category],Dashboard!A149)&gt;0,SUMIFS(Transactions[Amount],Transactions[Custom Category],Dashboard!A149,Transactions[Month],Sel_Month),SUMIFS(Transactions[Amount],Transactions[Name],Dashboard!A149,Transactions[Month],Sel_Month)))</f>
        <v/>
      </c>
      <c r="E149" s="13" t="str">
        <f t="shared" si="2"/>
        <v/>
      </c>
    </row>
    <row r="150" spans="4:5" x14ac:dyDescent="0.25">
      <c r="D150" s="12" t="str" cm="1">
        <f t="array" ref="D150">_xlfn.IFS(A150="","",A150="Grand Total",SUM(D$4:D149),TRUE,IF(COUNTIF(Transactions[Custom Category],Dashboard!A150)&gt;0,SUMIFS(Transactions[Amount],Transactions[Custom Category],Dashboard!A150,Transactions[Month],Sel_Month),SUMIFS(Transactions[Amount],Transactions[Name],Dashboard!A150,Transactions[Month],Sel_Month)))</f>
        <v/>
      </c>
      <c r="E150" s="13" t="str">
        <f t="shared" si="2"/>
        <v/>
      </c>
    </row>
    <row r="151" spans="4:5" x14ac:dyDescent="0.25">
      <c r="D151" s="12" t="str" cm="1">
        <f t="array" ref="D151">_xlfn.IFS(A151="","",A151="Grand Total",SUM(D$4:D150),TRUE,IF(COUNTIF(Transactions[Custom Category],Dashboard!A151)&gt;0,SUMIFS(Transactions[Amount],Transactions[Custom Category],Dashboard!A151,Transactions[Month],Sel_Month),SUMIFS(Transactions[Amount],Transactions[Name],Dashboard!A151,Transactions[Month],Sel_Month)))</f>
        <v/>
      </c>
      <c r="E151" s="13" t="str">
        <f t="shared" si="2"/>
        <v/>
      </c>
    </row>
    <row r="152" spans="4:5" x14ac:dyDescent="0.25">
      <c r="D152" s="12" t="str" cm="1">
        <f t="array" ref="D152">_xlfn.IFS(A152="","",A152="Grand Total",SUM(D$4:D151),TRUE,IF(COUNTIF(Transactions[Custom Category],Dashboard!A152)&gt;0,SUMIFS(Transactions[Amount],Transactions[Custom Category],Dashboard!A152,Transactions[Month],Sel_Month),SUMIFS(Transactions[Amount],Transactions[Name],Dashboard!A152,Transactions[Month],Sel_Month)))</f>
        <v/>
      </c>
      <c r="E152" s="13" t="str">
        <f t="shared" si="2"/>
        <v/>
      </c>
    </row>
    <row r="153" spans="4:5" x14ac:dyDescent="0.25">
      <c r="D153" s="12" t="str" cm="1">
        <f t="array" ref="D153">_xlfn.IFS(A153="","",A153="Grand Total",SUM(D$4:D152),TRUE,IF(COUNTIF(Transactions[Custom Category],Dashboard!A153)&gt;0,SUMIFS(Transactions[Amount],Transactions[Custom Category],Dashboard!A153,Transactions[Month],Sel_Month),SUMIFS(Transactions[Amount],Transactions[Name],Dashboard!A153,Transactions[Month],Sel_Month)))</f>
        <v/>
      </c>
      <c r="E153" s="13" t="str">
        <f t="shared" si="2"/>
        <v/>
      </c>
    </row>
    <row r="154" spans="4:5" x14ac:dyDescent="0.25">
      <c r="D154" s="12" t="str" cm="1">
        <f t="array" ref="D154">_xlfn.IFS(A154="","",A154="Grand Total",SUM(D$4:D153),TRUE,IF(COUNTIF(Transactions[Custom Category],Dashboard!A154)&gt;0,SUMIFS(Transactions[Amount],Transactions[Custom Category],Dashboard!A154,Transactions[Month],Sel_Month),SUMIFS(Transactions[Amount],Transactions[Name],Dashboard!A154,Transactions[Month],Sel_Month)))</f>
        <v/>
      </c>
      <c r="E154" s="13" t="str">
        <f t="shared" si="2"/>
        <v/>
      </c>
    </row>
    <row r="155" spans="4:5" x14ac:dyDescent="0.25">
      <c r="D155" s="12" t="str" cm="1">
        <f t="array" ref="D155">_xlfn.IFS(A155="","",A155="Grand Total",SUM(D$4:D154),TRUE,IF(COUNTIF(Transactions[Custom Category],Dashboard!A155)&gt;0,SUMIFS(Transactions[Amount],Transactions[Custom Category],Dashboard!A155,Transactions[Month],Sel_Month),SUMIFS(Transactions[Amount],Transactions[Name],Dashboard!A155,Transactions[Month],Sel_Month)))</f>
        <v/>
      </c>
      <c r="E155" s="13" t="str">
        <f t="shared" si="2"/>
        <v/>
      </c>
    </row>
    <row r="156" spans="4:5" x14ac:dyDescent="0.25">
      <c r="D156" s="12" t="str" cm="1">
        <f t="array" ref="D156">_xlfn.IFS(A156="","",A156="Grand Total",SUM(D$4:D155),TRUE,IF(COUNTIF(Transactions[Custom Category],Dashboard!A156)&gt;0,SUMIFS(Transactions[Amount],Transactions[Custom Category],Dashboard!A156,Transactions[Month],Sel_Month),SUMIFS(Transactions[Amount],Transactions[Name],Dashboard!A156,Transactions[Month],Sel_Month)))</f>
        <v/>
      </c>
      <c r="E156" s="13" t="str">
        <f t="shared" si="2"/>
        <v/>
      </c>
    </row>
    <row r="157" spans="4:5" x14ac:dyDescent="0.25">
      <c r="D157" s="12" t="str" cm="1">
        <f t="array" ref="D157">_xlfn.IFS(A157="","",A157="Grand Total",SUM(D$4:D156),TRUE,IF(COUNTIF(Transactions[Custom Category],Dashboard!A157)&gt;0,SUMIFS(Transactions[Amount],Transactions[Custom Category],Dashboard!A157,Transactions[Month],Sel_Month),SUMIFS(Transactions[Amount],Transactions[Name],Dashboard!A157,Transactions[Month],Sel_Month)))</f>
        <v/>
      </c>
      <c r="E157" s="13" t="str">
        <f t="shared" si="2"/>
        <v/>
      </c>
    </row>
    <row r="158" spans="4:5" x14ac:dyDescent="0.25">
      <c r="D158" s="12" t="str" cm="1">
        <f t="array" ref="D158">_xlfn.IFS(A158="","",A158="Grand Total",SUM(D$4:D157),TRUE,IF(COUNTIF(Transactions[Custom Category],Dashboard!A158)&gt;0,SUMIFS(Transactions[Amount],Transactions[Custom Category],Dashboard!A158,Transactions[Month],Sel_Month),SUMIFS(Transactions[Amount],Transactions[Name],Dashboard!A158,Transactions[Month],Sel_Month)))</f>
        <v/>
      </c>
      <c r="E158" s="13" t="str">
        <f t="shared" si="2"/>
        <v/>
      </c>
    </row>
    <row r="159" spans="4:5" x14ac:dyDescent="0.25">
      <c r="D159" s="12" t="str" cm="1">
        <f t="array" ref="D159">_xlfn.IFS(A159="","",A159="Grand Total",SUM(D$4:D158),TRUE,IF(COUNTIF(Transactions[Custom Category],Dashboard!A159)&gt;0,SUMIFS(Transactions[Amount],Transactions[Custom Category],Dashboard!A159,Transactions[Month],Sel_Month),SUMIFS(Transactions[Amount],Transactions[Name],Dashboard!A159,Transactions[Month],Sel_Month)))</f>
        <v/>
      </c>
      <c r="E159" s="13" t="str">
        <f t="shared" si="2"/>
        <v/>
      </c>
    </row>
    <row r="160" spans="4:5" x14ac:dyDescent="0.25">
      <c r="D160" s="12" t="str" cm="1">
        <f t="array" ref="D160">_xlfn.IFS(A160="","",A160="Grand Total",SUM(D$4:D159),TRUE,IF(COUNTIF(Transactions[Custom Category],Dashboard!A160)&gt;0,SUMIFS(Transactions[Amount],Transactions[Custom Category],Dashboard!A160,Transactions[Month],Sel_Month),SUMIFS(Transactions[Amount],Transactions[Name],Dashboard!A160,Transactions[Month],Sel_Month)))</f>
        <v/>
      </c>
      <c r="E160" s="13" t="str">
        <f t="shared" si="2"/>
        <v/>
      </c>
    </row>
    <row r="161" spans="4:5" x14ac:dyDescent="0.25">
      <c r="D161" s="12" t="str" cm="1">
        <f t="array" ref="D161">_xlfn.IFS(A161="","",A161="Grand Total",SUM(D$4:D160),TRUE,IF(COUNTIF(Transactions[Custom Category],Dashboard!A161)&gt;0,SUMIFS(Transactions[Amount],Transactions[Custom Category],Dashboard!A161,Transactions[Month],Sel_Month),SUMIFS(Transactions[Amount],Transactions[Name],Dashboard!A161,Transactions[Month],Sel_Month)))</f>
        <v/>
      </c>
      <c r="E161" s="13" t="str">
        <f t="shared" si="2"/>
        <v/>
      </c>
    </row>
    <row r="162" spans="4:5" x14ac:dyDescent="0.25">
      <c r="D162" s="12" t="str" cm="1">
        <f t="array" ref="D162">_xlfn.IFS(A162="","",A162="Grand Total",SUM(D$4:D161),TRUE,IF(COUNTIF(Transactions[Custom Category],Dashboard!A162)&gt;0,SUMIFS(Transactions[Amount],Transactions[Custom Category],Dashboard!A162,Transactions[Month],Sel_Month),SUMIFS(Transactions[Amount],Transactions[Name],Dashboard!A162,Transactions[Month],Sel_Month)))</f>
        <v/>
      </c>
      <c r="E162" s="13" t="str">
        <f t="shared" si="2"/>
        <v/>
      </c>
    </row>
    <row r="163" spans="4:5" x14ac:dyDescent="0.25">
      <c r="D163" s="12" t="str" cm="1">
        <f t="array" ref="D163">_xlfn.IFS(A163="","",A163="Grand Total",SUM(D$4:D162),TRUE,IF(COUNTIF(Transactions[Custom Category],Dashboard!A163)&gt;0,SUMIFS(Transactions[Amount],Transactions[Custom Category],Dashboard!A163,Transactions[Month],Sel_Month),SUMIFS(Transactions[Amount],Transactions[Name],Dashboard!A163,Transactions[Month],Sel_Month)))</f>
        <v/>
      </c>
      <c r="E163" s="13" t="str">
        <f t="shared" si="2"/>
        <v/>
      </c>
    </row>
    <row r="164" spans="4:5" x14ac:dyDescent="0.25">
      <c r="D164" s="12" t="str" cm="1">
        <f t="array" ref="D164">_xlfn.IFS(A164="","",A164="Grand Total",SUM(D$4:D163),TRUE,IF(COUNTIF(Transactions[Custom Category],Dashboard!A164)&gt;0,SUMIFS(Transactions[Amount],Transactions[Custom Category],Dashboard!A164,Transactions[Month],Sel_Month),SUMIFS(Transactions[Amount],Transactions[Name],Dashboard!A164,Transactions[Month],Sel_Month)))</f>
        <v/>
      </c>
      <c r="E164" s="13" t="str">
        <f t="shared" si="2"/>
        <v/>
      </c>
    </row>
    <row r="165" spans="4:5" x14ac:dyDescent="0.25">
      <c r="D165" s="12" t="str" cm="1">
        <f t="array" ref="D165">_xlfn.IFS(A165="","",A165="Grand Total",SUM(D$4:D164),TRUE,IF(COUNTIF(Transactions[Custom Category],Dashboard!A165)&gt;0,SUMIFS(Transactions[Amount],Transactions[Custom Category],Dashboard!A165,Transactions[Month],Sel_Month),SUMIFS(Transactions[Amount],Transactions[Name],Dashboard!A165,Transactions[Month],Sel_Month)))</f>
        <v/>
      </c>
      <c r="E165" s="13" t="str">
        <f t="shared" si="2"/>
        <v/>
      </c>
    </row>
    <row r="166" spans="4:5" x14ac:dyDescent="0.25">
      <c r="D166" s="12" t="str" cm="1">
        <f t="array" ref="D166">_xlfn.IFS(A166="","",A166="Grand Total",SUM(D$4:D165),TRUE,IF(COUNTIF(Transactions[Custom Category],Dashboard!A166)&gt;0,SUMIFS(Transactions[Amount],Transactions[Custom Category],Dashboard!A166,Transactions[Month],Sel_Month),SUMIFS(Transactions[Amount],Transactions[Name],Dashboard!A166,Transactions[Month],Sel_Month)))</f>
        <v/>
      </c>
      <c r="E166" s="13" t="str">
        <f t="shared" si="2"/>
        <v/>
      </c>
    </row>
    <row r="167" spans="4:5" x14ac:dyDescent="0.25">
      <c r="D167" s="12" t="str" cm="1">
        <f t="array" ref="D167">_xlfn.IFS(A167="","",A167="Grand Total",SUM(D$4:D166),TRUE,IF(COUNTIF(Transactions[Custom Category],Dashboard!A167)&gt;0,SUMIFS(Transactions[Amount],Transactions[Custom Category],Dashboard!A167,Transactions[Month],Sel_Month),SUMIFS(Transactions[Amount],Transactions[Name],Dashboard!A167,Transactions[Month],Sel_Month)))</f>
        <v/>
      </c>
      <c r="E167" s="13" t="str">
        <f t="shared" si="2"/>
        <v/>
      </c>
    </row>
    <row r="168" spans="4:5" x14ac:dyDescent="0.25">
      <c r="D168" s="12" t="str" cm="1">
        <f t="array" ref="D168">_xlfn.IFS(A168="","",A168="Grand Total",SUM(D$4:D167),TRUE,IF(COUNTIF(Transactions[Custom Category],Dashboard!A168)&gt;0,SUMIFS(Transactions[Amount],Transactions[Custom Category],Dashboard!A168,Transactions[Month],Sel_Month),SUMIFS(Transactions[Amount],Transactions[Name],Dashboard!A168,Transactions[Month],Sel_Month)))</f>
        <v/>
      </c>
      <c r="E168" s="13" t="str">
        <f t="shared" si="2"/>
        <v/>
      </c>
    </row>
    <row r="169" spans="4:5" x14ac:dyDescent="0.25">
      <c r="D169" s="12" t="str" cm="1">
        <f t="array" ref="D169">_xlfn.IFS(A169="","",A169="Grand Total",SUM(D$4:D168),TRUE,IF(COUNTIF(Transactions[Custom Category],Dashboard!A169)&gt;0,SUMIFS(Transactions[Amount],Transactions[Custom Category],Dashboard!A169,Transactions[Month],Sel_Month),SUMIFS(Transactions[Amount],Transactions[Name],Dashboard!A169,Transactions[Month],Sel_Month)))</f>
        <v/>
      </c>
      <c r="E169" s="13" t="str">
        <f t="shared" si="2"/>
        <v/>
      </c>
    </row>
    <row r="170" spans="4:5" x14ac:dyDescent="0.25">
      <c r="D170" s="12" t="str" cm="1">
        <f t="array" ref="D170">_xlfn.IFS(A170="","",A170="Grand Total",SUM(D$4:D169),TRUE,IF(COUNTIF(Transactions[Custom Category],Dashboard!A170)&gt;0,SUMIFS(Transactions[Amount],Transactions[Custom Category],Dashboard!A170,Transactions[Month],Sel_Month),SUMIFS(Transactions[Amount],Transactions[Name],Dashboard!A170,Transactions[Month],Sel_Month)))</f>
        <v/>
      </c>
      <c r="E170" s="13" t="str">
        <f t="shared" si="2"/>
        <v/>
      </c>
    </row>
    <row r="171" spans="4:5" x14ac:dyDescent="0.25">
      <c r="D171" s="12" t="str" cm="1">
        <f t="array" ref="D171">_xlfn.IFS(A171="","",A171="Grand Total",SUM(D$4:D170),TRUE,IF(COUNTIF(Transactions[Custom Category],Dashboard!A171)&gt;0,SUMIFS(Transactions[Amount],Transactions[Custom Category],Dashboard!A171,Transactions[Month],Sel_Month),SUMIFS(Transactions[Amount],Transactions[Name],Dashboard!A171,Transactions[Month],Sel_Month)))</f>
        <v/>
      </c>
      <c r="E171" s="13" t="str">
        <f t="shared" si="2"/>
        <v/>
      </c>
    </row>
    <row r="172" spans="4:5" x14ac:dyDescent="0.25">
      <c r="D172" s="12" t="str" cm="1">
        <f t="array" ref="D172">_xlfn.IFS(A172="","",A172="Grand Total",SUM(D$4:D171),TRUE,IF(COUNTIF(Transactions[Custom Category],Dashboard!A172)&gt;0,SUMIFS(Transactions[Amount],Transactions[Custom Category],Dashboard!A172,Transactions[Month],Sel_Month),SUMIFS(Transactions[Amount],Transactions[Name],Dashboard!A172,Transactions[Month],Sel_Month)))</f>
        <v/>
      </c>
      <c r="E172" s="13" t="str">
        <f t="shared" si="2"/>
        <v/>
      </c>
    </row>
    <row r="173" spans="4:5" x14ac:dyDescent="0.25">
      <c r="D173" s="12" t="str" cm="1">
        <f t="array" ref="D173">_xlfn.IFS(A173="","",A173="Grand Total",SUM(D$4:D172),TRUE,IF(COUNTIF(Transactions[Custom Category],Dashboard!A173)&gt;0,SUMIFS(Transactions[Amount],Transactions[Custom Category],Dashboard!A173,Transactions[Month],Sel_Month),SUMIFS(Transactions[Amount],Transactions[Name],Dashboard!A173,Transactions[Month],Sel_Month)))</f>
        <v/>
      </c>
      <c r="E173" s="13" t="str">
        <f t="shared" si="2"/>
        <v/>
      </c>
    </row>
    <row r="174" spans="4:5" x14ac:dyDescent="0.25">
      <c r="D174" s="12" t="str" cm="1">
        <f t="array" ref="D174">_xlfn.IFS(A174="","",A174="Grand Total",SUM(D$4:D173),TRUE,IF(COUNTIF(Transactions[Custom Category],Dashboard!A174)&gt;0,SUMIFS(Transactions[Amount],Transactions[Custom Category],Dashboard!A174,Transactions[Month],Sel_Month),SUMIFS(Transactions[Amount],Transactions[Name],Dashboard!A174,Transactions[Month],Sel_Month)))</f>
        <v/>
      </c>
      <c r="E174" s="13" t="str">
        <f t="shared" si="2"/>
        <v/>
      </c>
    </row>
    <row r="175" spans="4:5" x14ac:dyDescent="0.25">
      <c r="D175" s="12" t="str" cm="1">
        <f t="array" ref="D175">_xlfn.IFS(A175="","",A175="Grand Total",SUM(D$4:D174),TRUE,IF(COUNTIF(Transactions[Custom Category],Dashboard!A175)&gt;0,SUMIFS(Transactions[Amount],Transactions[Custom Category],Dashboard!A175,Transactions[Month],Sel_Month),SUMIFS(Transactions[Amount],Transactions[Name],Dashboard!A175,Transactions[Month],Sel_Month)))</f>
        <v/>
      </c>
      <c r="E175" s="13" t="str">
        <f t="shared" si="2"/>
        <v/>
      </c>
    </row>
    <row r="176" spans="4:5" x14ac:dyDescent="0.25">
      <c r="D176" s="12" t="str" cm="1">
        <f t="array" ref="D176">_xlfn.IFS(A176="","",A176="Grand Total",SUM(D$4:D175),TRUE,IF(COUNTIF(Transactions[Custom Category],Dashboard!A176)&gt;0,SUMIFS(Transactions[Amount],Transactions[Custom Category],Dashboard!A176,Transactions[Month],Sel_Month),SUMIFS(Transactions[Amount],Transactions[Name],Dashboard!A176,Transactions[Month],Sel_Month)))</f>
        <v/>
      </c>
      <c r="E176" s="13" t="str">
        <f t="shared" si="2"/>
        <v/>
      </c>
    </row>
    <row r="177" spans="4:5" x14ac:dyDescent="0.25">
      <c r="D177" s="12" t="str" cm="1">
        <f t="array" ref="D177">_xlfn.IFS(A177="","",A177="Grand Total",SUM(D$4:D176),TRUE,IF(COUNTIF(Transactions[Custom Category],Dashboard!A177)&gt;0,SUMIFS(Transactions[Amount],Transactions[Custom Category],Dashboard!A177,Transactions[Month],Sel_Month),SUMIFS(Transactions[Amount],Transactions[Name],Dashboard!A177,Transactions[Month],Sel_Month)))</f>
        <v/>
      </c>
      <c r="E177" s="13" t="str">
        <f t="shared" si="2"/>
        <v/>
      </c>
    </row>
    <row r="178" spans="4:5" x14ac:dyDescent="0.25">
      <c r="D178" s="12" t="str" cm="1">
        <f t="array" ref="D178">_xlfn.IFS(A178="","",A178="Grand Total",SUM(D$4:D177),TRUE,IF(COUNTIF(Transactions[Custom Category],Dashboard!A178)&gt;0,SUMIFS(Transactions[Amount],Transactions[Custom Category],Dashboard!A178,Transactions[Month],Sel_Month),SUMIFS(Transactions[Amount],Transactions[Name],Dashboard!A178,Transactions[Month],Sel_Month)))</f>
        <v/>
      </c>
      <c r="E178" s="13" t="str">
        <f t="shared" si="2"/>
        <v/>
      </c>
    </row>
    <row r="179" spans="4:5" x14ac:dyDescent="0.25">
      <c r="D179" s="12" t="str" cm="1">
        <f t="array" ref="D179">_xlfn.IFS(A179="","",A179="Grand Total",SUM(D$4:D178),TRUE,IF(COUNTIF(Transactions[Custom Category],Dashboard!A179)&gt;0,SUMIFS(Transactions[Amount],Transactions[Custom Category],Dashboard!A179,Transactions[Month],Sel_Month),SUMIFS(Transactions[Amount],Transactions[Name],Dashboard!A179,Transactions[Month],Sel_Month)))</f>
        <v/>
      </c>
      <c r="E179" s="13" t="str">
        <f t="shared" si="2"/>
        <v/>
      </c>
    </row>
    <row r="180" spans="4:5" x14ac:dyDescent="0.25">
      <c r="D180" s="12" t="str" cm="1">
        <f t="array" ref="D180">_xlfn.IFS(A180="","",A180="Grand Total",SUM(D$4:D179),TRUE,IF(COUNTIF(Transactions[Custom Category],Dashboard!A180)&gt;0,SUMIFS(Transactions[Amount],Transactions[Custom Category],Dashboard!A180,Transactions[Month],Sel_Month),SUMIFS(Transactions[Amount],Transactions[Name],Dashboard!A180,Transactions[Month],Sel_Month)))</f>
        <v/>
      </c>
      <c r="E180" s="13" t="str">
        <f t="shared" si="2"/>
        <v/>
      </c>
    </row>
    <row r="181" spans="4:5" x14ac:dyDescent="0.25">
      <c r="D181" s="12" t="str" cm="1">
        <f t="array" ref="D181">_xlfn.IFS(A181="","",A181="Grand Total",SUM(D$4:D180),TRUE,IF(COUNTIF(Transactions[Custom Category],Dashboard!A181)&gt;0,SUMIFS(Transactions[Amount],Transactions[Custom Category],Dashboard!A181,Transactions[Month],Sel_Month),SUMIFS(Transactions[Amount],Transactions[Name],Dashboard!A181,Transactions[Month],Sel_Month)))</f>
        <v/>
      </c>
      <c r="E181" s="13" t="str">
        <f t="shared" si="2"/>
        <v/>
      </c>
    </row>
    <row r="182" spans="4:5" x14ac:dyDescent="0.25">
      <c r="D182" s="12" t="str" cm="1">
        <f t="array" ref="D182">_xlfn.IFS(A182="","",A182="Grand Total",SUM(D$4:D181),TRUE,IF(COUNTIF(Transactions[Custom Category],Dashboard!A182)&gt;0,SUMIFS(Transactions[Amount],Transactions[Custom Category],Dashboard!A182,Transactions[Month],Sel_Month),SUMIFS(Transactions[Amount],Transactions[Name],Dashboard!A182,Transactions[Month],Sel_Month)))</f>
        <v/>
      </c>
      <c r="E182" s="13" t="str">
        <f t="shared" si="2"/>
        <v/>
      </c>
    </row>
    <row r="183" spans="4:5" x14ac:dyDescent="0.25">
      <c r="D183" s="12" t="str" cm="1">
        <f t="array" ref="D183">_xlfn.IFS(A183="","",A183="Grand Total",SUM(D$4:D182),TRUE,IF(COUNTIF(Transactions[Custom Category],Dashboard!A183)&gt;0,SUMIFS(Transactions[Amount],Transactions[Custom Category],Dashboard!A183,Transactions[Month],Sel_Month),SUMIFS(Transactions[Amount],Transactions[Name],Dashboard!A183,Transactions[Month],Sel_Month)))</f>
        <v/>
      </c>
      <c r="E183" s="13" t="str">
        <f t="shared" si="2"/>
        <v/>
      </c>
    </row>
    <row r="184" spans="4:5" x14ac:dyDescent="0.25">
      <c r="D184" s="12" t="str" cm="1">
        <f t="array" ref="D184">_xlfn.IFS(A184="","",A184="Grand Total",SUM(D$4:D183),TRUE,IF(COUNTIF(Transactions[Custom Category],Dashboard!A184)&gt;0,SUMIFS(Transactions[Amount],Transactions[Custom Category],Dashboard!A184,Transactions[Month],Sel_Month),SUMIFS(Transactions[Amount],Transactions[Name],Dashboard!A184,Transactions[Month],Sel_Month)))</f>
        <v/>
      </c>
      <c r="E184" s="13" t="str">
        <f t="shared" si="2"/>
        <v/>
      </c>
    </row>
    <row r="185" spans="4:5" x14ac:dyDescent="0.25">
      <c r="D185" s="12" t="str" cm="1">
        <f t="array" ref="D185">_xlfn.IFS(A185="","",A185="Grand Total",SUM(D$4:D184),TRUE,IF(COUNTIF(Transactions[Custom Category],Dashboard!A185)&gt;0,SUMIFS(Transactions[Amount],Transactions[Custom Category],Dashboard!A185,Transactions[Month],Sel_Month),SUMIFS(Transactions[Amount],Transactions[Name],Dashboard!A185,Transactions[Month],Sel_Month)))</f>
        <v/>
      </c>
      <c r="E185" s="13" t="str">
        <f t="shared" si="2"/>
        <v/>
      </c>
    </row>
    <row r="186" spans="4:5" x14ac:dyDescent="0.25">
      <c r="D186" s="12" t="str" cm="1">
        <f t="array" ref="D186">_xlfn.IFS(A186="","",A186="Grand Total",SUM(D$4:D185),TRUE,IF(COUNTIF(Transactions[Custom Category],Dashboard!A186)&gt;0,SUMIFS(Transactions[Amount],Transactions[Custom Category],Dashboard!A186,Transactions[Month],Sel_Month),SUMIFS(Transactions[Amount],Transactions[Name],Dashboard!A186,Transactions[Month],Sel_Month)))</f>
        <v/>
      </c>
      <c r="E186" s="13" t="str">
        <f t="shared" si="2"/>
        <v/>
      </c>
    </row>
    <row r="187" spans="4:5" x14ac:dyDescent="0.25">
      <c r="D187" s="12" t="str" cm="1">
        <f t="array" ref="D187">_xlfn.IFS(A187="","",A187="Grand Total",SUM(D$4:D186),TRUE,IF(COUNTIF(Transactions[Custom Category],Dashboard!A187)&gt;0,SUMIFS(Transactions[Amount],Transactions[Custom Category],Dashboard!A187,Transactions[Month],Sel_Month),SUMIFS(Transactions[Amount],Transactions[Name],Dashboard!A187,Transactions[Month],Sel_Month)))</f>
        <v/>
      </c>
      <c r="E187" s="13" t="str">
        <f t="shared" si="2"/>
        <v/>
      </c>
    </row>
    <row r="188" spans="4:5" x14ac:dyDescent="0.25">
      <c r="D188" s="12" t="str" cm="1">
        <f t="array" ref="D188">_xlfn.IFS(A188="","",A188="Grand Total",SUM(D$4:D187),TRUE,IF(COUNTIF(Transactions[Custom Category],Dashboard!A188)&gt;0,SUMIFS(Transactions[Amount],Transactions[Custom Category],Dashboard!A188,Transactions[Month],Sel_Month),SUMIFS(Transactions[Amount],Transactions[Name],Dashboard!A188,Transactions[Month],Sel_Month)))</f>
        <v/>
      </c>
      <c r="E188" s="13" t="str">
        <f t="shared" si="2"/>
        <v/>
      </c>
    </row>
    <row r="189" spans="4:5" x14ac:dyDescent="0.25">
      <c r="D189" s="12" t="str" cm="1">
        <f t="array" ref="D189">_xlfn.IFS(A189="","",A189="Grand Total",SUM(D$4:D188),TRUE,IF(COUNTIF(Transactions[Custom Category],Dashboard!A189)&gt;0,SUMIFS(Transactions[Amount],Transactions[Custom Category],Dashboard!A189,Transactions[Month],Sel_Month),SUMIFS(Transactions[Amount],Transactions[Name],Dashboard!A189,Transactions[Month],Sel_Month)))</f>
        <v/>
      </c>
      <c r="E189" s="13" t="str">
        <f t="shared" si="2"/>
        <v/>
      </c>
    </row>
    <row r="190" spans="4:5" x14ac:dyDescent="0.25">
      <c r="D190" s="12" t="str" cm="1">
        <f t="array" ref="D190">_xlfn.IFS(A190="","",A190="Grand Total",SUM(D$4:D189),TRUE,IF(COUNTIF(Transactions[Custom Category],Dashboard!A190)&gt;0,SUMIFS(Transactions[Amount],Transactions[Custom Category],Dashboard!A190,Transactions[Month],Sel_Month),SUMIFS(Transactions[Amount],Transactions[Name],Dashboard!A190,Transactions[Month],Sel_Month)))</f>
        <v/>
      </c>
      <c r="E190" s="13" t="str">
        <f t="shared" si="2"/>
        <v/>
      </c>
    </row>
    <row r="191" spans="4:5" x14ac:dyDescent="0.25">
      <c r="D191" s="12" t="str" cm="1">
        <f t="array" ref="D191">_xlfn.IFS(A191="","",A191="Grand Total",SUM(D$4:D190),TRUE,IF(COUNTIF(Transactions[Custom Category],Dashboard!A191)&gt;0,SUMIFS(Transactions[Amount],Transactions[Custom Category],Dashboard!A191,Transactions[Month],Sel_Month),SUMIFS(Transactions[Amount],Transactions[Name],Dashboard!A191,Transactions[Month],Sel_Month)))</f>
        <v/>
      </c>
      <c r="E191" s="13" t="str">
        <f t="shared" si="2"/>
        <v/>
      </c>
    </row>
    <row r="192" spans="4:5" x14ac:dyDescent="0.25">
      <c r="D192" s="12" t="str" cm="1">
        <f t="array" ref="D192">_xlfn.IFS(A192="","",A192="Grand Total",SUM(D$4:D191),TRUE,IF(COUNTIF(Transactions[Custom Category],Dashboard!A192)&gt;0,SUMIFS(Transactions[Amount],Transactions[Custom Category],Dashboard!A192,Transactions[Month],Sel_Month),SUMIFS(Transactions[Amount],Transactions[Name],Dashboard!A192,Transactions[Month],Sel_Month)))</f>
        <v/>
      </c>
      <c r="E192" s="13" t="str">
        <f t="shared" si="2"/>
        <v/>
      </c>
    </row>
    <row r="193" spans="4:5" x14ac:dyDescent="0.25">
      <c r="D193" s="12" t="str" cm="1">
        <f t="array" ref="D193">_xlfn.IFS(A193="","",A193="Grand Total",SUM(D$4:D192),TRUE,IF(COUNTIF(Transactions[Custom Category],Dashboard!A193)&gt;0,SUMIFS(Transactions[Amount],Transactions[Custom Category],Dashboard!A193,Transactions[Month],Sel_Month),SUMIFS(Transactions[Amount],Transactions[Name],Dashboard!A193,Transactions[Month],Sel_Month)))</f>
        <v/>
      </c>
      <c r="E193" s="13" t="str">
        <f t="shared" si="2"/>
        <v/>
      </c>
    </row>
    <row r="194" spans="4:5" x14ac:dyDescent="0.25">
      <c r="D194" s="12" t="str" cm="1">
        <f t="array" ref="D194">_xlfn.IFS(A194="","",A194="Grand Total",SUM(D$4:D193),TRUE,IF(COUNTIF(Transactions[Custom Category],Dashboard!A194)&gt;0,SUMIFS(Transactions[Amount],Transactions[Custom Category],Dashboard!A194,Transactions[Month],Sel_Month),SUMIFS(Transactions[Amount],Transactions[Name],Dashboard!A194,Transactions[Month],Sel_Month)))</f>
        <v/>
      </c>
      <c r="E194" s="13" t="str">
        <f t="shared" si="2"/>
        <v/>
      </c>
    </row>
    <row r="195" spans="4:5" x14ac:dyDescent="0.25">
      <c r="D195" s="12" t="str" cm="1">
        <f t="array" ref="D195">_xlfn.IFS(A195="","",A195="Grand Total",SUM(D$4:D194),TRUE,IF(COUNTIF(Transactions[Custom Category],Dashboard!A195)&gt;0,SUMIFS(Transactions[Amount],Transactions[Custom Category],Dashboard!A195,Transactions[Month],Sel_Month),SUMIFS(Transactions[Amount],Transactions[Name],Dashboard!A195,Transactions[Month],Sel_Month)))</f>
        <v/>
      </c>
      <c r="E195" s="13" t="str">
        <f t="shared" si="2"/>
        <v/>
      </c>
    </row>
    <row r="196" spans="4:5" x14ac:dyDescent="0.25">
      <c r="D196" s="12" t="str" cm="1">
        <f t="array" ref="D196">_xlfn.IFS(A196="","",A196="Grand Total",SUM(D$4:D195),TRUE,IF(COUNTIF(Transactions[Custom Category],Dashboard!A196)&gt;0,SUMIFS(Transactions[Amount],Transactions[Custom Category],Dashboard!A196,Transactions[Month],Sel_Month),SUMIFS(Transactions[Amount],Transactions[Name],Dashboard!A196,Transactions[Month],Sel_Month)))</f>
        <v/>
      </c>
      <c r="E196" s="13" t="str">
        <f t="shared" si="2"/>
        <v/>
      </c>
    </row>
    <row r="197" spans="4:5" x14ac:dyDescent="0.25">
      <c r="D197" s="12" t="str" cm="1">
        <f t="array" ref="D197">_xlfn.IFS(A197="","",A197="Grand Total",SUM(D$4:D196),TRUE,IF(COUNTIF(Transactions[Custom Category],Dashboard!A197)&gt;0,SUMIFS(Transactions[Amount],Transactions[Custom Category],Dashboard!A197,Transactions[Month],Sel_Month),SUMIFS(Transactions[Amount],Transactions[Name],Dashboard!A197,Transactions[Month],Sel_Month)))</f>
        <v/>
      </c>
      <c r="E197" s="13" t="str">
        <f t="shared" si="2"/>
        <v/>
      </c>
    </row>
    <row r="198" spans="4:5" x14ac:dyDescent="0.25">
      <c r="D198" s="12" t="str" cm="1">
        <f t="array" ref="D198">_xlfn.IFS(A198="","",A198="Grand Total",SUM(D$4:D197),TRUE,IF(COUNTIF(Transactions[Custom Category],Dashboard!A198)&gt;0,SUMIFS(Transactions[Amount],Transactions[Custom Category],Dashboard!A198,Transactions[Month],Sel_Month),SUMIFS(Transactions[Amount],Transactions[Name],Dashboard!A198,Transactions[Month],Sel_Month)))</f>
        <v/>
      </c>
      <c r="E198" s="13" t="str">
        <f t="shared" ref="E198:E261" si="3">IF(C198="","",IF(C198=0,0,1-((C198-D198)/C198)))</f>
        <v/>
      </c>
    </row>
    <row r="199" spans="4:5" x14ac:dyDescent="0.25">
      <c r="D199" s="12" t="str" cm="1">
        <f t="array" ref="D199">_xlfn.IFS(A199="","",A199="Grand Total",SUM(D$4:D198),TRUE,IF(COUNTIF(Transactions[Custom Category],Dashboard!A199)&gt;0,SUMIFS(Transactions[Amount],Transactions[Custom Category],Dashboard!A199,Transactions[Month],Sel_Month),SUMIFS(Transactions[Amount],Transactions[Name],Dashboard!A199,Transactions[Month],Sel_Month)))</f>
        <v/>
      </c>
      <c r="E199" s="13" t="str">
        <f t="shared" si="3"/>
        <v/>
      </c>
    </row>
    <row r="200" spans="4:5" x14ac:dyDescent="0.25">
      <c r="D200" s="12" t="str" cm="1">
        <f t="array" ref="D200">_xlfn.IFS(A200="","",A200="Grand Total",SUM(D$4:D199),TRUE,IF(COUNTIF(Transactions[Custom Category],Dashboard!A200)&gt;0,SUMIFS(Transactions[Amount],Transactions[Custom Category],Dashboard!A200,Transactions[Month],Sel_Month),SUMIFS(Transactions[Amount],Transactions[Name],Dashboard!A200,Transactions[Month],Sel_Month)))</f>
        <v/>
      </c>
      <c r="E200" s="13" t="str">
        <f t="shared" si="3"/>
        <v/>
      </c>
    </row>
    <row r="201" spans="4:5" x14ac:dyDescent="0.25">
      <c r="D201" s="12" t="str" cm="1">
        <f t="array" ref="D201">_xlfn.IFS(A201="","",A201="Grand Total",SUM(D$4:D200),TRUE,IF(COUNTIF(Transactions[Custom Category],Dashboard!A201)&gt;0,SUMIFS(Transactions[Amount],Transactions[Custom Category],Dashboard!A201,Transactions[Month],Sel_Month),SUMIFS(Transactions[Amount],Transactions[Name],Dashboard!A201,Transactions[Month],Sel_Month)))</f>
        <v/>
      </c>
      <c r="E201" s="13" t="str">
        <f t="shared" si="3"/>
        <v/>
      </c>
    </row>
    <row r="202" spans="4:5" x14ac:dyDescent="0.25">
      <c r="D202" s="12" t="str" cm="1">
        <f t="array" ref="D202">_xlfn.IFS(A202="","",A202="Grand Total",SUM(D$4:D201),TRUE,IF(COUNTIF(Transactions[Custom Category],Dashboard!A202)&gt;0,SUMIFS(Transactions[Amount],Transactions[Custom Category],Dashboard!A202,Transactions[Month],Sel_Month),SUMIFS(Transactions[Amount],Transactions[Name],Dashboard!A202,Transactions[Month],Sel_Month)))</f>
        <v/>
      </c>
      <c r="E202" s="13" t="str">
        <f t="shared" si="3"/>
        <v/>
      </c>
    </row>
    <row r="203" spans="4:5" x14ac:dyDescent="0.25">
      <c r="D203" s="12" t="str" cm="1">
        <f t="array" ref="D203">_xlfn.IFS(A203="","",A203="Grand Total",SUM(D$4:D202),TRUE,IF(COUNTIF(Transactions[Custom Category],Dashboard!A203)&gt;0,SUMIFS(Transactions[Amount],Transactions[Custom Category],Dashboard!A203,Transactions[Month],Sel_Month),SUMIFS(Transactions[Amount],Transactions[Name],Dashboard!A203,Transactions[Month],Sel_Month)))</f>
        <v/>
      </c>
      <c r="E203" s="13" t="str">
        <f t="shared" si="3"/>
        <v/>
      </c>
    </row>
    <row r="204" spans="4:5" x14ac:dyDescent="0.25">
      <c r="D204" s="12" t="str" cm="1">
        <f t="array" ref="D204">_xlfn.IFS(A204="","",A204="Grand Total",SUM(D$4:D203),TRUE,IF(COUNTIF(Transactions[Custom Category],Dashboard!A204)&gt;0,SUMIFS(Transactions[Amount],Transactions[Custom Category],Dashboard!A204,Transactions[Month],Sel_Month),SUMIFS(Transactions[Amount],Transactions[Name],Dashboard!A204,Transactions[Month],Sel_Month)))</f>
        <v/>
      </c>
      <c r="E204" s="13" t="str">
        <f t="shared" si="3"/>
        <v/>
      </c>
    </row>
    <row r="205" spans="4:5" x14ac:dyDescent="0.25">
      <c r="D205" s="12" t="str" cm="1">
        <f t="array" ref="D205">_xlfn.IFS(A205="","",A205="Grand Total",SUM(D$4:D204),TRUE,IF(COUNTIF(Transactions[Custom Category],Dashboard!A205)&gt;0,SUMIFS(Transactions[Amount],Transactions[Custom Category],Dashboard!A205,Transactions[Month],Sel_Month),SUMIFS(Transactions[Amount],Transactions[Name],Dashboard!A205,Transactions[Month],Sel_Month)))</f>
        <v/>
      </c>
      <c r="E205" s="13" t="str">
        <f t="shared" si="3"/>
        <v/>
      </c>
    </row>
    <row r="206" spans="4:5" x14ac:dyDescent="0.25">
      <c r="D206" s="12" t="str" cm="1">
        <f t="array" ref="D206">_xlfn.IFS(A206="","",A206="Grand Total",SUM(D$4:D205),TRUE,IF(COUNTIF(Transactions[Custom Category],Dashboard!A206)&gt;0,SUMIFS(Transactions[Amount],Transactions[Custom Category],Dashboard!A206,Transactions[Month],Sel_Month),SUMIFS(Transactions[Amount],Transactions[Name],Dashboard!A206,Transactions[Month],Sel_Month)))</f>
        <v/>
      </c>
      <c r="E206" s="13" t="str">
        <f t="shared" si="3"/>
        <v/>
      </c>
    </row>
    <row r="207" spans="4:5" x14ac:dyDescent="0.25">
      <c r="D207" s="12" t="str" cm="1">
        <f t="array" ref="D207">_xlfn.IFS(A207="","",A207="Grand Total",SUM(D$4:D206),TRUE,IF(COUNTIF(Transactions[Custom Category],Dashboard!A207)&gt;0,SUMIFS(Transactions[Amount],Transactions[Custom Category],Dashboard!A207,Transactions[Month],Sel_Month),SUMIFS(Transactions[Amount],Transactions[Name],Dashboard!A207,Transactions[Month],Sel_Month)))</f>
        <v/>
      </c>
      <c r="E207" s="13" t="str">
        <f t="shared" si="3"/>
        <v/>
      </c>
    </row>
    <row r="208" spans="4:5" x14ac:dyDescent="0.25">
      <c r="D208" s="12" t="str" cm="1">
        <f t="array" ref="D208">_xlfn.IFS(A208="","",A208="Grand Total",SUM(D$4:D207),TRUE,IF(COUNTIF(Transactions[Custom Category],Dashboard!A208)&gt;0,SUMIFS(Transactions[Amount],Transactions[Custom Category],Dashboard!A208,Transactions[Month],Sel_Month),SUMIFS(Transactions[Amount],Transactions[Name],Dashboard!A208,Transactions[Month],Sel_Month)))</f>
        <v/>
      </c>
      <c r="E208" s="13" t="str">
        <f t="shared" si="3"/>
        <v/>
      </c>
    </row>
    <row r="209" spans="4:5" x14ac:dyDescent="0.25">
      <c r="D209" s="12" t="str" cm="1">
        <f t="array" ref="D209">_xlfn.IFS(A209="","",A209="Grand Total",SUM(D$4:D208),TRUE,IF(COUNTIF(Transactions[Custom Category],Dashboard!A209)&gt;0,SUMIFS(Transactions[Amount],Transactions[Custom Category],Dashboard!A209,Transactions[Month],Sel_Month),SUMIFS(Transactions[Amount],Transactions[Name],Dashboard!A209,Transactions[Month],Sel_Month)))</f>
        <v/>
      </c>
      <c r="E209" s="13" t="str">
        <f t="shared" si="3"/>
        <v/>
      </c>
    </row>
    <row r="210" spans="4:5" x14ac:dyDescent="0.25">
      <c r="D210" s="12" t="str" cm="1">
        <f t="array" ref="D210">_xlfn.IFS(A210="","",A210="Grand Total",SUM(D$4:D209),TRUE,IF(COUNTIF(Transactions[Custom Category],Dashboard!A210)&gt;0,SUMIFS(Transactions[Amount],Transactions[Custom Category],Dashboard!A210,Transactions[Month],Sel_Month),SUMIFS(Transactions[Amount],Transactions[Name],Dashboard!A210,Transactions[Month],Sel_Month)))</f>
        <v/>
      </c>
      <c r="E210" s="13" t="str">
        <f t="shared" si="3"/>
        <v/>
      </c>
    </row>
    <row r="211" spans="4:5" x14ac:dyDescent="0.25">
      <c r="D211" s="12" t="str" cm="1">
        <f t="array" ref="D211">_xlfn.IFS(A211="","",A211="Grand Total",SUM(D$4:D210),TRUE,IF(COUNTIF(Transactions[Custom Category],Dashboard!A211)&gt;0,SUMIFS(Transactions[Amount],Transactions[Custom Category],Dashboard!A211,Transactions[Month],Sel_Month),SUMIFS(Transactions[Amount],Transactions[Name],Dashboard!A211,Transactions[Month],Sel_Month)))</f>
        <v/>
      </c>
      <c r="E211" s="13" t="str">
        <f t="shared" si="3"/>
        <v/>
      </c>
    </row>
    <row r="212" spans="4:5" x14ac:dyDescent="0.25">
      <c r="D212" s="12" t="str" cm="1">
        <f t="array" ref="D212">_xlfn.IFS(A212="","",A212="Grand Total",SUM(D$4:D211),TRUE,IF(COUNTIF(Transactions[Custom Category],Dashboard!A212)&gt;0,SUMIFS(Transactions[Amount],Transactions[Custom Category],Dashboard!A212,Transactions[Month],Sel_Month),SUMIFS(Transactions[Amount],Transactions[Name],Dashboard!A212,Transactions[Month],Sel_Month)))</f>
        <v/>
      </c>
      <c r="E212" s="13" t="str">
        <f t="shared" si="3"/>
        <v/>
      </c>
    </row>
    <row r="213" spans="4:5" x14ac:dyDescent="0.25">
      <c r="D213" s="12" t="str" cm="1">
        <f t="array" ref="D213">_xlfn.IFS(A213="","",A213="Grand Total",SUM(D$4:D212),TRUE,IF(COUNTIF(Transactions[Custom Category],Dashboard!A213)&gt;0,SUMIFS(Transactions[Amount],Transactions[Custom Category],Dashboard!A213,Transactions[Month],Sel_Month),SUMIFS(Transactions[Amount],Transactions[Name],Dashboard!A213,Transactions[Month],Sel_Month)))</f>
        <v/>
      </c>
      <c r="E213" s="13" t="str">
        <f t="shared" si="3"/>
        <v/>
      </c>
    </row>
    <row r="214" spans="4:5" x14ac:dyDescent="0.25">
      <c r="D214" s="12" t="str" cm="1">
        <f t="array" ref="D214">_xlfn.IFS(A214="","",A214="Grand Total",SUM(D$4:D213),TRUE,IF(COUNTIF(Transactions[Custom Category],Dashboard!A214)&gt;0,SUMIFS(Transactions[Amount],Transactions[Custom Category],Dashboard!A214,Transactions[Month],Sel_Month),SUMIFS(Transactions[Amount],Transactions[Name],Dashboard!A214,Transactions[Month],Sel_Month)))</f>
        <v/>
      </c>
      <c r="E214" s="13" t="str">
        <f t="shared" si="3"/>
        <v/>
      </c>
    </row>
    <row r="215" spans="4:5" x14ac:dyDescent="0.25">
      <c r="D215" s="12" t="str" cm="1">
        <f t="array" ref="D215">_xlfn.IFS(A215="","",A215="Grand Total",SUM(D$4:D214),TRUE,IF(COUNTIF(Transactions[Custom Category],Dashboard!A215)&gt;0,SUMIFS(Transactions[Amount],Transactions[Custom Category],Dashboard!A215,Transactions[Month],Sel_Month),SUMIFS(Transactions[Amount],Transactions[Name],Dashboard!A215,Transactions[Month],Sel_Month)))</f>
        <v/>
      </c>
      <c r="E215" s="13" t="str">
        <f t="shared" si="3"/>
        <v/>
      </c>
    </row>
    <row r="216" spans="4:5" x14ac:dyDescent="0.25">
      <c r="D216" s="12" t="str" cm="1">
        <f t="array" ref="D216">_xlfn.IFS(A216="","",A216="Grand Total",SUM(D$4:D215),TRUE,IF(COUNTIF(Transactions[Custom Category],Dashboard!A216)&gt;0,SUMIFS(Transactions[Amount],Transactions[Custom Category],Dashboard!A216,Transactions[Month],Sel_Month),SUMIFS(Transactions[Amount],Transactions[Name],Dashboard!A216,Transactions[Month],Sel_Month)))</f>
        <v/>
      </c>
      <c r="E216" s="13" t="str">
        <f t="shared" si="3"/>
        <v/>
      </c>
    </row>
    <row r="217" spans="4:5" x14ac:dyDescent="0.25">
      <c r="D217" s="12" t="str" cm="1">
        <f t="array" ref="D217">_xlfn.IFS(A217="","",A217="Grand Total",SUM(D$4:D216),TRUE,IF(COUNTIF(Transactions[Custom Category],Dashboard!A217)&gt;0,SUMIFS(Transactions[Amount],Transactions[Custom Category],Dashboard!A217,Transactions[Month],Sel_Month),SUMIFS(Transactions[Amount],Transactions[Name],Dashboard!A217,Transactions[Month],Sel_Month)))</f>
        <v/>
      </c>
      <c r="E217" s="13" t="str">
        <f t="shared" si="3"/>
        <v/>
      </c>
    </row>
    <row r="218" spans="4:5" x14ac:dyDescent="0.25">
      <c r="D218" s="12" t="str" cm="1">
        <f t="array" ref="D218">_xlfn.IFS(A218="","",A218="Grand Total",SUM(D$4:D217),TRUE,IF(COUNTIF(Transactions[Custom Category],Dashboard!A218)&gt;0,SUMIFS(Transactions[Amount],Transactions[Custom Category],Dashboard!A218,Transactions[Month],Sel_Month),SUMIFS(Transactions[Amount],Transactions[Name],Dashboard!A218,Transactions[Month],Sel_Month)))</f>
        <v/>
      </c>
      <c r="E218" s="13" t="str">
        <f t="shared" si="3"/>
        <v/>
      </c>
    </row>
    <row r="219" spans="4:5" x14ac:dyDescent="0.25">
      <c r="D219" s="12" t="str" cm="1">
        <f t="array" ref="D219">_xlfn.IFS(A219="","",A219="Grand Total",SUM(D$4:D218),TRUE,IF(COUNTIF(Transactions[Custom Category],Dashboard!A219)&gt;0,SUMIFS(Transactions[Amount],Transactions[Custom Category],Dashboard!A219,Transactions[Month],Sel_Month),SUMIFS(Transactions[Amount],Transactions[Name],Dashboard!A219,Transactions[Month],Sel_Month)))</f>
        <v/>
      </c>
      <c r="E219" s="13" t="str">
        <f t="shared" si="3"/>
        <v/>
      </c>
    </row>
    <row r="220" spans="4:5" x14ac:dyDescent="0.25">
      <c r="D220" s="12" t="str" cm="1">
        <f t="array" ref="D220">_xlfn.IFS(A220="","",A220="Grand Total",SUM(D$4:D219),TRUE,IF(COUNTIF(Transactions[Custom Category],Dashboard!A220)&gt;0,SUMIFS(Transactions[Amount],Transactions[Custom Category],Dashboard!A220,Transactions[Month],Sel_Month),SUMIFS(Transactions[Amount],Transactions[Name],Dashboard!A220,Transactions[Month],Sel_Month)))</f>
        <v/>
      </c>
      <c r="E220" s="13" t="str">
        <f t="shared" si="3"/>
        <v/>
      </c>
    </row>
    <row r="221" spans="4:5" x14ac:dyDescent="0.25">
      <c r="D221" s="12" t="str" cm="1">
        <f t="array" ref="D221">_xlfn.IFS(A221="","",A221="Grand Total",SUM(D$4:D220),TRUE,IF(COUNTIF(Transactions[Custom Category],Dashboard!A221)&gt;0,SUMIFS(Transactions[Amount],Transactions[Custom Category],Dashboard!A221,Transactions[Month],Sel_Month),SUMIFS(Transactions[Amount],Transactions[Name],Dashboard!A221,Transactions[Month],Sel_Month)))</f>
        <v/>
      </c>
      <c r="E221" s="13" t="str">
        <f t="shared" si="3"/>
        <v/>
      </c>
    </row>
    <row r="222" spans="4:5" x14ac:dyDescent="0.25">
      <c r="D222" s="12" t="str" cm="1">
        <f t="array" ref="D222">_xlfn.IFS(A222="","",A222="Grand Total",SUM(D$4:D221),TRUE,IF(COUNTIF(Transactions[Custom Category],Dashboard!A222)&gt;0,SUMIFS(Transactions[Amount],Transactions[Custom Category],Dashboard!A222,Transactions[Month],Sel_Month),SUMIFS(Transactions[Amount],Transactions[Name],Dashboard!A222,Transactions[Month],Sel_Month)))</f>
        <v/>
      </c>
      <c r="E222" s="13" t="str">
        <f t="shared" si="3"/>
        <v/>
      </c>
    </row>
    <row r="223" spans="4:5" x14ac:dyDescent="0.25">
      <c r="D223" s="12" t="str" cm="1">
        <f t="array" ref="D223">_xlfn.IFS(A223="","",A223="Grand Total",SUM(D$4:D222),TRUE,IF(COUNTIF(Transactions[Custom Category],Dashboard!A223)&gt;0,SUMIFS(Transactions[Amount],Transactions[Custom Category],Dashboard!A223,Transactions[Month],Sel_Month),SUMIFS(Transactions[Amount],Transactions[Name],Dashboard!A223,Transactions[Month],Sel_Month)))</f>
        <v/>
      </c>
      <c r="E223" s="13" t="str">
        <f t="shared" si="3"/>
        <v/>
      </c>
    </row>
    <row r="224" spans="4:5" x14ac:dyDescent="0.25">
      <c r="D224" s="12" t="str" cm="1">
        <f t="array" ref="D224">_xlfn.IFS(A224="","",A224="Grand Total",SUM(D$4:D223),TRUE,IF(COUNTIF(Transactions[Custom Category],Dashboard!A224)&gt;0,SUMIFS(Transactions[Amount],Transactions[Custom Category],Dashboard!A224,Transactions[Month],Sel_Month),SUMIFS(Transactions[Amount],Transactions[Name],Dashboard!A224,Transactions[Month],Sel_Month)))</f>
        <v/>
      </c>
      <c r="E224" s="13" t="str">
        <f t="shared" si="3"/>
        <v/>
      </c>
    </row>
    <row r="225" spans="4:5" x14ac:dyDescent="0.25">
      <c r="D225" s="12" t="str" cm="1">
        <f t="array" ref="D225">_xlfn.IFS(A225="","",A225="Grand Total",SUM(D$4:D224),TRUE,IF(COUNTIF(Transactions[Custom Category],Dashboard!A225)&gt;0,SUMIFS(Transactions[Amount],Transactions[Custom Category],Dashboard!A225,Transactions[Month],Sel_Month),SUMIFS(Transactions[Amount],Transactions[Name],Dashboard!A225,Transactions[Month],Sel_Month)))</f>
        <v/>
      </c>
      <c r="E225" s="13" t="str">
        <f t="shared" si="3"/>
        <v/>
      </c>
    </row>
    <row r="226" spans="4:5" x14ac:dyDescent="0.25">
      <c r="D226" s="12" t="str" cm="1">
        <f t="array" ref="D226">_xlfn.IFS(A226="","",A226="Grand Total",SUM(D$4:D225),TRUE,IF(COUNTIF(Transactions[Custom Category],Dashboard!A226)&gt;0,SUMIFS(Transactions[Amount],Transactions[Custom Category],Dashboard!A226,Transactions[Month],Sel_Month),SUMIFS(Transactions[Amount],Transactions[Name],Dashboard!A226,Transactions[Month],Sel_Month)))</f>
        <v/>
      </c>
      <c r="E226" s="13" t="str">
        <f t="shared" si="3"/>
        <v/>
      </c>
    </row>
    <row r="227" spans="4:5" x14ac:dyDescent="0.25">
      <c r="D227" s="12" t="str" cm="1">
        <f t="array" ref="D227">_xlfn.IFS(A227="","",A227="Grand Total",SUM(D$4:D226),TRUE,IF(COUNTIF(Transactions[Custom Category],Dashboard!A227)&gt;0,SUMIFS(Transactions[Amount],Transactions[Custom Category],Dashboard!A227,Transactions[Month],Sel_Month),SUMIFS(Transactions[Amount],Transactions[Name],Dashboard!A227,Transactions[Month],Sel_Month)))</f>
        <v/>
      </c>
      <c r="E227" s="13" t="str">
        <f t="shared" si="3"/>
        <v/>
      </c>
    </row>
    <row r="228" spans="4:5" x14ac:dyDescent="0.25">
      <c r="D228" s="12" t="str" cm="1">
        <f t="array" ref="D228">_xlfn.IFS(A228="","",A228="Grand Total",SUM(D$4:D227),TRUE,IF(COUNTIF(Transactions[Custom Category],Dashboard!A228)&gt;0,SUMIFS(Transactions[Amount],Transactions[Custom Category],Dashboard!A228,Transactions[Month],Sel_Month),SUMIFS(Transactions[Amount],Transactions[Name],Dashboard!A228,Transactions[Month],Sel_Month)))</f>
        <v/>
      </c>
      <c r="E228" s="13" t="str">
        <f t="shared" si="3"/>
        <v/>
      </c>
    </row>
    <row r="229" spans="4:5" x14ac:dyDescent="0.25">
      <c r="D229" s="12" t="str" cm="1">
        <f t="array" ref="D229">_xlfn.IFS(A229="","",A229="Grand Total",SUM(D$4:D228),TRUE,IF(COUNTIF(Transactions[Custom Category],Dashboard!A229)&gt;0,SUMIFS(Transactions[Amount],Transactions[Custom Category],Dashboard!A229,Transactions[Month],Sel_Month),SUMIFS(Transactions[Amount],Transactions[Name],Dashboard!A229,Transactions[Month],Sel_Month)))</f>
        <v/>
      </c>
      <c r="E229" s="13" t="str">
        <f t="shared" si="3"/>
        <v/>
      </c>
    </row>
    <row r="230" spans="4:5" x14ac:dyDescent="0.25">
      <c r="D230" s="12" t="str" cm="1">
        <f t="array" ref="D230">_xlfn.IFS(A230="","",A230="Grand Total",SUM(D$4:D229),TRUE,IF(COUNTIF(Transactions[Custom Category],Dashboard!A230)&gt;0,SUMIFS(Transactions[Amount],Transactions[Custom Category],Dashboard!A230,Transactions[Month],Sel_Month),SUMIFS(Transactions[Amount],Transactions[Name],Dashboard!A230,Transactions[Month],Sel_Month)))</f>
        <v/>
      </c>
      <c r="E230" s="13" t="str">
        <f t="shared" si="3"/>
        <v/>
      </c>
    </row>
    <row r="231" spans="4:5" x14ac:dyDescent="0.25">
      <c r="D231" s="12" t="str" cm="1">
        <f t="array" ref="D231">_xlfn.IFS(A231="","",A231="Grand Total",SUM(D$4:D230),TRUE,IF(COUNTIF(Transactions[Custom Category],Dashboard!A231)&gt;0,SUMIFS(Transactions[Amount],Transactions[Custom Category],Dashboard!A231,Transactions[Month],Sel_Month),SUMIFS(Transactions[Amount],Transactions[Name],Dashboard!A231,Transactions[Month],Sel_Month)))</f>
        <v/>
      </c>
      <c r="E231" s="13" t="str">
        <f t="shared" si="3"/>
        <v/>
      </c>
    </row>
    <row r="232" spans="4:5" x14ac:dyDescent="0.25">
      <c r="D232" s="12" t="str" cm="1">
        <f t="array" ref="D232">_xlfn.IFS(A232="","",A232="Grand Total",SUM(D$4:D231),TRUE,IF(COUNTIF(Transactions[Custom Category],Dashboard!A232)&gt;0,SUMIFS(Transactions[Amount],Transactions[Custom Category],Dashboard!A232,Transactions[Month],Sel_Month),SUMIFS(Transactions[Amount],Transactions[Name],Dashboard!A232,Transactions[Month],Sel_Month)))</f>
        <v/>
      </c>
      <c r="E232" s="13" t="str">
        <f t="shared" si="3"/>
        <v/>
      </c>
    </row>
    <row r="233" spans="4:5" x14ac:dyDescent="0.25">
      <c r="D233" s="12" t="str" cm="1">
        <f t="array" ref="D233">_xlfn.IFS(A233="","",A233="Grand Total",SUM(D$4:D232),TRUE,IF(COUNTIF(Transactions[Custom Category],Dashboard!A233)&gt;0,SUMIFS(Transactions[Amount],Transactions[Custom Category],Dashboard!A233,Transactions[Month],Sel_Month),SUMIFS(Transactions[Amount],Transactions[Name],Dashboard!A233,Transactions[Month],Sel_Month)))</f>
        <v/>
      </c>
      <c r="E233" s="13" t="str">
        <f t="shared" si="3"/>
        <v/>
      </c>
    </row>
    <row r="234" spans="4:5" x14ac:dyDescent="0.25">
      <c r="D234" s="12" t="str" cm="1">
        <f t="array" ref="D234">_xlfn.IFS(A234="","",A234="Grand Total",SUM(D$4:D233),TRUE,IF(COUNTIF(Transactions[Custom Category],Dashboard!A234)&gt;0,SUMIFS(Transactions[Amount],Transactions[Custom Category],Dashboard!A234,Transactions[Month],Sel_Month),SUMIFS(Transactions[Amount],Transactions[Name],Dashboard!A234,Transactions[Month],Sel_Month)))</f>
        <v/>
      </c>
      <c r="E234" s="13" t="str">
        <f t="shared" si="3"/>
        <v/>
      </c>
    </row>
    <row r="235" spans="4:5" x14ac:dyDescent="0.25">
      <c r="D235" s="12" t="str" cm="1">
        <f t="array" ref="D235">_xlfn.IFS(A235="","",A235="Grand Total",SUM(D$4:D234),TRUE,IF(COUNTIF(Transactions[Custom Category],Dashboard!A235)&gt;0,SUMIFS(Transactions[Amount],Transactions[Custom Category],Dashboard!A235,Transactions[Month],Sel_Month),SUMIFS(Transactions[Amount],Transactions[Name],Dashboard!A235,Transactions[Month],Sel_Month)))</f>
        <v/>
      </c>
      <c r="E235" s="13" t="str">
        <f t="shared" si="3"/>
        <v/>
      </c>
    </row>
    <row r="236" spans="4:5" x14ac:dyDescent="0.25">
      <c r="D236" s="12" t="str" cm="1">
        <f t="array" ref="D236">_xlfn.IFS(A236="","",A236="Grand Total",SUM(D$4:D235),TRUE,IF(COUNTIF(Transactions[Custom Category],Dashboard!A236)&gt;0,SUMIFS(Transactions[Amount],Transactions[Custom Category],Dashboard!A236,Transactions[Month],Sel_Month),SUMIFS(Transactions[Amount],Transactions[Name],Dashboard!A236,Transactions[Month],Sel_Month)))</f>
        <v/>
      </c>
      <c r="E236" s="13" t="str">
        <f t="shared" si="3"/>
        <v/>
      </c>
    </row>
    <row r="237" spans="4:5" x14ac:dyDescent="0.25">
      <c r="D237" s="12" t="str" cm="1">
        <f t="array" ref="D237">_xlfn.IFS(A237="","",A237="Grand Total",SUM(D$4:D236),TRUE,IF(COUNTIF(Transactions[Custom Category],Dashboard!A237)&gt;0,SUMIFS(Transactions[Amount],Transactions[Custom Category],Dashboard!A237,Transactions[Month],Sel_Month),SUMIFS(Transactions[Amount],Transactions[Name],Dashboard!A237,Transactions[Month],Sel_Month)))</f>
        <v/>
      </c>
      <c r="E237" s="13" t="str">
        <f t="shared" si="3"/>
        <v/>
      </c>
    </row>
    <row r="238" spans="4:5" x14ac:dyDescent="0.25">
      <c r="D238" s="12" t="str" cm="1">
        <f t="array" ref="D238">_xlfn.IFS(A238="","",A238="Grand Total",SUM(D$4:D237),TRUE,IF(COUNTIF(Transactions[Custom Category],Dashboard!A238)&gt;0,SUMIFS(Transactions[Amount],Transactions[Custom Category],Dashboard!A238,Transactions[Month],Sel_Month),SUMIFS(Transactions[Amount],Transactions[Name],Dashboard!A238,Transactions[Month],Sel_Month)))</f>
        <v/>
      </c>
      <c r="E238" s="13" t="str">
        <f t="shared" si="3"/>
        <v/>
      </c>
    </row>
    <row r="239" spans="4:5" x14ac:dyDescent="0.25">
      <c r="D239" s="12" t="str" cm="1">
        <f t="array" ref="D239">_xlfn.IFS(A239="","",A239="Grand Total",SUM(D$4:D238),TRUE,IF(COUNTIF(Transactions[Custom Category],Dashboard!A239)&gt;0,SUMIFS(Transactions[Amount],Transactions[Custom Category],Dashboard!A239,Transactions[Month],Sel_Month),SUMIFS(Transactions[Amount],Transactions[Name],Dashboard!A239,Transactions[Month],Sel_Month)))</f>
        <v/>
      </c>
      <c r="E239" s="13" t="str">
        <f t="shared" si="3"/>
        <v/>
      </c>
    </row>
    <row r="240" spans="4:5" x14ac:dyDescent="0.25">
      <c r="D240" s="12" t="str" cm="1">
        <f t="array" ref="D240">_xlfn.IFS(A240="","",A240="Grand Total",SUM(D$4:D239),TRUE,IF(COUNTIF(Transactions[Custom Category],Dashboard!A240)&gt;0,SUMIFS(Transactions[Amount],Transactions[Custom Category],Dashboard!A240,Transactions[Month],Sel_Month),SUMIFS(Transactions[Amount],Transactions[Name],Dashboard!A240,Transactions[Month],Sel_Month)))</f>
        <v/>
      </c>
      <c r="E240" s="13" t="str">
        <f t="shared" si="3"/>
        <v/>
      </c>
    </row>
    <row r="241" spans="4:5" x14ac:dyDescent="0.25">
      <c r="D241" s="12" t="str" cm="1">
        <f t="array" ref="D241">_xlfn.IFS(A241="","",A241="Grand Total",SUM(D$4:D240),TRUE,IF(COUNTIF(Transactions[Custom Category],Dashboard!A241)&gt;0,SUMIFS(Transactions[Amount],Transactions[Custom Category],Dashboard!A241,Transactions[Month],Sel_Month),SUMIFS(Transactions[Amount],Transactions[Name],Dashboard!A241,Transactions[Month],Sel_Month)))</f>
        <v/>
      </c>
      <c r="E241" s="13" t="str">
        <f t="shared" si="3"/>
        <v/>
      </c>
    </row>
    <row r="242" spans="4:5" x14ac:dyDescent="0.25">
      <c r="D242" s="12" t="str" cm="1">
        <f t="array" ref="D242">_xlfn.IFS(A242="","",A242="Grand Total",SUM(D$4:D241),TRUE,IF(COUNTIF(Transactions[Custom Category],Dashboard!A242)&gt;0,SUMIFS(Transactions[Amount],Transactions[Custom Category],Dashboard!A242,Transactions[Month],Sel_Month),SUMIFS(Transactions[Amount],Transactions[Name],Dashboard!A242,Transactions[Month],Sel_Month)))</f>
        <v/>
      </c>
      <c r="E242" s="13" t="str">
        <f t="shared" si="3"/>
        <v/>
      </c>
    </row>
    <row r="243" spans="4:5" x14ac:dyDescent="0.25">
      <c r="D243" s="12" t="str" cm="1">
        <f t="array" ref="D243">_xlfn.IFS(A243="","",A243="Grand Total",SUM(D$4:D242),TRUE,IF(COUNTIF(Transactions[Custom Category],Dashboard!A243)&gt;0,SUMIFS(Transactions[Amount],Transactions[Custom Category],Dashboard!A243,Transactions[Month],Sel_Month),SUMIFS(Transactions[Amount],Transactions[Name],Dashboard!A243,Transactions[Month],Sel_Month)))</f>
        <v/>
      </c>
      <c r="E243" s="13" t="str">
        <f t="shared" si="3"/>
        <v/>
      </c>
    </row>
    <row r="244" spans="4:5" x14ac:dyDescent="0.25">
      <c r="D244" s="12" t="str" cm="1">
        <f t="array" ref="D244">_xlfn.IFS(A244="","",A244="Grand Total",SUM(D$4:D243),TRUE,IF(COUNTIF(Transactions[Custom Category],Dashboard!A244)&gt;0,SUMIFS(Transactions[Amount],Transactions[Custom Category],Dashboard!A244,Transactions[Month],Sel_Month),SUMIFS(Transactions[Amount],Transactions[Name],Dashboard!A244,Transactions[Month],Sel_Month)))</f>
        <v/>
      </c>
      <c r="E244" s="13" t="str">
        <f t="shared" si="3"/>
        <v/>
      </c>
    </row>
    <row r="245" spans="4:5" x14ac:dyDescent="0.25">
      <c r="D245" s="12" t="str" cm="1">
        <f t="array" ref="D245">_xlfn.IFS(A245="","",A245="Grand Total",SUM(D$4:D244),TRUE,IF(COUNTIF(Transactions[Custom Category],Dashboard!A245)&gt;0,SUMIFS(Transactions[Amount],Transactions[Custom Category],Dashboard!A245,Transactions[Month],Sel_Month),SUMIFS(Transactions[Amount],Transactions[Name],Dashboard!A245,Transactions[Month],Sel_Month)))</f>
        <v/>
      </c>
      <c r="E245" s="13" t="str">
        <f t="shared" si="3"/>
        <v/>
      </c>
    </row>
    <row r="246" spans="4:5" x14ac:dyDescent="0.25">
      <c r="D246" s="12" t="str" cm="1">
        <f t="array" ref="D246">_xlfn.IFS(A246="","",A246="Grand Total",SUM(D$4:D245),TRUE,IF(COUNTIF(Transactions[Custom Category],Dashboard!A246)&gt;0,SUMIFS(Transactions[Amount],Transactions[Custom Category],Dashboard!A246,Transactions[Month],Sel_Month),SUMIFS(Transactions[Amount],Transactions[Name],Dashboard!A246,Transactions[Month],Sel_Month)))</f>
        <v/>
      </c>
      <c r="E246" s="13" t="str">
        <f t="shared" si="3"/>
        <v/>
      </c>
    </row>
    <row r="247" spans="4:5" x14ac:dyDescent="0.25">
      <c r="D247" s="12" t="str" cm="1">
        <f t="array" ref="D247">_xlfn.IFS(A247="","",A247="Grand Total",SUM(D$4:D246),TRUE,IF(COUNTIF(Transactions[Custom Category],Dashboard!A247)&gt;0,SUMIFS(Transactions[Amount],Transactions[Custom Category],Dashboard!A247,Transactions[Month],Sel_Month),SUMIFS(Transactions[Amount],Transactions[Name],Dashboard!A247,Transactions[Month],Sel_Month)))</f>
        <v/>
      </c>
      <c r="E247" s="13" t="str">
        <f t="shared" si="3"/>
        <v/>
      </c>
    </row>
    <row r="248" spans="4:5" x14ac:dyDescent="0.25">
      <c r="D248" s="12" t="str" cm="1">
        <f t="array" ref="D248">_xlfn.IFS(A248="","",A248="Grand Total",SUM(D$4:D247),TRUE,IF(COUNTIF(Transactions[Custom Category],Dashboard!A248)&gt;0,SUMIFS(Transactions[Amount],Transactions[Custom Category],Dashboard!A248,Transactions[Month],Sel_Month),SUMIFS(Transactions[Amount],Transactions[Name],Dashboard!A248,Transactions[Month],Sel_Month)))</f>
        <v/>
      </c>
      <c r="E248" s="13" t="str">
        <f t="shared" si="3"/>
        <v/>
      </c>
    </row>
    <row r="249" spans="4:5" x14ac:dyDescent="0.25">
      <c r="D249" s="12" t="str" cm="1">
        <f t="array" ref="D249">_xlfn.IFS(A249="","",A249="Grand Total",SUM(D$4:D248),TRUE,IF(COUNTIF(Transactions[Custom Category],Dashboard!A249)&gt;0,SUMIFS(Transactions[Amount],Transactions[Custom Category],Dashboard!A249,Transactions[Month],Sel_Month),SUMIFS(Transactions[Amount],Transactions[Name],Dashboard!A249,Transactions[Month],Sel_Month)))</f>
        <v/>
      </c>
      <c r="E249" s="13" t="str">
        <f t="shared" si="3"/>
        <v/>
      </c>
    </row>
    <row r="250" spans="4:5" x14ac:dyDescent="0.25">
      <c r="D250" s="12" t="str" cm="1">
        <f t="array" ref="D250">_xlfn.IFS(A250="","",A250="Grand Total",SUM(D$4:D249),TRUE,IF(COUNTIF(Transactions[Custom Category],Dashboard!A250)&gt;0,SUMIFS(Transactions[Amount],Transactions[Custom Category],Dashboard!A250,Transactions[Month],Sel_Month),SUMIFS(Transactions[Amount],Transactions[Name],Dashboard!A250,Transactions[Month],Sel_Month)))</f>
        <v/>
      </c>
      <c r="E250" s="13" t="str">
        <f t="shared" si="3"/>
        <v/>
      </c>
    </row>
    <row r="251" spans="4:5" x14ac:dyDescent="0.25">
      <c r="D251" s="12" t="str" cm="1">
        <f t="array" ref="D251">_xlfn.IFS(A251="","",A251="Grand Total",SUM(D$4:D250),TRUE,IF(COUNTIF(Transactions[Custom Category],Dashboard!A251)&gt;0,SUMIFS(Transactions[Amount],Transactions[Custom Category],Dashboard!A251,Transactions[Month],Sel_Month),SUMIFS(Transactions[Amount],Transactions[Name],Dashboard!A251,Transactions[Month],Sel_Month)))</f>
        <v/>
      </c>
      <c r="E251" s="13" t="str">
        <f t="shared" si="3"/>
        <v/>
      </c>
    </row>
    <row r="252" spans="4:5" x14ac:dyDescent="0.25">
      <c r="D252" s="12" t="str" cm="1">
        <f t="array" ref="D252">_xlfn.IFS(A252="","",A252="Grand Total",SUM(D$4:D251),TRUE,IF(COUNTIF(Transactions[Custom Category],Dashboard!A252)&gt;0,SUMIFS(Transactions[Amount],Transactions[Custom Category],Dashboard!A252,Transactions[Month],Sel_Month),SUMIFS(Transactions[Amount],Transactions[Name],Dashboard!A252,Transactions[Month],Sel_Month)))</f>
        <v/>
      </c>
      <c r="E252" s="13" t="str">
        <f t="shared" si="3"/>
        <v/>
      </c>
    </row>
    <row r="253" spans="4:5" x14ac:dyDescent="0.25">
      <c r="D253" s="12" t="str" cm="1">
        <f t="array" ref="D253">_xlfn.IFS(A253="","",A253="Grand Total",SUM(D$4:D252),TRUE,IF(COUNTIF(Transactions[Custom Category],Dashboard!A253)&gt;0,SUMIFS(Transactions[Amount],Transactions[Custom Category],Dashboard!A253,Transactions[Month],Sel_Month),SUMIFS(Transactions[Amount],Transactions[Name],Dashboard!A253,Transactions[Month],Sel_Month)))</f>
        <v/>
      </c>
      <c r="E253" s="13" t="str">
        <f t="shared" si="3"/>
        <v/>
      </c>
    </row>
    <row r="254" spans="4:5" x14ac:dyDescent="0.25">
      <c r="D254" s="12" t="str" cm="1">
        <f t="array" ref="D254">_xlfn.IFS(A254="","",A254="Grand Total",SUM(D$4:D253),TRUE,IF(COUNTIF(Transactions[Custom Category],Dashboard!A254)&gt;0,SUMIFS(Transactions[Amount],Transactions[Custom Category],Dashboard!A254,Transactions[Month],Sel_Month),SUMIFS(Transactions[Amount],Transactions[Name],Dashboard!A254,Transactions[Month],Sel_Month)))</f>
        <v/>
      </c>
      <c r="E254" s="13" t="str">
        <f t="shared" si="3"/>
        <v/>
      </c>
    </row>
    <row r="255" spans="4:5" x14ac:dyDescent="0.25">
      <c r="D255" s="12" t="str" cm="1">
        <f t="array" ref="D255">_xlfn.IFS(A255="","",A255="Grand Total",SUM(D$4:D254),TRUE,IF(COUNTIF(Transactions[Custom Category],Dashboard!A255)&gt;0,SUMIFS(Transactions[Amount],Transactions[Custom Category],Dashboard!A255,Transactions[Month],Sel_Month),SUMIFS(Transactions[Amount],Transactions[Name],Dashboard!A255,Transactions[Month],Sel_Month)))</f>
        <v/>
      </c>
      <c r="E255" s="13" t="str">
        <f t="shared" si="3"/>
        <v/>
      </c>
    </row>
    <row r="256" spans="4:5" x14ac:dyDescent="0.25">
      <c r="D256" s="12" t="str" cm="1">
        <f t="array" ref="D256">_xlfn.IFS(A256="","",A256="Grand Total",SUM(D$4:D255),TRUE,IF(COUNTIF(Transactions[Custom Category],Dashboard!A256)&gt;0,SUMIFS(Transactions[Amount],Transactions[Custom Category],Dashboard!A256,Transactions[Month],Sel_Month),SUMIFS(Transactions[Amount],Transactions[Name],Dashboard!A256,Transactions[Month],Sel_Month)))</f>
        <v/>
      </c>
      <c r="E256" s="13" t="str">
        <f t="shared" si="3"/>
        <v/>
      </c>
    </row>
    <row r="257" spans="4:5" x14ac:dyDescent="0.25">
      <c r="D257" s="12" t="str" cm="1">
        <f t="array" ref="D257">_xlfn.IFS(A257="","",A257="Grand Total",SUM(D$4:D256),TRUE,IF(COUNTIF(Transactions[Custom Category],Dashboard!A257)&gt;0,SUMIFS(Transactions[Amount],Transactions[Custom Category],Dashboard!A257,Transactions[Month],Sel_Month),SUMIFS(Transactions[Amount],Transactions[Name],Dashboard!A257,Transactions[Month],Sel_Month)))</f>
        <v/>
      </c>
      <c r="E257" s="13" t="str">
        <f t="shared" si="3"/>
        <v/>
      </c>
    </row>
    <row r="258" spans="4:5" x14ac:dyDescent="0.25">
      <c r="D258" s="12" t="str" cm="1">
        <f t="array" ref="D258">_xlfn.IFS(A258="","",A258="Grand Total",SUM(D$4:D257),TRUE,IF(COUNTIF(Transactions[Custom Category],Dashboard!A258)&gt;0,SUMIFS(Transactions[Amount],Transactions[Custom Category],Dashboard!A258,Transactions[Month],Sel_Month),SUMIFS(Transactions[Amount],Transactions[Name],Dashboard!A258,Transactions[Month],Sel_Month)))</f>
        <v/>
      </c>
      <c r="E258" s="13" t="str">
        <f t="shared" si="3"/>
        <v/>
      </c>
    </row>
    <row r="259" spans="4:5" x14ac:dyDescent="0.25">
      <c r="D259" s="12" t="str" cm="1">
        <f t="array" ref="D259">_xlfn.IFS(A259="","",A259="Grand Total",SUM(D$4:D258),TRUE,IF(COUNTIF(Transactions[Custom Category],Dashboard!A259)&gt;0,SUMIFS(Transactions[Amount],Transactions[Custom Category],Dashboard!A259,Transactions[Month],Sel_Month),SUMIFS(Transactions[Amount],Transactions[Name],Dashboard!A259,Transactions[Month],Sel_Month)))</f>
        <v/>
      </c>
      <c r="E259" s="13" t="str">
        <f t="shared" si="3"/>
        <v/>
      </c>
    </row>
    <row r="260" spans="4:5" x14ac:dyDescent="0.25">
      <c r="D260" s="12" t="str" cm="1">
        <f t="array" ref="D260">_xlfn.IFS(A260="","",A260="Grand Total",SUM(D$4:D259),TRUE,IF(COUNTIF(Transactions[Custom Category],Dashboard!A260)&gt;0,SUMIFS(Transactions[Amount],Transactions[Custom Category],Dashboard!A260,Transactions[Month],Sel_Month),SUMIFS(Transactions[Amount],Transactions[Name],Dashboard!A260,Transactions[Month],Sel_Month)))</f>
        <v/>
      </c>
      <c r="E260" s="13" t="str">
        <f t="shared" si="3"/>
        <v/>
      </c>
    </row>
    <row r="261" spans="4:5" x14ac:dyDescent="0.25">
      <c r="D261" s="12" t="str" cm="1">
        <f t="array" ref="D261">_xlfn.IFS(A261="","",A261="Grand Total",SUM(D$4:D260),TRUE,IF(COUNTIF(Transactions[Custom Category],Dashboard!A261)&gt;0,SUMIFS(Transactions[Amount],Transactions[Custom Category],Dashboard!A261,Transactions[Month],Sel_Month),SUMIFS(Transactions[Amount],Transactions[Name],Dashboard!A261,Transactions[Month],Sel_Month)))</f>
        <v/>
      </c>
      <c r="E261" s="13" t="str">
        <f t="shared" si="3"/>
        <v/>
      </c>
    </row>
    <row r="262" spans="4:5" x14ac:dyDescent="0.25">
      <c r="D262" s="12" t="str" cm="1">
        <f t="array" ref="D262">_xlfn.IFS(A262="","",A262="Grand Total",SUM(D$4:D261),TRUE,IF(COUNTIF(Transactions[Custom Category],Dashboard!A262)&gt;0,SUMIFS(Transactions[Amount],Transactions[Custom Category],Dashboard!A262,Transactions[Month],Sel_Month),SUMIFS(Transactions[Amount],Transactions[Name],Dashboard!A262,Transactions[Month],Sel_Month)))</f>
        <v/>
      </c>
      <c r="E262" s="13" t="str">
        <f t="shared" ref="E262:E325" si="4">IF(C262="","",IF(C262=0,0,1-((C262-D262)/C262)))</f>
        <v/>
      </c>
    </row>
    <row r="263" spans="4:5" x14ac:dyDescent="0.25">
      <c r="D263" s="12" t="str" cm="1">
        <f t="array" ref="D263">_xlfn.IFS(A263="","",A263="Grand Total",SUM(D$4:D262),TRUE,IF(COUNTIF(Transactions[Custom Category],Dashboard!A263)&gt;0,SUMIFS(Transactions[Amount],Transactions[Custom Category],Dashboard!A263,Transactions[Month],Sel_Month),SUMIFS(Transactions[Amount],Transactions[Name],Dashboard!A263,Transactions[Month],Sel_Month)))</f>
        <v/>
      </c>
      <c r="E263" s="13" t="str">
        <f t="shared" si="4"/>
        <v/>
      </c>
    </row>
    <row r="264" spans="4:5" x14ac:dyDescent="0.25">
      <c r="D264" s="12" t="str" cm="1">
        <f t="array" ref="D264">_xlfn.IFS(A264="","",A264="Grand Total",SUM(D$4:D263),TRUE,IF(COUNTIF(Transactions[Custom Category],Dashboard!A264)&gt;0,SUMIFS(Transactions[Amount],Transactions[Custom Category],Dashboard!A264,Transactions[Month],Sel_Month),SUMIFS(Transactions[Amount],Transactions[Name],Dashboard!A264,Transactions[Month],Sel_Month)))</f>
        <v/>
      </c>
      <c r="E264" s="13" t="str">
        <f t="shared" si="4"/>
        <v/>
      </c>
    </row>
    <row r="265" spans="4:5" x14ac:dyDescent="0.25">
      <c r="D265" s="12" t="str" cm="1">
        <f t="array" ref="D265">_xlfn.IFS(A265="","",A265="Grand Total",SUM(D$4:D264),TRUE,IF(COUNTIF(Transactions[Custom Category],Dashboard!A265)&gt;0,SUMIFS(Transactions[Amount],Transactions[Custom Category],Dashboard!A265,Transactions[Month],Sel_Month),SUMIFS(Transactions[Amount],Transactions[Name],Dashboard!A265,Transactions[Month],Sel_Month)))</f>
        <v/>
      </c>
      <c r="E265" s="13" t="str">
        <f t="shared" si="4"/>
        <v/>
      </c>
    </row>
    <row r="266" spans="4:5" x14ac:dyDescent="0.25">
      <c r="D266" s="12" t="str" cm="1">
        <f t="array" ref="D266">_xlfn.IFS(A266="","",A266="Grand Total",SUM(D$4:D265),TRUE,IF(COUNTIF(Transactions[Custom Category],Dashboard!A266)&gt;0,SUMIFS(Transactions[Amount],Transactions[Custom Category],Dashboard!A266,Transactions[Month],Sel_Month),SUMIFS(Transactions[Amount],Transactions[Name],Dashboard!A266,Transactions[Month],Sel_Month)))</f>
        <v/>
      </c>
      <c r="E266" s="13" t="str">
        <f t="shared" si="4"/>
        <v/>
      </c>
    </row>
    <row r="267" spans="4:5" x14ac:dyDescent="0.25">
      <c r="D267" s="12" t="str" cm="1">
        <f t="array" ref="D267">_xlfn.IFS(A267="","",A267="Grand Total",SUM(D$4:D266),TRUE,IF(COUNTIF(Transactions[Custom Category],Dashboard!A267)&gt;0,SUMIFS(Transactions[Amount],Transactions[Custom Category],Dashboard!A267,Transactions[Month],Sel_Month),SUMIFS(Transactions[Amount],Transactions[Name],Dashboard!A267,Transactions[Month],Sel_Month)))</f>
        <v/>
      </c>
      <c r="E267" s="13" t="str">
        <f t="shared" si="4"/>
        <v/>
      </c>
    </row>
    <row r="268" spans="4:5" x14ac:dyDescent="0.25">
      <c r="D268" s="12" t="str" cm="1">
        <f t="array" ref="D268">_xlfn.IFS(A268="","",A268="Grand Total",SUM(D$4:D267),TRUE,IF(COUNTIF(Transactions[Custom Category],Dashboard!A268)&gt;0,SUMIFS(Transactions[Amount],Transactions[Custom Category],Dashboard!A268,Transactions[Month],Sel_Month),SUMIFS(Transactions[Amount],Transactions[Name],Dashboard!A268,Transactions[Month],Sel_Month)))</f>
        <v/>
      </c>
      <c r="E268" s="13" t="str">
        <f t="shared" si="4"/>
        <v/>
      </c>
    </row>
    <row r="269" spans="4:5" x14ac:dyDescent="0.25">
      <c r="D269" s="12" t="str" cm="1">
        <f t="array" ref="D269">_xlfn.IFS(A269="","",A269="Grand Total",SUM(D$4:D268),TRUE,IF(COUNTIF(Transactions[Custom Category],Dashboard!A269)&gt;0,SUMIFS(Transactions[Amount],Transactions[Custom Category],Dashboard!A269,Transactions[Month],Sel_Month),SUMIFS(Transactions[Amount],Transactions[Name],Dashboard!A269,Transactions[Month],Sel_Month)))</f>
        <v/>
      </c>
      <c r="E269" s="13" t="str">
        <f t="shared" si="4"/>
        <v/>
      </c>
    </row>
    <row r="270" spans="4:5" x14ac:dyDescent="0.25">
      <c r="D270" s="12" t="str" cm="1">
        <f t="array" ref="D270">_xlfn.IFS(A270="","",A270="Grand Total",SUM(D$4:D269),TRUE,IF(COUNTIF(Transactions[Custom Category],Dashboard!A270)&gt;0,SUMIFS(Transactions[Amount],Transactions[Custom Category],Dashboard!A270,Transactions[Month],Sel_Month),SUMIFS(Transactions[Amount],Transactions[Name],Dashboard!A270,Transactions[Month],Sel_Month)))</f>
        <v/>
      </c>
      <c r="E270" s="13" t="str">
        <f t="shared" si="4"/>
        <v/>
      </c>
    </row>
    <row r="271" spans="4:5" x14ac:dyDescent="0.25">
      <c r="D271" s="12" t="str" cm="1">
        <f t="array" ref="D271">_xlfn.IFS(A271="","",A271="Grand Total",SUM(D$4:D270),TRUE,IF(COUNTIF(Transactions[Custom Category],Dashboard!A271)&gt;0,SUMIFS(Transactions[Amount],Transactions[Custom Category],Dashboard!A271,Transactions[Month],Sel_Month),SUMIFS(Transactions[Amount],Transactions[Name],Dashboard!A271,Transactions[Month],Sel_Month)))</f>
        <v/>
      </c>
      <c r="E271" s="13" t="str">
        <f t="shared" si="4"/>
        <v/>
      </c>
    </row>
    <row r="272" spans="4:5" x14ac:dyDescent="0.25">
      <c r="D272" s="12" t="str" cm="1">
        <f t="array" ref="D272">_xlfn.IFS(A272="","",A272="Grand Total",SUM(D$4:D271),TRUE,IF(COUNTIF(Transactions[Custom Category],Dashboard!A272)&gt;0,SUMIFS(Transactions[Amount],Transactions[Custom Category],Dashboard!A272,Transactions[Month],Sel_Month),SUMIFS(Transactions[Amount],Transactions[Name],Dashboard!A272,Transactions[Month],Sel_Month)))</f>
        <v/>
      </c>
      <c r="E272" s="13" t="str">
        <f t="shared" si="4"/>
        <v/>
      </c>
    </row>
    <row r="273" spans="4:5" x14ac:dyDescent="0.25">
      <c r="D273" s="12" t="str" cm="1">
        <f t="array" ref="D273">_xlfn.IFS(A273="","",A273="Grand Total",SUM(D$4:D272),TRUE,IF(COUNTIF(Transactions[Custom Category],Dashboard!A273)&gt;0,SUMIFS(Transactions[Amount],Transactions[Custom Category],Dashboard!A273,Transactions[Month],Sel_Month),SUMIFS(Transactions[Amount],Transactions[Name],Dashboard!A273,Transactions[Month],Sel_Month)))</f>
        <v/>
      </c>
      <c r="E273" s="13" t="str">
        <f t="shared" si="4"/>
        <v/>
      </c>
    </row>
    <row r="274" spans="4:5" x14ac:dyDescent="0.25">
      <c r="D274" s="12" t="str" cm="1">
        <f t="array" ref="D274">_xlfn.IFS(A274="","",A274="Grand Total",SUM(D$4:D273),TRUE,IF(COUNTIF(Transactions[Custom Category],Dashboard!A274)&gt;0,SUMIFS(Transactions[Amount],Transactions[Custom Category],Dashboard!A274,Transactions[Month],Sel_Month),SUMIFS(Transactions[Amount],Transactions[Name],Dashboard!A274,Transactions[Month],Sel_Month)))</f>
        <v/>
      </c>
      <c r="E274" s="13" t="str">
        <f t="shared" si="4"/>
        <v/>
      </c>
    </row>
    <row r="275" spans="4:5" x14ac:dyDescent="0.25">
      <c r="D275" s="12" t="str" cm="1">
        <f t="array" ref="D275">_xlfn.IFS(A275="","",A275="Grand Total",SUM(D$4:D274),TRUE,IF(COUNTIF(Transactions[Custom Category],Dashboard!A275)&gt;0,SUMIFS(Transactions[Amount],Transactions[Custom Category],Dashboard!A275,Transactions[Month],Sel_Month),SUMIFS(Transactions[Amount],Transactions[Name],Dashboard!A275,Transactions[Month],Sel_Month)))</f>
        <v/>
      </c>
      <c r="E275" s="13" t="str">
        <f t="shared" si="4"/>
        <v/>
      </c>
    </row>
    <row r="276" spans="4:5" x14ac:dyDescent="0.25">
      <c r="D276" s="12" t="str" cm="1">
        <f t="array" ref="D276">_xlfn.IFS(A276="","",A276="Grand Total",SUM(D$4:D275),TRUE,IF(COUNTIF(Transactions[Custom Category],Dashboard!A276)&gt;0,SUMIFS(Transactions[Amount],Transactions[Custom Category],Dashboard!A276,Transactions[Month],Sel_Month),SUMIFS(Transactions[Amount],Transactions[Name],Dashboard!A276,Transactions[Month],Sel_Month)))</f>
        <v/>
      </c>
      <c r="E276" s="13" t="str">
        <f t="shared" si="4"/>
        <v/>
      </c>
    </row>
    <row r="277" spans="4:5" x14ac:dyDescent="0.25">
      <c r="D277" s="12" t="str" cm="1">
        <f t="array" ref="D277">_xlfn.IFS(A277="","",A277="Grand Total",SUM(D$4:D276),TRUE,IF(COUNTIF(Transactions[Custom Category],Dashboard!A277)&gt;0,SUMIFS(Transactions[Amount],Transactions[Custom Category],Dashboard!A277,Transactions[Month],Sel_Month),SUMIFS(Transactions[Amount],Transactions[Name],Dashboard!A277,Transactions[Month],Sel_Month)))</f>
        <v/>
      </c>
      <c r="E277" s="13" t="str">
        <f t="shared" si="4"/>
        <v/>
      </c>
    </row>
    <row r="278" spans="4:5" x14ac:dyDescent="0.25">
      <c r="D278" s="12" t="str" cm="1">
        <f t="array" ref="D278">_xlfn.IFS(A278="","",A278="Grand Total",SUM(D$4:D277),TRUE,IF(COUNTIF(Transactions[Custom Category],Dashboard!A278)&gt;0,SUMIFS(Transactions[Amount],Transactions[Custom Category],Dashboard!A278,Transactions[Month],Sel_Month),SUMIFS(Transactions[Amount],Transactions[Name],Dashboard!A278,Transactions[Month],Sel_Month)))</f>
        <v/>
      </c>
      <c r="E278" s="13" t="str">
        <f t="shared" si="4"/>
        <v/>
      </c>
    </row>
    <row r="279" spans="4:5" x14ac:dyDescent="0.25">
      <c r="D279" s="12" t="str" cm="1">
        <f t="array" ref="D279">_xlfn.IFS(A279="","",A279="Grand Total",SUM(D$4:D278),TRUE,IF(COUNTIF(Transactions[Custom Category],Dashboard!A279)&gt;0,SUMIFS(Transactions[Amount],Transactions[Custom Category],Dashboard!A279,Transactions[Month],Sel_Month),SUMIFS(Transactions[Amount],Transactions[Name],Dashboard!A279,Transactions[Month],Sel_Month)))</f>
        <v/>
      </c>
      <c r="E279" s="13" t="str">
        <f t="shared" si="4"/>
        <v/>
      </c>
    </row>
    <row r="280" spans="4:5" x14ac:dyDescent="0.25">
      <c r="D280" s="12" t="str" cm="1">
        <f t="array" ref="D280">_xlfn.IFS(A280="","",A280="Grand Total",SUM(D$4:D279),TRUE,IF(COUNTIF(Transactions[Custom Category],Dashboard!A280)&gt;0,SUMIFS(Transactions[Amount],Transactions[Custom Category],Dashboard!A280,Transactions[Month],Sel_Month),SUMIFS(Transactions[Amount],Transactions[Name],Dashboard!A280,Transactions[Month],Sel_Month)))</f>
        <v/>
      </c>
      <c r="E280" s="13" t="str">
        <f t="shared" si="4"/>
        <v/>
      </c>
    </row>
    <row r="281" spans="4:5" x14ac:dyDescent="0.25">
      <c r="D281" s="12" t="str" cm="1">
        <f t="array" ref="D281">_xlfn.IFS(A281="","",A281="Grand Total",SUM(D$4:D280),TRUE,IF(COUNTIF(Transactions[Custom Category],Dashboard!A281)&gt;0,SUMIFS(Transactions[Amount],Transactions[Custom Category],Dashboard!A281,Transactions[Month],Sel_Month),SUMIFS(Transactions[Amount],Transactions[Name],Dashboard!A281,Transactions[Month],Sel_Month)))</f>
        <v/>
      </c>
      <c r="E281" s="13" t="str">
        <f t="shared" si="4"/>
        <v/>
      </c>
    </row>
    <row r="282" spans="4:5" x14ac:dyDescent="0.25">
      <c r="D282" s="12" t="str" cm="1">
        <f t="array" ref="D282">_xlfn.IFS(A282="","",A282="Grand Total",SUM(D$4:D281),TRUE,IF(COUNTIF(Transactions[Custom Category],Dashboard!A282)&gt;0,SUMIFS(Transactions[Amount],Transactions[Custom Category],Dashboard!A282,Transactions[Month],Sel_Month),SUMIFS(Transactions[Amount],Transactions[Name],Dashboard!A282,Transactions[Month],Sel_Month)))</f>
        <v/>
      </c>
      <c r="E282" s="13" t="str">
        <f t="shared" si="4"/>
        <v/>
      </c>
    </row>
    <row r="283" spans="4:5" x14ac:dyDescent="0.25">
      <c r="D283" s="12" t="str" cm="1">
        <f t="array" ref="D283">_xlfn.IFS(A283="","",A283="Grand Total",SUM(D$4:D282),TRUE,IF(COUNTIF(Transactions[Custom Category],Dashboard!A283)&gt;0,SUMIFS(Transactions[Amount],Transactions[Custom Category],Dashboard!A283,Transactions[Month],Sel_Month),SUMIFS(Transactions[Amount],Transactions[Name],Dashboard!A283,Transactions[Month],Sel_Month)))</f>
        <v/>
      </c>
      <c r="E283" s="13" t="str">
        <f t="shared" si="4"/>
        <v/>
      </c>
    </row>
    <row r="284" spans="4:5" x14ac:dyDescent="0.25">
      <c r="D284" s="12" t="str" cm="1">
        <f t="array" ref="D284">_xlfn.IFS(A284="","",A284="Grand Total",SUM(D$4:D283),TRUE,IF(COUNTIF(Transactions[Custom Category],Dashboard!A284)&gt;0,SUMIFS(Transactions[Amount],Transactions[Custom Category],Dashboard!A284,Transactions[Month],Sel_Month),SUMIFS(Transactions[Amount],Transactions[Name],Dashboard!A284,Transactions[Month],Sel_Month)))</f>
        <v/>
      </c>
      <c r="E284" s="13" t="str">
        <f t="shared" si="4"/>
        <v/>
      </c>
    </row>
    <row r="285" spans="4:5" x14ac:dyDescent="0.25">
      <c r="D285" s="12" t="str" cm="1">
        <f t="array" ref="D285">_xlfn.IFS(A285="","",A285="Grand Total",SUM(D$4:D284),TRUE,IF(COUNTIF(Transactions[Custom Category],Dashboard!A285)&gt;0,SUMIFS(Transactions[Amount],Transactions[Custom Category],Dashboard!A285,Transactions[Month],Sel_Month),SUMIFS(Transactions[Amount],Transactions[Name],Dashboard!A285,Transactions[Month],Sel_Month)))</f>
        <v/>
      </c>
      <c r="E285" s="13" t="str">
        <f t="shared" si="4"/>
        <v/>
      </c>
    </row>
    <row r="286" spans="4:5" x14ac:dyDescent="0.25">
      <c r="D286" s="12" t="str" cm="1">
        <f t="array" ref="D286">_xlfn.IFS(A286="","",A286="Grand Total",SUM(D$4:D285),TRUE,IF(COUNTIF(Transactions[Custom Category],Dashboard!A286)&gt;0,SUMIFS(Transactions[Amount],Transactions[Custom Category],Dashboard!A286,Transactions[Month],Sel_Month),SUMIFS(Transactions[Amount],Transactions[Name],Dashboard!A286,Transactions[Month],Sel_Month)))</f>
        <v/>
      </c>
      <c r="E286" s="13" t="str">
        <f t="shared" si="4"/>
        <v/>
      </c>
    </row>
    <row r="287" spans="4:5" x14ac:dyDescent="0.25">
      <c r="D287" s="12" t="str" cm="1">
        <f t="array" ref="D287">_xlfn.IFS(A287="","",A287="Grand Total",SUM(D$4:D286),TRUE,IF(COUNTIF(Transactions[Custom Category],Dashboard!A287)&gt;0,SUMIFS(Transactions[Amount],Transactions[Custom Category],Dashboard!A287,Transactions[Month],Sel_Month),SUMIFS(Transactions[Amount],Transactions[Name],Dashboard!A287,Transactions[Month],Sel_Month)))</f>
        <v/>
      </c>
      <c r="E287" s="13" t="str">
        <f t="shared" si="4"/>
        <v/>
      </c>
    </row>
    <row r="288" spans="4:5" x14ac:dyDescent="0.25">
      <c r="D288" s="12" t="str" cm="1">
        <f t="array" ref="D288">_xlfn.IFS(A288="","",A288="Grand Total",SUM(D$4:D287),TRUE,IF(COUNTIF(Transactions[Custom Category],Dashboard!A288)&gt;0,SUMIFS(Transactions[Amount],Transactions[Custom Category],Dashboard!A288,Transactions[Month],Sel_Month),SUMIFS(Transactions[Amount],Transactions[Name],Dashboard!A288,Transactions[Month],Sel_Month)))</f>
        <v/>
      </c>
      <c r="E288" s="13" t="str">
        <f t="shared" si="4"/>
        <v/>
      </c>
    </row>
    <row r="289" spans="4:5" x14ac:dyDescent="0.25">
      <c r="D289" s="12" t="str" cm="1">
        <f t="array" ref="D289">_xlfn.IFS(A289="","",A289="Grand Total",SUM(D$4:D288),TRUE,IF(COUNTIF(Transactions[Custom Category],Dashboard!A289)&gt;0,SUMIFS(Transactions[Amount],Transactions[Custom Category],Dashboard!A289,Transactions[Month],Sel_Month),SUMIFS(Transactions[Amount],Transactions[Name],Dashboard!A289,Transactions[Month],Sel_Month)))</f>
        <v/>
      </c>
      <c r="E289" s="13" t="str">
        <f t="shared" si="4"/>
        <v/>
      </c>
    </row>
    <row r="290" spans="4:5" x14ac:dyDescent="0.25">
      <c r="D290" s="12" t="str" cm="1">
        <f t="array" ref="D290">_xlfn.IFS(A290="","",A290="Grand Total",SUM(D$4:D289),TRUE,IF(COUNTIF(Transactions[Custom Category],Dashboard!A290)&gt;0,SUMIFS(Transactions[Amount],Transactions[Custom Category],Dashboard!A290,Transactions[Month],Sel_Month),SUMIFS(Transactions[Amount],Transactions[Name],Dashboard!A290,Transactions[Month],Sel_Month)))</f>
        <v/>
      </c>
      <c r="E290" s="13" t="str">
        <f t="shared" si="4"/>
        <v/>
      </c>
    </row>
    <row r="291" spans="4:5" x14ac:dyDescent="0.25">
      <c r="D291" s="12" t="str" cm="1">
        <f t="array" ref="D291">_xlfn.IFS(A291="","",A291="Grand Total",SUM(D$4:D290),TRUE,IF(COUNTIF(Transactions[Custom Category],Dashboard!A291)&gt;0,SUMIFS(Transactions[Amount],Transactions[Custom Category],Dashboard!A291,Transactions[Month],Sel_Month),SUMIFS(Transactions[Amount],Transactions[Name],Dashboard!A291,Transactions[Month],Sel_Month)))</f>
        <v/>
      </c>
      <c r="E291" s="13" t="str">
        <f t="shared" si="4"/>
        <v/>
      </c>
    </row>
    <row r="292" spans="4:5" x14ac:dyDescent="0.25">
      <c r="D292" s="12" t="str" cm="1">
        <f t="array" ref="D292">_xlfn.IFS(A292="","",A292="Grand Total",SUM(D$4:D291),TRUE,IF(COUNTIF(Transactions[Custom Category],Dashboard!A292)&gt;0,SUMIFS(Transactions[Amount],Transactions[Custom Category],Dashboard!A292,Transactions[Month],Sel_Month),SUMIFS(Transactions[Amount],Transactions[Name],Dashboard!A292,Transactions[Month],Sel_Month)))</f>
        <v/>
      </c>
      <c r="E292" s="13" t="str">
        <f t="shared" si="4"/>
        <v/>
      </c>
    </row>
    <row r="293" spans="4:5" x14ac:dyDescent="0.25">
      <c r="D293" s="12" t="str" cm="1">
        <f t="array" ref="D293">_xlfn.IFS(A293="","",A293="Grand Total",SUM(D$4:D292),TRUE,IF(COUNTIF(Transactions[Custom Category],Dashboard!A293)&gt;0,SUMIFS(Transactions[Amount],Transactions[Custom Category],Dashboard!A293,Transactions[Month],Sel_Month),SUMIFS(Transactions[Amount],Transactions[Name],Dashboard!A293,Transactions[Month],Sel_Month)))</f>
        <v/>
      </c>
      <c r="E293" s="13" t="str">
        <f t="shared" si="4"/>
        <v/>
      </c>
    </row>
    <row r="294" spans="4:5" x14ac:dyDescent="0.25">
      <c r="D294" s="12" t="str" cm="1">
        <f t="array" ref="D294">_xlfn.IFS(A294="","",A294="Grand Total",SUM(D$4:D293),TRUE,IF(COUNTIF(Transactions[Custom Category],Dashboard!A294)&gt;0,SUMIFS(Transactions[Amount],Transactions[Custom Category],Dashboard!A294,Transactions[Month],Sel_Month),SUMIFS(Transactions[Amount],Transactions[Name],Dashboard!A294,Transactions[Month],Sel_Month)))</f>
        <v/>
      </c>
      <c r="E294" s="13" t="str">
        <f t="shared" si="4"/>
        <v/>
      </c>
    </row>
    <row r="295" spans="4:5" x14ac:dyDescent="0.25">
      <c r="D295" s="12" t="str" cm="1">
        <f t="array" ref="D295">_xlfn.IFS(A295="","",A295="Grand Total",SUM(D$4:D294),TRUE,IF(COUNTIF(Transactions[Custom Category],Dashboard!A295)&gt;0,SUMIFS(Transactions[Amount],Transactions[Custom Category],Dashboard!A295,Transactions[Month],Sel_Month),SUMIFS(Transactions[Amount],Transactions[Name],Dashboard!A295,Transactions[Month],Sel_Month)))</f>
        <v/>
      </c>
      <c r="E295" s="13" t="str">
        <f t="shared" si="4"/>
        <v/>
      </c>
    </row>
    <row r="296" spans="4:5" x14ac:dyDescent="0.25">
      <c r="D296" s="12" t="str" cm="1">
        <f t="array" ref="D296">_xlfn.IFS(A296="","",A296="Grand Total",SUM(D$4:D295),TRUE,IF(COUNTIF(Transactions[Custom Category],Dashboard!A296)&gt;0,SUMIFS(Transactions[Amount],Transactions[Custom Category],Dashboard!A296,Transactions[Month],Sel_Month),SUMIFS(Transactions[Amount],Transactions[Name],Dashboard!A296,Transactions[Month],Sel_Month)))</f>
        <v/>
      </c>
      <c r="E296" s="13" t="str">
        <f t="shared" si="4"/>
        <v/>
      </c>
    </row>
    <row r="297" spans="4:5" x14ac:dyDescent="0.25">
      <c r="D297" s="12" t="str" cm="1">
        <f t="array" ref="D297">_xlfn.IFS(A297="","",A297="Grand Total",SUM(D$4:D296),TRUE,IF(COUNTIF(Transactions[Custom Category],Dashboard!A297)&gt;0,SUMIFS(Transactions[Amount],Transactions[Custom Category],Dashboard!A297,Transactions[Month],Sel_Month),SUMIFS(Transactions[Amount],Transactions[Name],Dashboard!A297,Transactions[Month],Sel_Month)))</f>
        <v/>
      </c>
      <c r="E297" s="13" t="str">
        <f t="shared" si="4"/>
        <v/>
      </c>
    </row>
    <row r="298" spans="4:5" x14ac:dyDescent="0.25">
      <c r="D298" s="12" t="str" cm="1">
        <f t="array" ref="D298">_xlfn.IFS(A298="","",A298="Grand Total",SUM(D$4:D297),TRUE,IF(COUNTIF(Transactions[Custom Category],Dashboard!A298)&gt;0,SUMIFS(Transactions[Amount],Transactions[Custom Category],Dashboard!A298,Transactions[Month],Sel_Month),SUMIFS(Transactions[Amount],Transactions[Name],Dashboard!A298,Transactions[Month],Sel_Month)))</f>
        <v/>
      </c>
      <c r="E298" s="13" t="str">
        <f t="shared" si="4"/>
        <v/>
      </c>
    </row>
    <row r="299" spans="4:5" x14ac:dyDescent="0.25">
      <c r="D299" s="12" t="str" cm="1">
        <f t="array" ref="D299">_xlfn.IFS(A299="","",A299="Grand Total",SUM(D$4:D298),TRUE,IF(COUNTIF(Transactions[Custom Category],Dashboard!A299)&gt;0,SUMIFS(Transactions[Amount],Transactions[Custom Category],Dashboard!A299,Transactions[Month],Sel_Month),SUMIFS(Transactions[Amount],Transactions[Name],Dashboard!A299,Transactions[Month],Sel_Month)))</f>
        <v/>
      </c>
      <c r="E299" s="13" t="str">
        <f t="shared" si="4"/>
        <v/>
      </c>
    </row>
    <row r="300" spans="4:5" x14ac:dyDescent="0.25">
      <c r="D300" s="12" t="str" cm="1">
        <f t="array" ref="D300">_xlfn.IFS(A300="","",A300="Grand Total",SUM(D$4:D299),TRUE,IF(COUNTIF(Transactions[Custom Category],Dashboard!A300)&gt;0,SUMIFS(Transactions[Amount],Transactions[Custom Category],Dashboard!A300,Transactions[Month],Sel_Month),SUMIFS(Transactions[Amount],Transactions[Name],Dashboard!A300,Transactions[Month],Sel_Month)))</f>
        <v/>
      </c>
      <c r="E300" s="13" t="str">
        <f t="shared" si="4"/>
        <v/>
      </c>
    </row>
    <row r="301" spans="4:5" x14ac:dyDescent="0.25">
      <c r="D301" s="12" t="str" cm="1">
        <f t="array" ref="D301">_xlfn.IFS(A301="","",A301="Grand Total",SUM(D$4:D300),TRUE,IF(COUNTIF(Transactions[Custom Category],Dashboard!A301)&gt;0,SUMIFS(Transactions[Amount],Transactions[Custom Category],Dashboard!A301,Transactions[Month],Sel_Month),SUMIFS(Transactions[Amount],Transactions[Name],Dashboard!A301,Transactions[Month],Sel_Month)))</f>
        <v/>
      </c>
      <c r="E301" s="13" t="str">
        <f t="shared" si="4"/>
        <v/>
      </c>
    </row>
    <row r="302" spans="4:5" x14ac:dyDescent="0.25">
      <c r="D302" s="12" t="str" cm="1">
        <f t="array" ref="D302">_xlfn.IFS(A302="","",A302="Grand Total",SUM(D$4:D301),TRUE,IF(COUNTIF(Transactions[Custom Category],Dashboard!A302)&gt;0,SUMIFS(Transactions[Amount],Transactions[Custom Category],Dashboard!A302,Transactions[Month],Sel_Month),SUMIFS(Transactions[Amount],Transactions[Name],Dashboard!A302,Transactions[Month],Sel_Month)))</f>
        <v/>
      </c>
      <c r="E302" s="13" t="str">
        <f t="shared" si="4"/>
        <v/>
      </c>
    </row>
    <row r="303" spans="4:5" x14ac:dyDescent="0.25">
      <c r="D303" s="12" t="str" cm="1">
        <f t="array" ref="D303">_xlfn.IFS(A303="","",A303="Grand Total",SUM(D$4:D302),TRUE,IF(COUNTIF(Transactions[Custom Category],Dashboard!A303)&gt;0,SUMIFS(Transactions[Amount],Transactions[Custom Category],Dashboard!A303,Transactions[Month],Sel_Month),SUMIFS(Transactions[Amount],Transactions[Name],Dashboard!A303,Transactions[Month],Sel_Month)))</f>
        <v/>
      </c>
      <c r="E303" s="13" t="str">
        <f t="shared" si="4"/>
        <v/>
      </c>
    </row>
    <row r="304" spans="4:5" x14ac:dyDescent="0.25">
      <c r="D304" s="12" t="str" cm="1">
        <f t="array" ref="D304">_xlfn.IFS(A304="","",A304="Grand Total",SUM(D$4:D303),TRUE,IF(COUNTIF(Transactions[Custom Category],Dashboard!A304)&gt;0,SUMIFS(Transactions[Amount],Transactions[Custom Category],Dashboard!A304,Transactions[Month],Sel_Month),SUMIFS(Transactions[Amount],Transactions[Name],Dashboard!A304,Transactions[Month],Sel_Month)))</f>
        <v/>
      </c>
      <c r="E304" s="13" t="str">
        <f t="shared" si="4"/>
        <v/>
      </c>
    </row>
    <row r="305" spans="4:5" x14ac:dyDescent="0.25">
      <c r="D305" s="12" t="str" cm="1">
        <f t="array" ref="D305">_xlfn.IFS(A305="","",A305="Grand Total",SUM(D$4:D304),TRUE,IF(COUNTIF(Transactions[Custom Category],Dashboard!A305)&gt;0,SUMIFS(Transactions[Amount],Transactions[Custom Category],Dashboard!A305,Transactions[Month],Sel_Month),SUMIFS(Transactions[Amount],Transactions[Name],Dashboard!A305,Transactions[Month],Sel_Month)))</f>
        <v/>
      </c>
      <c r="E305" s="13" t="str">
        <f t="shared" si="4"/>
        <v/>
      </c>
    </row>
    <row r="306" spans="4:5" x14ac:dyDescent="0.25">
      <c r="D306" s="12" t="str" cm="1">
        <f t="array" ref="D306">_xlfn.IFS(A306="","",A306="Grand Total",SUM(D$4:D305),TRUE,IF(COUNTIF(Transactions[Custom Category],Dashboard!A306)&gt;0,SUMIFS(Transactions[Amount],Transactions[Custom Category],Dashboard!A306,Transactions[Month],Sel_Month),SUMIFS(Transactions[Amount],Transactions[Name],Dashboard!A306,Transactions[Month],Sel_Month)))</f>
        <v/>
      </c>
      <c r="E306" s="13" t="str">
        <f t="shared" si="4"/>
        <v/>
      </c>
    </row>
    <row r="307" spans="4:5" x14ac:dyDescent="0.25">
      <c r="D307" s="12" t="str" cm="1">
        <f t="array" ref="D307">_xlfn.IFS(A307="","",A307="Grand Total",SUM(D$4:D306),TRUE,IF(COUNTIF(Transactions[Custom Category],Dashboard!A307)&gt;0,SUMIFS(Transactions[Amount],Transactions[Custom Category],Dashboard!A307,Transactions[Month],Sel_Month),SUMIFS(Transactions[Amount],Transactions[Name],Dashboard!A307,Transactions[Month],Sel_Month)))</f>
        <v/>
      </c>
      <c r="E307" s="13" t="str">
        <f t="shared" si="4"/>
        <v/>
      </c>
    </row>
    <row r="308" spans="4:5" x14ac:dyDescent="0.25">
      <c r="D308" s="12" t="str" cm="1">
        <f t="array" ref="D308">_xlfn.IFS(A308="","",A308="Grand Total",SUM(D$4:D307),TRUE,IF(COUNTIF(Transactions[Custom Category],Dashboard!A308)&gt;0,SUMIFS(Transactions[Amount],Transactions[Custom Category],Dashboard!A308,Transactions[Month],Sel_Month),SUMIFS(Transactions[Amount],Transactions[Name],Dashboard!A308,Transactions[Month],Sel_Month)))</f>
        <v/>
      </c>
      <c r="E308" s="13" t="str">
        <f t="shared" si="4"/>
        <v/>
      </c>
    </row>
    <row r="309" spans="4:5" x14ac:dyDescent="0.25">
      <c r="D309" s="12" t="str" cm="1">
        <f t="array" ref="D309">_xlfn.IFS(A309="","",A309="Grand Total",SUM(D$4:D308),TRUE,IF(COUNTIF(Transactions[Custom Category],Dashboard!A309)&gt;0,SUMIFS(Transactions[Amount],Transactions[Custom Category],Dashboard!A309,Transactions[Month],Sel_Month),SUMIFS(Transactions[Amount],Transactions[Name],Dashboard!A309,Transactions[Month],Sel_Month)))</f>
        <v/>
      </c>
      <c r="E309" s="13" t="str">
        <f t="shared" si="4"/>
        <v/>
      </c>
    </row>
    <row r="310" spans="4:5" x14ac:dyDescent="0.25">
      <c r="D310" s="12" t="str" cm="1">
        <f t="array" ref="D310">_xlfn.IFS(A310="","",A310="Grand Total",SUM(D$4:D309),TRUE,IF(COUNTIF(Transactions[Custom Category],Dashboard!A310)&gt;0,SUMIFS(Transactions[Amount],Transactions[Custom Category],Dashboard!A310,Transactions[Month],Sel_Month),SUMIFS(Transactions[Amount],Transactions[Name],Dashboard!A310,Transactions[Month],Sel_Month)))</f>
        <v/>
      </c>
      <c r="E310" s="13" t="str">
        <f t="shared" si="4"/>
        <v/>
      </c>
    </row>
    <row r="311" spans="4:5" x14ac:dyDescent="0.25">
      <c r="D311" s="12" t="str" cm="1">
        <f t="array" ref="D311">_xlfn.IFS(A311="","",A311="Grand Total",SUM(D$4:D310),TRUE,IF(COUNTIF(Transactions[Custom Category],Dashboard!A311)&gt;0,SUMIFS(Transactions[Amount],Transactions[Custom Category],Dashboard!A311,Transactions[Month],Sel_Month),SUMIFS(Transactions[Amount],Transactions[Name],Dashboard!A311,Transactions[Month],Sel_Month)))</f>
        <v/>
      </c>
      <c r="E311" s="13" t="str">
        <f t="shared" si="4"/>
        <v/>
      </c>
    </row>
    <row r="312" spans="4:5" x14ac:dyDescent="0.25">
      <c r="D312" s="12" t="str" cm="1">
        <f t="array" ref="D312">_xlfn.IFS(A312="","",A312="Grand Total",SUM(D$4:D311),TRUE,IF(COUNTIF(Transactions[Custom Category],Dashboard!A312)&gt;0,SUMIFS(Transactions[Amount],Transactions[Custom Category],Dashboard!A312,Transactions[Month],Sel_Month),SUMIFS(Transactions[Amount],Transactions[Name],Dashboard!A312,Transactions[Month],Sel_Month)))</f>
        <v/>
      </c>
      <c r="E312" s="13" t="str">
        <f t="shared" si="4"/>
        <v/>
      </c>
    </row>
    <row r="313" spans="4:5" x14ac:dyDescent="0.25">
      <c r="D313" s="12" t="str" cm="1">
        <f t="array" ref="D313">_xlfn.IFS(A313="","",A313="Grand Total",SUM(D$4:D312),TRUE,IF(COUNTIF(Transactions[Custom Category],Dashboard!A313)&gt;0,SUMIFS(Transactions[Amount],Transactions[Custom Category],Dashboard!A313,Transactions[Month],Sel_Month),SUMIFS(Transactions[Amount],Transactions[Name],Dashboard!A313,Transactions[Month],Sel_Month)))</f>
        <v/>
      </c>
      <c r="E313" s="13" t="str">
        <f t="shared" si="4"/>
        <v/>
      </c>
    </row>
    <row r="314" spans="4:5" x14ac:dyDescent="0.25">
      <c r="D314" s="12" t="str" cm="1">
        <f t="array" ref="D314">_xlfn.IFS(A314="","",A314="Grand Total",SUM(D$4:D313),TRUE,IF(COUNTIF(Transactions[Custom Category],Dashboard!A314)&gt;0,SUMIFS(Transactions[Amount],Transactions[Custom Category],Dashboard!A314,Transactions[Month],Sel_Month),SUMIFS(Transactions[Amount],Transactions[Name],Dashboard!A314,Transactions[Month],Sel_Month)))</f>
        <v/>
      </c>
      <c r="E314" s="13" t="str">
        <f t="shared" si="4"/>
        <v/>
      </c>
    </row>
    <row r="315" spans="4:5" x14ac:dyDescent="0.25">
      <c r="D315" s="12" t="str" cm="1">
        <f t="array" ref="D315">_xlfn.IFS(A315="","",A315="Grand Total",SUM(D$4:D314),TRUE,IF(COUNTIF(Transactions[Custom Category],Dashboard!A315)&gt;0,SUMIFS(Transactions[Amount],Transactions[Custom Category],Dashboard!A315,Transactions[Month],Sel_Month),SUMIFS(Transactions[Amount],Transactions[Name],Dashboard!A315,Transactions[Month],Sel_Month)))</f>
        <v/>
      </c>
      <c r="E315" s="13" t="str">
        <f t="shared" si="4"/>
        <v/>
      </c>
    </row>
    <row r="316" spans="4:5" x14ac:dyDescent="0.25">
      <c r="D316" s="12" t="str" cm="1">
        <f t="array" ref="D316">_xlfn.IFS(A316="","",A316="Grand Total",SUM(D$4:D315),TRUE,IF(COUNTIF(Transactions[Custom Category],Dashboard!A316)&gt;0,SUMIFS(Transactions[Amount],Transactions[Custom Category],Dashboard!A316,Transactions[Month],Sel_Month),SUMIFS(Transactions[Amount],Transactions[Name],Dashboard!A316,Transactions[Month],Sel_Month)))</f>
        <v/>
      </c>
      <c r="E316" s="13" t="str">
        <f t="shared" si="4"/>
        <v/>
      </c>
    </row>
    <row r="317" spans="4:5" x14ac:dyDescent="0.25">
      <c r="D317" s="12" t="str" cm="1">
        <f t="array" ref="D317">_xlfn.IFS(A317="","",A317="Grand Total",SUM(D$4:D316),TRUE,IF(COUNTIF(Transactions[Custom Category],Dashboard!A317)&gt;0,SUMIFS(Transactions[Amount],Transactions[Custom Category],Dashboard!A317,Transactions[Month],Sel_Month),SUMIFS(Transactions[Amount],Transactions[Name],Dashboard!A317,Transactions[Month],Sel_Month)))</f>
        <v/>
      </c>
      <c r="E317" s="13" t="str">
        <f t="shared" si="4"/>
        <v/>
      </c>
    </row>
    <row r="318" spans="4:5" x14ac:dyDescent="0.25">
      <c r="D318" s="12" t="str" cm="1">
        <f t="array" ref="D318">_xlfn.IFS(A318="","",A318="Grand Total",SUM(D$4:D317),TRUE,IF(COUNTIF(Transactions[Custom Category],Dashboard!A318)&gt;0,SUMIFS(Transactions[Amount],Transactions[Custom Category],Dashboard!A318,Transactions[Month],Sel_Month),SUMIFS(Transactions[Amount],Transactions[Name],Dashboard!A318,Transactions[Month],Sel_Month)))</f>
        <v/>
      </c>
      <c r="E318" s="13" t="str">
        <f t="shared" si="4"/>
        <v/>
      </c>
    </row>
    <row r="319" spans="4:5" x14ac:dyDescent="0.25">
      <c r="D319" s="12" t="str" cm="1">
        <f t="array" ref="D319">_xlfn.IFS(A319="","",A319="Grand Total",SUM(D$4:D318),TRUE,IF(COUNTIF(Transactions[Custom Category],Dashboard!A319)&gt;0,SUMIFS(Transactions[Amount],Transactions[Custom Category],Dashboard!A319,Transactions[Month],Sel_Month),SUMIFS(Transactions[Amount],Transactions[Name],Dashboard!A319,Transactions[Month],Sel_Month)))</f>
        <v/>
      </c>
      <c r="E319" s="13" t="str">
        <f t="shared" si="4"/>
        <v/>
      </c>
    </row>
    <row r="320" spans="4:5" x14ac:dyDescent="0.25">
      <c r="D320" s="12" t="str" cm="1">
        <f t="array" ref="D320">_xlfn.IFS(A320="","",A320="Grand Total",SUM(D$4:D319),TRUE,IF(COUNTIF(Transactions[Custom Category],Dashboard!A320)&gt;0,SUMIFS(Transactions[Amount],Transactions[Custom Category],Dashboard!A320,Transactions[Month],Sel_Month),SUMIFS(Transactions[Amount],Transactions[Name],Dashboard!A320,Transactions[Month],Sel_Month)))</f>
        <v/>
      </c>
      <c r="E320" s="13" t="str">
        <f t="shared" si="4"/>
        <v/>
      </c>
    </row>
    <row r="321" spans="4:5" x14ac:dyDescent="0.25">
      <c r="D321" s="12" t="str" cm="1">
        <f t="array" ref="D321">_xlfn.IFS(A321="","",A321="Grand Total",SUM(D$4:D320),TRUE,IF(COUNTIF(Transactions[Custom Category],Dashboard!A321)&gt;0,SUMIFS(Transactions[Amount],Transactions[Custom Category],Dashboard!A321,Transactions[Month],Sel_Month),SUMIFS(Transactions[Amount],Transactions[Name],Dashboard!A321,Transactions[Month],Sel_Month)))</f>
        <v/>
      </c>
      <c r="E321" s="13" t="str">
        <f t="shared" si="4"/>
        <v/>
      </c>
    </row>
    <row r="322" spans="4:5" x14ac:dyDescent="0.25">
      <c r="D322" s="12" t="str" cm="1">
        <f t="array" ref="D322">_xlfn.IFS(A322="","",A322="Grand Total",SUM(D$4:D321),TRUE,IF(COUNTIF(Transactions[Custom Category],Dashboard!A322)&gt;0,SUMIFS(Transactions[Amount],Transactions[Custom Category],Dashboard!A322,Transactions[Month],Sel_Month),SUMIFS(Transactions[Amount],Transactions[Name],Dashboard!A322,Transactions[Month],Sel_Month)))</f>
        <v/>
      </c>
      <c r="E322" s="13" t="str">
        <f t="shared" si="4"/>
        <v/>
      </c>
    </row>
    <row r="323" spans="4:5" x14ac:dyDescent="0.25">
      <c r="D323" s="12" t="str" cm="1">
        <f t="array" ref="D323">_xlfn.IFS(A323="","",A323="Grand Total",SUM(D$4:D322),TRUE,IF(COUNTIF(Transactions[Custom Category],Dashboard!A323)&gt;0,SUMIFS(Transactions[Amount],Transactions[Custom Category],Dashboard!A323,Transactions[Month],Sel_Month),SUMIFS(Transactions[Amount],Transactions[Name],Dashboard!A323,Transactions[Month],Sel_Month)))</f>
        <v/>
      </c>
      <c r="E323" s="13" t="str">
        <f t="shared" si="4"/>
        <v/>
      </c>
    </row>
    <row r="324" spans="4:5" x14ac:dyDescent="0.25">
      <c r="D324" s="12" t="str" cm="1">
        <f t="array" ref="D324">_xlfn.IFS(A324="","",A324="Grand Total",SUM(D$4:D323),TRUE,IF(COUNTIF(Transactions[Custom Category],Dashboard!A324)&gt;0,SUMIFS(Transactions[Amount],Transactions[Custom Category],Dashboard!A324,Transactions[Month],Sel_Month),SUMIFS(Transactions[Amount],Transactions[Name],Dashboard!A324,Transactions[Month],Sel_Month)))</f>
        <v/>
      </c>
      <c r="E324" s="13" t="str">
        <f t="shared" si="4"/>
        <v/>
      </c>
    </row>
    <row r="325" spans="4:5" x14ac:dyDescent="0.25">
      <c r="D325" s="12" t="str" cm="1">
        <f t="array" ref="D325">_xlfn.IFS(A325="","",A325="Grand Total",SUM(D$4:D324),TRUE,IF(COUNTIF(Transactions[Custom Category],Dashboard!A325)&gt;0,SUMIFS(Transactions[Amount],Transactions[Custom Category],Dashboard!A325,Transactions[Month],Sel_Month),SUMIFS(Transactions[Amount],Transactions[Name],Dashboard!A325,Transactions[Month],Sel_Month)))</f>
        <v/>
      </c>
      <c r="E325" s="13" t="str">
        <f t="shared" si="4"/>
        <v/>
      </c>
    </row>
    <row r="326" spans="4:5" x14ac:dyDescent="0.25">
      <c r="D326" s="12" t="str" cm="1">
        <f t="array" ref="D326">_xlfn.IFS(A326="","",A326="Grand Total",SUM(D$4:D325),TRUE,IF(COUNTIF(Transactions[Custom Category],Dashboard!A326)&gt;0,SUMIFS(Transactions[Amount],Transactions[Custom Category],Dashboard!A326,Transactions[Month],Sel_Month),SUMIFS(Transactions[Amount],Transactions[Name],Dashboard!A326,Transactions[Month],Sel_Month)))</f>
        <v/>
      </c>
      <c r="E326" s="13" t="str">
        <f t="shared" ref="E326:E389" si="5">IF(C326="","",IF(C326=0,0,1-((C326-D326)/C326)))</f>
        <v/>
      </c>
    </row>
    <row r="327" spans="4:5" x14ac:dyDescent="0.25">
      <c r="D327" s="12" t="str" cm="1">
        <f t="array" ref="D327">_xlfn.IFS(A327="","",A327="Grand Total",SUM(D$4:D326),TRUE,IF(COUNTIF(Transactions[Custom Category],Dashboard!A327)&gt;0,SUMIFS(Transactions[Amount],Transactions[Custom Category],Dashboard!A327,Transactions[Month],Sel_Month),SUMIFS(Transactions[Amount],Transactions[Name],Dashboard!A327,Transactions[Month],Sel_Month)))</f>
        <v/>
      </c>
      <c r="E327" s="13" t="str">
        <f t="shared" si="5"/>
        <v/>
      </c>
    </row>
    <row r="328" spans="4:5" x14ac:dyDescent="0.25">
      <c r="D328" s="12" t="str" cm="1">
        <f t="array" ref="D328">_xlfn.IFS(A328="","",A328="Grand Total",SUM(D$4:D327),TRUE,IF(COUNTIF(Transactions[Custom Category],Dashboard!A328)&gt;0,SUMIFS(Transactions[Amount],Transactions[Custom Category],Dashboard!A328,Transactions[Month],Sel_Month),SUMIFS(Transactions[Amount],Transactions[Name],Dashboard!A328,Transactions[Month],Sel_Month)))</f>
        <v/>
      </c>
      <c r="E328" s="13" t="str">
        <f t="shared" si="5"/>
        <v/>
      </c>
    </row>
    <row r="329" spans="4:5" x14ac:dyDescent="0.25">
      <c r="D329" s="12" t="str" cm="1">
        <f t="array" ref="D329">_xlfn.IFS(A329="","",A329="Grand Total",SUM(D$4:D328),TRUE,IF(COUNTIF(Transactions[Custom Category],Dashboard!A329)&gt;0,SUMIFS(Transactions[Amount],Transactions[Custom Category],Dashboard!A329,Transactions[Month],Sel_Month),SUMIFS(Transactions[Amount],Transactions[Name],Dashboard!A329,Transactions[Month],Sel_Month)))</f>
        <v/>
      </c>
      <c r="E329" s="13" t="str">
        <f t="shared" si="5"/>
        <v/>
      </c>
    </row>
    <row r="330" spans="4:5" x14ac:dyDescent="0.25">
      <c r="D330" s="12" t="str" cm="1">
        <f t="array" ref="D330">_xlfn.IFS(A330="","",A330="Grand Total",SUM(D$4:D329),TRUE,IF(COUNTIF(Transactions[Custom Category],Dashboard!A330)&gt;0,SUMIFS(Transactions[Amount],Transactions[Custom Category],Dashboard!A330,Transactions[Month],Sel_Month),SUMIFS(Transactions[Amount],Transactions[Name],Dashboard!A330,Transactions[Month],Sel_Month)))</f>
        <v/>
      </c>
      <c r="E330" s="13" t="str">
        <f t="shared" si="5"/>
        <v/>
      </c>
    </row>
    <row r="331" spans="4:5" x14ac:dyDescent="0.25">
      <c r="D331" s="12" t="str" cm="1">
        <f t="array" ref="D331">_xlfn.IFS(A331="","",A331="Grand Total",SUM(D$4:D330),TRUE,IF(COUNTIF(Transactions[Custom Category],Dashboard!A331)&gt;0,SUMIFS(Transactions[Amount],Transactions[Custom Category],Dashboard!A331,Transactions[Month],Sel_Month),SUMIFS(Transactions[Amount],Transactions[Name],Dashboard!A331,Transactions[Month],Sel_Month)))</f>
        <v/>
      </c>
      <c r="E331" s="13" t="str">
        <f t="shared" si="5"/>
        <v/>
      </c>
    </row>
    <row r="332" spans="4:5" x14ac:dyDescent="0.25">
      <c r="D332" s="12" t="str" cm="1">
        <f t="array" ref="D332">_xlfn.IFS(A332="","",A332="Grand Total",SUM(D$4:D331),TRUE,IF(COUNTIF(Transactions[Custom Category],Dashboard!A332)&gt;0,SUMIFS(Transactions[Amount],Transactions[Custom Category],Dashboard!A332,Transactions[Month],Sel_Month),SUMIFS(Transactions[Amount],Transactions[Name],Dashboard!A332,Transactions[Month],Sel_Month)))</f>
        <v/>
      </c>
      <c r="E332" s="13" t="str">
        <f t="shared" si="5"/>
        <v/>
      </c>
    </row>
    <row r="333" spans="4:5" x14ac:dyDescent="0.25">
      <c r="D333" s="12" t="str" cm="1">
        <f t="array" ref="D333">_xlfn.IFS(A333="","",A333="Grand Total",SUM(D$4:D332),TRUE,IF(COUNTIF(Transactions[Custom Category],Dashboard!A333)&gt;0,SUMIFS(Transactions[Amount],Transactions[Custom Category],Dashboard!A333,Transactions[Month],Sel_Month),SUMIFS(Transactions[Amount],Transactions[Name],Dashboard!A333,Transactions[Month],Sel_Month)))</f>
        <v/>
      </c>
      <c r="E333" s="13" t="str">
        <f t="shared" si="5"/>
        <v/>
      </c>
    </row>
    <row r="334" spans="4:5" x14ac:dyDescent="0.25">
      <c r="D334" s="12" t="str" cm="1">
        <f t="array" ref="D334">_xlfn.IFS(A334="","",A334="Grand Total",SUM(D$4:D333),TRUE,IF(COUNTIF(Transactions[Custom Category],Dashboard!A334)&gt;0,SUMIFS(Transactions[Amount],Transactions[Custom Category],Dashboard!A334,Transactions[Month],Sel_Month),SUMIFS(Transactions[Amount],Transactions[Name],Dashboard!A334,Transactions[Month],Sel_Month)))</f>
        <v/>
      </c>
      <c r="E334" s="13" t="str">
        <f t="shared" si="5"/>
        <v/>
      </c>
    </row>
    <row r="335" spans="4:5" x14ac:dyDescent="0.25">
      <c r="D335" s="12" t="str" cm="1">
        <f t="array" ref="D335">_xlfn.IFS(A335="","",A335="Grand Total",SUM(D$4:D334),TRUE,IF(COUNTIF(Transactions[Custom Category],Dashboard!A335)&gt;0,SUMIFS(Transactions[Amount],Transactions[Custom Category],Dashboard!A335,Transactions[Month],Sel_Month),SUMIFS(Transactions[Amount],Transactions[Name],Dashboard!A335,Transactions[Month],Sel_Month)))</f>
        <v/>
      </c>
      <c r="E335" s="13" t="str">
        <f t="shared" si="5"/>
        <v/>
      </c>
    </row>
    <row r="336" spans="4:5" x14ac:dyDescent="0.25">
      <c r="D336" s="12" t="str" cm="1">
        <f t="array" ref="D336">_xlfn.IFS(A336="","",A336="Grand Total",SUM(D$4:D335),TRUE,IF(COUNTIF(Transactions[Custom Category],Dashboard!A336)&gt;0,SUMIFS(Transactions[Amount],Transactions[Custom Category],Dashboard!A336,Transactions[Month],Sel_Month),SUMIFS(Transactions[Amount],Transactions[Name],Dashboard!A336,Transactions[Month],Sel_Month)))</f>
        <v/>
      </c>
      <c r="E336" s="13" t="str">
        <f t="shared" si="5"/>
        <v/>
      </c>
    </row>
    <row r="337" spans="4:5" x14ac:dyDescent="0.25">
      <c r="D337" s="12" t="str" cm="1">
        <f t="array" ref="D337">_xlfn.IFS(A337="","",A337="Grand Total",SUM(D$4:D336),TRUE,IF(COUNTIF(Transactions[Custom Category],Dashboard!A337)&gt;0,SUMIFS(Transactions[Amount],Transactions[Custom Category],Dashboard!A337,Transactions[Month],Sel_Month),SUMIFS(Transactions[Amount],Transactions[Name],Dashboard!A337,Transactions[Month],Sel_Month)))</f>
        <v/>
      </c>
      <c r="E337" s="13" t="str">
        <f t="shared" si="5"/>
        <v/>
      </c>
    </row>
    <row r="338" spans="4:5" x14ac:dyDescent="0.25">
      <c r="D338" s="12" t="str" cm="1">
        <f t="array" ref="D338">_xlfn.IFS(A338="","",A338="Grand Total",SUM(D$4:D337),TRUE,IF(COUNTIF(Transactions[Custom Category],Dashboard!A338)&gt;0,SUMIFS(Transactions[Amount],Transactions[Custom Category],Dashboard!A338,Transactions[Month],Sel_Month),SUMIFS(Transactions[Amount],Transactions[Name],Dashboard!A338,Transactions[Month],Sel_Month)))</f>
        <v/>
      </c>
      <c r="E338" s="13" t="str">
        <f t="shared" si="5"/>
        <v/>
      </c>
    </row>
    <row r="339" spans="4:5" x14ac:dyDescent="0.25">
      <c r="D339" s="12" t="str" cm="1">
        <f t="array" ref="D339">_xlfn.IFS(A339="","",A339="Grand Total",SUM(D$4:D338),TRUE,IF(COUNTIF(Transactions[Custom Category],Dashboard!A339)&gt;0,SUMIFS(Transactions[Amount],Transactions[Custom Category],Dashboard!A339,Transactions[Month],Sel_Month),SUMIFS(Transactions[Amount],Transactions[Name],Dashboard!A339,Transactions[Month],Sel_Month)))</f>
        <v/>
      </c>
      <c r="E339" s="13" t="str">
        <f t="shared" si="5"/>
        <v/>
      </c>
    </row>
    <row r="340" spans="4:5" x14ac:dyDescent="0.25">
      <c r="D340" s="12" t="str" cm="1">
        <f t="array" ref="D340">_xlfn.IFS(A340="","",A340="Grand Total",SUM(D$4:D339),TRUE,IF(COUNTIF(Transactions[Custom Category],Dashboard!A340)&gt;0,SUMIFS(Transactions[Amount],Transactions[Custom Category],Dashboard!A340,Transactions[Month],Sel_Month),SUMIFS(Transactions[Amount],Transactions[Name],Dashboard!A340,Transactions[Month],Sel_Month)))</f>
        <v/>
      </c>
      <c r="E340" s="13" t="str">
        <f t="shared" si="5"/>
        <v/>
      </c>
    </row>
    <row r="341" spans="4:5" x14ac:dyDescent="0.25">
      <c r="D341" s="12" t="str" cm="1">
        <f t="array" ref="D341">_xlfn.IFS(A341="","",A341="Grand Total",SUM(D$4:D340),TRUE,IF(COUNTIF(Transactions[Custom Category],Dashboard!A341)&gt;0,SUMIFS(Transactions[Amount],Transactions[Custom Category],Dashboard!A341,Transactions[Month],Sel_Month),SUMIFS(Transactions[Amount],Transactions[Name],Dashboard!A341,Transactions[Month],Sel_Month)))</f>
        <v/>
      </c>
      <c r="E341" s="13" t="str">
        <f t="shared" si="5"/>
        <v/>
      </c>
    </row>
    <row r="342" spans="4:5" x14ac:dyDescent="0.25">
      <c r="D342" s="12" t="str" cm="1">
        <f t="array" ref="D342">_xlfn.IFS(A342="","",A342="Grand Total",SUM(D$4:D341),TRUE,IF(COUNTIF(Transactions[Custom Category],Dashboard!A342)&gt;0,SUMIFS(Transactions[Amount],Transactions[Custom Category],Dashboard!A342,Transactions[Month],Sel_Month),SUMIFS(Transactions[Amount],Transactions[Name],Dashboard!A342,Transactions[Month],Sel_Month)))</f>
        <v/>
      </c>
      <c r="E342" s="13" t="str">
        <f t="shared" si="5"/>
        <v/>
      </c>
    </row>
    <row r="343" spans="4:5" x14ac:dyDescent="0.25">
      <c r="D343" s="12" t="str" cm="1">
        <f t="array" ref="D343">_xlfn.IFS(A343="","",A343="Grand Total",SUM(D$4:D342),TRUE,IF(COUNTIF(Transactions[Custom Category],Dashboard!A343)&gt;0,SUMIFS(Transactions[Amount],Transactions[Custom Category],Dashboard!A343,Transactions[Month],Sel_Month),SUMIFS(Transactions[Amount],Transactions[Name],Dashboard!A343,Transactions[Month],Sel_Month)))</f>
        <v/>
      </c>
      <c r="E343" s="13" t="str">
        <f t="shared" si="5"/>
        <v/>
      </c>
    </row>
    <row r="344" spans="4:5" x14ac:dyDescent="0.25">
      <c r="D344" s="12" t="str" cm="1">
        <f t="array" ref="D344">_xlfn.IFS(A344="","",A344="Grand Total",SUM(D$4:D343),TRUE,IF(COUNTIF(Transactions[Custom Category],Dashboard!A344)&gt;0,SUMIFS(Transactions[Amount],Transactions[Custom Category],Dashboard!A344,Transactions[Month],Sel_Month),SUMIFS(Transactions[Amount],Transactions[Name],Dashboard!A344,Transactions[Month],Sel_Month)))</f>
        <v/>
      </c>
      <c r="E344" s="13" t="str">
        <f t="shared" si="5"/>
        <v/>
      </c>
    </row>
    <row r="345" spans="4:5" x14ac:dyDescent="0.25">
      <c r="D345" s="12" t="str" cm="1">
        <f t="array" ref="D345">_xlfn.IFS(A345="","",A345="Grand Total",SUM(D$4:D344),TRUE,IF(COUNTIF(Transactions[Custom Category],Dashboard!A345)&gt;0,SUMIFS(Transactions[Amount],Transactions[Custom Category],Dashboard!A345,Transactions[Month],Sel_Month),SUMIFS(Transactions[Amount],Transactions[Name],Dashboard!A345,Transactions[Month],Sel_Month)))</f>
        <v/>
      </c>
      <c r="E345" s="13" t="str">
        <f t="shared" si="5"/>
        <v/>
      </c>
    </row>
    <row r="346" spans="4:5" x14ac:dyDescent="0.25">
      <c r="D346" s="12" t="str" cm="1">
        <f t="array" ref="D346">_xlfn.IFS(A346="","",A346="Grand Total",SUM(D$4:D345),TRUE,IF(COUNTIF(Transactions[Custom Category],Dashboard!A346)&gt;0,SUMIFS(Transactions[Amount],Transactions[Custom Category],Dashboard!A346,Transactions[Month],Sel_Month),SUMIFS(Transactions[Amount],Transactions[Name],Dashboard!A346,Transactions[Month],Sel_Month)))</f>
        <v/>
      </c>
      <c r="E346" s="13" t="str">
        <f t="shared" si="5"/>
        <v/>
      </c>
    </row>
    <row r="347" spans="4:5" x14ac:dyDescent="0.25">
      <c r="D347" s="12" t="str" cm="1">
        <f t="array" ref="D347">_xlfn.IFS(A347="","",A347="Grand Total",SUM(D$4:D346),TRUE,IF(COUNTIF(Transactions[Custom Category],Dashboard!A347)&gt;0,SUMIFS(Transactions[Amount],Transactions[Custom Category],Dashboard!A347,Transactions[Month],Sel_Month),SUMIFS(Transactions[Amount],Transactions[Name],Dashboard!A347,Transactions[Month],Sel_Month)))</f>
        <v/>
      </c>
      <c r="E347" s="13" t="str">
        <f t="shared" si="5"/>
        <v/>
      </c>
    </row>
    <row r="348" spans="4:5" x14ac:dyDescent="0.25">
      <c r="D348" s="12" t="str" cm="1">
        <f t="array" ref="D348">_xlfn.IFS(A348="","",A348="Grand Total",SUM(D$4:D347),TRUE,IF(COUNTIF(Transactions[Custom Category],Dashboard!A348)&gt;0,SUMIFS(Transactions[Amount],Transactions[Custom Category],Dashboard!A348,Transactions[Month],Sel_Month),SUMIFS(Transactions[Amount],Transactions[Name],Dashboard!A348,Transactions[Month],Sel_Month)))</f>
        <v/>
      </c>
      <c r="E348" s="13" t="str">
        <f t="shared" si="5"/>
        <v/>
      </c>
    </row>
    <row r="349" spans="4:5" x14ac:dyDescent="0.25">
      <c r="D349" s="12" t="str" cm="1">
        <f t="array" ref="D349">_xlfn.IFS(A349="","",A349="Grand Total",SUM(D$4:D348),TRUE,IF(COUNTIF(Transactions[Custom Category],Dashboard!A349)&gt;0,SUMIFS(Transactions[Amount],Transactions[Custom Category],Dashboard!A349,Transactions[Month],Sel_Month),SUMIFS(Transactions[Amount],Transactions[Name],Dashboard!A349,Transactions[Month],Sel_Month)))</f>
        <v/>
      </c>
      <c r="E349" s="13" t="str">
        <f t="shared" si="5"/>
        <v/>
      </c>
    </row>
    <row r="350" spans="4:5" x14ac:dyDescent="0.25">
      <c r="D350" s="12" t="str" cm="1">
        <f t="array" ref="D350">_xlfn.IFS(A350="","",A350="Grand Total",SUM(D$4:D349),TRUE,IF(COUNTIF(Transactions[Custom Category],Dashboard!A350)&gt;0,SUMIFS(Transactions[Amount],Transactions[Custom Category],Dashboard!A350,Transactions[Month],Sel_Month),SUMIFS(Transactions[Amount],Transactions[Name],Dashboard!A350,Transactions[Month],Sel_Month)))</f>
        <v/>
      </c>
      <c r="E350" s="13" t="str">
        <f t="shared" si="5"/>
        <v/>
      </c>
    </row>
    <row r="351" spans="4:5" x14ac:dyDescent="0.25">
      <c r="D351" s="12" t="str" cm="1">
        <f t="array" ref="D351">_xlfn.IFS(A351="","",A351="Grand Total",SUM(D$4:D350),TRUE,IF(COUNTIF(Transactions[Custom Category],Dashboard!A351)&gt;0,SUMIFS(Transactions[Amount],Transactions[Custom Category],Dashboard!A351,Transactions[Month],Sel_Month),SUMIFS(Transactions[Amount],Transactions[Name],Dashboard!A351,Transactions[Month],Sel_Month)))</f>
        <v/>
      </c>
      <c r="E351" s="13" t="str">
        <f t="shared" si="5"/>
        <v/>
      </c>
    </row>
    <row r="352" spans="4:5" x14ac:dyDescent="0.25">
      <c r="D352" s="12" t="str" cm="1">
        <f t="array" ref="D352">_xlfn.IFS(A352="","",A352="Grand Total",SUM(D$4:D351),TRUE,IF(COUNTIF(Transactions[Custom Category],Dashboard!A352)&gt;0,SUMIFS(Transactions[Amount],Transactions[Custom Category],Dashboard!A352,Transactions[Month],Sel_Month),SUMIFS(Transactions[Amount],Transactions[Name],Dashboard!A352,Transactions[Month],Sel_Month)))</f>
        <v/>
      </c>
      <c r="E352" s="13" t="str">
        <f t="shared" si="5"/>
        <v/>
      </c>
    </row>
    <row r="353" spans="4:5" x14ac:dyDescent="0.25">
      <c r="D353" s="12" t="str" cm="1">
        <f t="array" ref="D353">_xlfn.IFS(A353="","",A353="Grand Total",SUM(D$4:D352),TRUE,IF(COUNTIF(Transactions[Custom Category],Dashboard!A353)&gt;0,SUMIFS(Transactions[Amount],Transactions[Custom Category],Dashboard!A353,Transactions[Month],Sel_Month),SUMIFS(Transactions[Amount],Transactions[Name],Dashboard!A353,Transactions[Month],Sel_Month)))</f>
        <v/>
      </c>
      <c r="E353" s="13" t="str">
        <f t="shared" si="5"/>
        <v/>
      </c>
    </row>
    <row r="354" spans="4:5" x14ac:dyDescent="0.25">
      <c r="D354" s="12" t="str" cm="1">
        <f t="array" ref="D354">_xlfn.IFS(A354="","",A354="Grand Total",SUM(D$4:D353),TRUE,IF(COUNTIF(Transactions[Custom Category],Dashboard!A354)&gt;0,SUMIFS(Transactions[Amount],Transactions[Custom Category],Dashboard!A354,Transactions[Month],Sel_Month),SUMIFS(Transactions[Amount],Transactions[Name],Dashboard!A354,Transactions[Month],Sel_Month)))</f>
        <v/>
      </c>
      <c r="E354" s="13" t="str">
        <f t="shared" si="5"/>
        <v/>
      </c>
    </row>
    <row r="355" spans="4:5" x14ac:dyDescent="0.25">
      <c r="D355" s="12" t="str" cm="1">
        <f t="array" ref="D355">_xlfn.IFS(A355="","",A355="Grand Total",SUM(D$4:D354),TRUE,IF(COUNTIF(Transactions[Custom Category],Dashboard!A355)&gt;0,SUMIFS(Transactions[Amount],Transactions[Custom Category],Dashboard!A355,Transactions[Month],Sel_Month),SUMIFS(Transactions[Amount],Transactions[Name],Dashboard!A355,Transactions[Month],Sel_Month)))</f>
        <v/>
      </c>
      <c r="E355" s="13" t="str">
        <f t="shared" si="5"/>
        <v/>
      </c>
    </row>
    <row r="356" spans="4:5" x14ac:dyDescent="0.25">
      <c r="D356" s="12" t="str" cm="1">
        <f t="array" ref="D356">_xlfn.IFS(A356="","",A356="Grand Total",SUM(D$4:D355),TRUE,IF(COUNTIF(Transactions[Custom Category],Dashboard!A356)&gt;0,SUMIFS(Transactions[Amount],Transactions[Custom Category],Dashboard!A356,Transactions[Month],Sel_Month),SUMIFS(Transactions[Amount],Transactions[Name],Dashboard!A356,Transactions[Month],Sel_Month)))</f>
        <v/>
      </c>
      <c r="E356" s="13" t="str">
        <f t="shared" si="5"/>
        <v/>
      </c>
    </row>
    <row r="357" spans="4:5" x14ac:dyDescent="0.25">
      <c r="D357" s="12" t="str" cm="1">
        <f t="array" ref="D357">_xlfn.IFS(A357="","",A357="Grand Total",SUM(D$4:D356),TRUE,IF(COUNTIF(Transactions[Custom Category],Dashboard!A357)&gt;0,SUMIFS(Transactions[Amount],Transactions[Custom Category],Dashboard!A357,Transactions[Month],Sel_Month),SUMIFS(Transactions[Amount],Transactions[Name],Dashboard!A357,Transactions[Month],Sel_Month)))</f>
        <v/>
      </c>
      <c r="E357" s="13" t="str">
        <f t="shared" si="5"/>
        <v/>
      </c>
    </row>
    <row r="358" spans="4:5" x14ac:dyDescent="0.25">
      <c r="D358" s="12" t="str" cm="1">
        <f t="array" ref="D358">_xlfn.IFS(A358="","",A358="Grand Total",SUM(D$4:D357),TRUE,IF(COUNTIF(Transactions[Custom Category],Dashboard!A358)&gt;0,SUMIFS(Transactions[Amount],Transactions[Custom Category],Dashboard!A358,Transactions[Month],Sel_Month),SUMIFS(Transactions[Amount],Transactions[Name],Dashboard!A358,Transactions[Month],Sel_Month)))</f>
        <v/>
      </c>
      <c r="E358" s="13" t="str">
        <f t="shared" si="5"/>
        <v/>
      </c>
    </row>
    <row r="359" spans="4:5" x14ac:dyDescent="0.25">
      <c r="D359" s="12" t="str" cm="1">
        <f t="array" ref="D359">_xlfn.IFS(A359="","",A359="Grand Total",SUM(D$4:D358),TRUE,IF(COUNTIF(Transactions[Custom Category],Dashboard!A359)&gt;0,SUMIFS(Transactions[Amount],Transactions[Custom Category],Dashboard!A359,Transactions[Month],Sel_Month),SUMIFS(Transactions[Amount],Transactions[Name],Dashboard!A359,Transactions[Month],Sel_Month)))</f>
        <v/>
      </c>
      <c r="E359" s="13" t="str">
        <f t="shared" si="5"/>
        <v/>
      </c>
    </row>
    <row r="360" spans="4:5" x14ac:dyDescent="0.25">
      <c r="D360" s="12" t="str" cm="1">
        <f t="array" ref="D360">_xlfn.IFS(A360="","",A360="Grand Total",SUM(D$4:D359),TRUE,IF(COUNTIF(Transactions[Custom Category],Dashboard!A360)&gt;0,SUMIFS(Transactions[Amount],Transactions[Custom Category],Dashboard!A360,Transactions[Month],Sel_Month),SUMIFS(Transactions[Amount],Transactions[Name],Dashboard!A360,Transactions[Month],Sel_Month)))</f>
        <v/>
      </c>
      <c r="E360" s="13" t="str">
        <f t="shared" si="5"/>
        <v/>
      </c>
    </row>
    <row r="361" spans="4:5" x14ac:dyDescent="0.25">
      <c r="D361" s="12" t="str" cm="1">
        <f t="array" ref="D361">_xlfn.IFS(A361="","",A361="Grand Total",SUM(D$4:D360),TRUE,IF(COUNTIF(Transactions[Custom Category],Dashboard!A361)&gt;0,SUMIFS(Transactions[Amount],Transactions[Custom Category],Dashboard!A361,Transactions[Month],Sel_Month),SUMIFS(Transactions[Amount],Transactions[Name],Dashboard!A361,Transactions[Month],Sel_Month)))</f>
        <v/>
      </c>
      <c r="E361" s="13" t="str">
        <f t="shared" si="5"/>
        <v/>
      </c>
    </row>
    <row r="362" spans="4:5" x14ac:dyDescent="0.25">
      <c r="D362" s="12" t="str" cm="1">
        <f t="array" ref="D362">_xlfn.IFS(A362="","",A362="Grand Total",SUM(D$4:D361),TRUE,IF(COUNTIF(Transactions[Custom Category],Dashboard!A362)&gt;0,SUMIFS(Transactions[Amount],Transactions[Custom Category],Dashboard!A362,Transactions[Month],Sel_Month),SUMIFS(Transactions[Amount],Transactions[Name],Dashboard!A362,Transactions[Month],Sel_Month)))</f>
        <v/>
      </c>
      <c r="E362" s="13" t="str">
        <f t="shared" si="5"/>
        <v/>
      </c>
    </row>
    <row r="363" spans="4:5" x14ac:dyDescent="0.25">
      <c r="D363" s="12" t="str" cm="1">
        <f t="array" ref="D363">_xlfn.IFS(A363="","",A363="Grand Total",SUM(D$4:D362),TRUE,IF(COUNTIF(Transactions[Custom Category],Dashboard!A363)&gt;0,SUMIFS(Transactions[Amount],Transactions[Custom Category],Dashboard!A363,Transactions[Month],Sel_Month),SUMIFS(Transactions[Amount],Transactions[Name],Dashboard!A363,Transactions[Month],Sel_Month)))</f>
        <v/>
      </c>
      <c r="E363" s="13" t="str">
        <f t="shared" si="5"/>
        <v/>
      </c>
    </row>
    <row r="364" spans="4:5" x14ac:dyDescent="0.25">
      <c r="D364" s="12" t="str" cm="1">
        <f t="array" ref="D364">_xlfn.IFS(A364="","",A364="Grand Total",SUM(D$4:D363),TRUE,IF(COUNTIF(Transactions[Custom Category],Dashboard!A364)&gt;0,SUMIFS(Transactions[Amount],Transactions[Custom Category],Dashboard!A364,Transactions[Month],Sel_Month),SUMIFS(Transactions[Amount],Transactions[Name],Dashboard!A364,Transactions[Month],Sel_Month)))</f>
        <v/>
      </c>
      <c r="E364" s="13" t="str">
        <f t="shared" si="5"/>
        <v/>
      </c>
    </row>
    <row r="365" spans="4:5" x14ac:dyDescent="0.25">
      <c r="D365" s="12" t="str" cm="1">
        <f t="array" ref="D365">_xlfn.IFS(A365="","",A365="Grand Total",SUM(D$4:D364),TRUE,IF(COUNTIF(Transactions[Custom Category],Dashboard!A365)&gt;0,SUMIFS(Transactions[Amount],Transactions[Custom Category],Dashboard!A365,Transactions[Month],Sel_Month),SUMIFS(Transactions[Amount],Transactions[Name],Dashboard!A365,Transactions[Month],Sel_Month)))</f>
        <v/>
      </c>
      <c r="E365" s="13" t="str">
        <f t="shared" si="5"/>
        <v/>
      </c>
    </row>
    <row r="366" spans="4:5" x14ac:dyDescent="0.25">
      <c r="D366" s="12" t="str" cm="1">
        <f t="array" ref="D366">_xlfn.IFS(A366="","",A366="Grand Total",SUM(D$4:D365),TRUE,IF(COUNTIF(Transactions[Custom Category],Dashboard!A366)&gt;0,SUMIFS(Transactions[Amount],Transactions[Custom Category],Dashboard!A366,Transactions[Month],Sel_Month),SUMIFS(Transactions[Amount],Transactions[Name],Dashboard!A366,Transactions[Month],Sel_Month)))</f>
        <v/>
      </c>
      <c r="E366" s="13" t="str">
        <f t="shared" si="5"/>
        <v/>
      </c>
    </row>
    <row r="367" spans="4:5" x14ac:dyDescent="0.25">
      <c r="D367" s="12" t="str" cm="1">
        <f t="array" ref="D367">_xlfn.IFS(A367="","",A367="Grand Total",SUM(D$4:D366),TRUE,IF(COUNTIF(Transactions[Custom Category],Dashboard!A367)&gt;0,SUMIFS(Transactions[Amount],Transactions[Custom Category],Dashboard!A367,Transactions[Month],Sel_Month),SUMIFS(Transactions[Amount],Transactions[Name],Dashboard!A367,Transactions[Month],Sel_Month)))</f>
        <v/>
      </c>
      <c r="E367" s="13" t="str">
        <f t="shared" si="5"/>
        <v/>
      </c>
    </row>
    <row r="368" spans="4:5" x14ac:dyDescent="0.25">
      <c r="D368" s="12" t="str" cm="1">
        <f t="array" ref="D368">_xlfn.IFS(A368="","",A368="Grand Total",SUM(D$4:D367),TRUE,IF(COUNTIF(Transactions[Custom Category],Dashboard!A368)&gt;0,SUMIFS(Transactions[Amount],Transactions[Custom Category],Dashboard!A368,Transactions[Month],Sel_Month),SUMIFS(Transactions[Amount],Transactions[Name],Dashboard!A368,Transactions[Month],Sel_Month)))</f>
        <v/>
      </c>
      <c r="E368" s="13" t="str">
        <f t="shared" si="5"/>
        <v/>
      </c>
    </row>
    <row r="369" spans="4:5" x14ac:dyDescent="0.25">
      <c r="D369" s="12" t="str" cm="1">
        <f t="array" ref="D369">_xlfn.IFS(A369="","",A369="Grand Total",SUM(D$4:D368),TRUE,IF(COUNTIF(Transactions[Custom Category],Dashboard!A369)&gt;0,SUMIFS(Transactions[Amount],Transactions[Custom Category],Dashboard!A369,Transactions[Month],Sel_Month),SUMIFS(Transactions[Amount],Transactions[Name],Dashboard!A369,Transactions[Month],Sel_Month)))</f>
        <v/>
      </c>
      <c r="E369" s="13" t="str">
        <f t="shared" si="5"/>
        <v/>
      </c>
    </row>
    <row r="370" spans="4:5" x14ac:dyDescent="0.25">
      <c r="D370" s="12" t="str" cm="1">
        <f t="array" ref="D370">_xlfn.IFS(A370="","",A370="Grand Total",SUM(D$4:D369),TRUE,IF(COUNTIF(Transactions[Custom Category],Dashboard!A370)&gt;0,SUMIFS(Transactions[Amount],Transactions[Custom Category],Dashboard!A370,Transactions[Month],Sel_Month),SUMIFS(Transactions[Amount],Transactions[Name],Dashboard!A370,Transactions[Month],Sel_Month)))</f>
        <v/>
      </c>
      <c r="E370" s="13" t="str">
        <f t="shared" si="5"/>
        <v/>
      </c>
    </row>
    <row r="371" spans="4:5" x14ac:dyDescent="0.25">
      <c r="D371" s="12" t="str" cm="1">
        <f t="array" ref="D371">_xlfn.IFS(A371="","",A371="Grand Total",SUM(D$4:D370),TRUE,IF(COUNTIF(Transactions[Custom Category],Dashboard!A371)&gt;0,SUMIFS(Transactions[Amount],Transactions[Custom Category],Dashboard!A371,Transactions[Month],Sel_Month),SUMIFS(Transactions[Amount],Transactions[Name],Dashboard!A371,Transactions[Month],Sel_Month)))</f>
        <v/>
      </c>
      <c r="E371" s="13" t="str">
        <f t="shared" si="5"/>
        <v/>
      </c>
    </row>
    <row r="372" spans="4:5" x14ac:dyDescent="0.25">
      <c r="D372" s="12" t="str" cm="1">
        <f t="array" ref="D372">_xlfn.IFS(A372="","",A372="Grand Total",SUM(D$4:D371),TRUE,IF(COUNTIF(Transactions[Custom Category],Dashboard!A372)&gt;0,SUMIFS(Transactions[Amount],Transactions[Custom Category],Dashboard!A372,Transactions[Month],Sel_Month),SUMIFS(Transactions[Amount],Transactions[Name],Dashboard!A372,Transactions[Month],Sel_Month)))</f>
        <v/>
      </c>
      <c r="E372" s="13" t="str">
        <f t="shared" si="5"/>
        <v/>
      </c>
    </row>
    <row r="373" spans="4:5" x14ac:dyDescent="0.25">
      <c r="D373" s="12" t="str" cm="1">
        <f t="array" ref="D373">_xlfn.IFS(A373="","",A373="Grand Total",SUM(D$4:D372),TRUE,IF(COUNTIF(Transactions[Custom Category],Dashboard!A373)&gt;0,SUMIFS(Transactions[Amount],Transactions[Custom Category],Dashboard!A373,Transactions[Month],Sel_Month),SUMIFS(Transactions[Amount],Transactions[Name],Dashboard!A373,Transactions[Month],Sel_Month)))</f>
        <v/>
      </c>
      <c r="E373" s="13" t="str">
        <f t="shared" si="5"/>
        <v/>
      </c>
    </row>
    <row r="374" spans="4:5" x14ac:dyDescent="0.25">
      <c r="D374" s="12" t="str" cm="1">
        <f t="array" ref="D374">_xlfn.IFS(A374="","",A374="Grand Total",SUM(D$4:D373),TRUE,IF(COUNTIF(Transactions[Custom Category],Dashboard!A374)&gt;0,SUMIFS(Transactions[Amount],Transactions[Custom Category],Dashboard!A374,Transactions[Month],Sel_Month),SUMIFS(Transactions[Amount],Transactions[Name],Dashboard!A374,Transactions[Month],Sel_Month)))</f>
        <v/>
      </c>
      <c r="E374" s="13" t="str">
        <f t="shared" si="5"/>
        <v/>
      </c>
    </row>
    <row r="375" spans="4:5" x14ac:dyDescent="0.25">
      <c r="D375" s="12" t="str" cm="1">
        <f t="array" ref="D375">_xlfn.IFS(A375="","",A375="Grand Total",SUM(D$4:D374),TRUE,IF(COUNTIF(Transactions[Custom Category],Dashboard!A375)&gt;0,SUMIFS(Transactions[Amount],Transactions[Custom Category],Dashboard!A375,Transactions[Month],Sel_Month),SUMIFS(Transactions[Amount],Transactions[Name],Dashboard!A375,Transactions[Month],Sel_Month)))</f>
        <v/>
      </c>
      <c r="E375" s="13" t="str">
        <f t="shared" si="5"/>
        <v/>
      </c>
    </row>
    <row r="376" spans="4:5" x14ac:dyDescent="0.25">
      <c r="D376" s="12" t="str" cm="1">
        <f t="array" ref="D376">_xlfn.IFS(A376="","",A376="Grand Total",SUM(D$4:D375),TRUE,IF(COUNTIF(Transactions[Custom Category],Dashboard!A376)&gt;0,SUMIFS(Transactions[Amount],Transactions[Custom Category],Dashboard!A376,Transactions[Month],Sel_Month),SUMIFS(Transactions[Amount],Transactions[Name],Dashboard!A376,Transactions[Month],Sel_Month)))</f>
        <v/>
      </c>
      <c r="E376" s="13" t="str">
        <f t="shared" si="5"/>
        <v/>
      </c>
    </row>
    <row r="377" spans="4:5" x14ac:dyDescent="0.25">
      <c r="D377" s="12" t="str" cm="1">
        <f t="array" ref="D377">_xlfn.IFS(A377="","",A377="Grand Total",SUM(D$4:D376),TRUE,IF(COUNTIF(Transactions[Custom Category],Dashboard!A377)&gt;0,SUMIFS(Transactions[Amount],Transactions[Custom Category],Dashboard!A377,Transactions[Month],Sel_Month),SUMIFS(Transactions[Amount],Transactions[Name],Dashboard!A377,Transactions[Month],Sel_Month)))</f>
        <v/>
      </c>
      <c r="E377" s="13" t="str">
        <f t="shared" si="5"/>
        <v/>
      </c>
    </row>
    <row r="378" spans="4:5" x14ac:dyDescent="0.25">
      <c r="D378" s="12" t="str" cm="1">
        <f t="array" ref="D378">_xlfn.IFS(A378="","",A378="Grand Total",SUM(D$4:D377),TRUE,IF(COUNTIF(Transactions[Custom Category],Dashboard!A378)&gt;0,SUMIFS(Transactions[Amount],Transactions[Custom Category],Dashboard!A378,Transactions[Month],Sel_Month),SUMIFS(Transactions[Amount],Transactions[Name],Dashboard!A378,Transactions[Month],Sel_Month)))</f>
        <v/>
      </c>
      <c r="E378" s="13" t="str">
        <f t="shared" si="5"/>
        <v/>
      </c>
    </row>
    <row r="379" spans="4:5" x14ac:dyDescent="0.25">
      <c r="D379" s="12" t="str" cm="1">
        <f t="array" ref="D379">_xlfn.IFS(A379="","",A379="Grand Total",SUM(D$4:D378),TRUE,IF(COUNTIF(Transactions[Custom Category],Dashboard!A379)&gt;0,SUMIFS(Transactions[Amount],Transactions[Custom Category],Dashboard!A379,Transactions[Month],Sel_Month),SUMIFS(Transactions[Amount],Transactions[Name],Dashboard!A379,Transactions[Month],Sel_Month)))</f>
        <v/>
      </c>
      <c r="E379" s="13" t="str">
        <f t="shared" si="5"/>
        <v/>
      </c>
    </row>
    <row r="380" spans="4:5" x14ac:dyDescent="0.25">
      <c r="D380" s="12" t="str" cm="1">
        <f t="array" ref="D380">_xlfn.IFS(A380="","",A380="Grand Total",SUM(D$4:D379),TRUE,IF(COUNTIF(Transactions[Custom Category],Dashboard!A380)&gt;0,SUMIFS(Transactions[Amount],Transactions[Custom Category],Dashboard!A380,Transactions[Month],Sel_Month),SUMIFS(Transactions[Amount],Transactions[Name],Dashboard!A380,Transactions[Month],Sel_Month)))</f>
        <v/>
      </c>
      <c r="E380" s="13" t="str">
        <f t="shared" si="5"/>
        <v/>
      </c>
    </row>
    <row r="381" spans="4:5" x14ac:dyDescent="0.25">
      <c r="D381" s="12" t="str" cm="1">
        <f t="array" ref="D381">_xlfn.IFS(A381="","",A381="Grand Total",SUM(D$4:D380),TRUE,IF(COUNTIF(Transactions[Custom Category],Dashboard!A381)&gt;0,SUMIFS(Transactions[Amount],Transactions[Custom Category],Dashboard!A381,Transactions[Month],Sel_Month),SUMIFS(Transactions[Amount],Transactions[Name],Dashboard!A381,Transactions[Month],Sel_Month)))</f>
        <v/>
      </c>
      <c r="E381" s="13" t="str">
        <f t="shared" si="5"/>
        <v/>
      </c>
    </row>
    <row r="382" spans="4:5" x14ac:dyDescent="0.25">
      <c r="D382" s="12" t="str" cm="1">
        <f t="array" ref="D382">_xlfn.IFS(A382="","",A382="Grand Total",SUM(D$4:D381),TRUE,IF(COUNTIF(Transactions[Custom Category],Dashboard!A382)&gt;0,SUMIFS(Transactions[Amount],Transactions[Custom Category],Dashboard!A382,Transactions[Month],Sel_Month),SUMIFS(Transactions[Amount],Transactions[Name],Dashboard!A382,Transactions[Month],Sel_Month)))</f>
        <v/>
      </c>
      <c r="E382" s="13" t="str">
        <f t="shared" si="5"/>
        <v/>
      </c>
    </row>
    <row r="383" spans="4:5" x14ac:dyDescent="0.25">
      <c r="D383" s="12" t="str" cm="1">
        <f t="array" ref="D383">_xlfn.IFS(A383="","",A383="Grand Total",SUM(D$4:D382),TRUE,IF(COUNTIF(Transactions[Custom Category],Dashboard!A383)&gt;0,SUMIFS(Transactions[Amount],Transactions[Custom Category],Dashboard!A383,Transactions[Month],Sel_Month),SUMIFS(Transactions[Amount],Transactions[Name],Dashboard!A383,Transactions[Month],Sel_Month)))</f>
        <v/>
      </c>
      <c r="E383" s="13" t="str">
        <f t="shared" si="5"/>
        <v/>
      </c>
    </row>
    <row r="384" spans="4:5" x14ac:dyDescent="0.25">
      <c r="D384" s="12" t="str" cm="1">
        <f t="array" ref="D384">_xlfn.IFS(A384="","",A384="Grand Total",SUM(D$4:D383),TRUE,IF(COUNTIF(Transactions[Custom Category],Dashboard!A384)&gt;0,SUMIFS(Transactions[Amount],Transactions[Custom Category],Dashboard!A384,Transactions[Month],Sel_Month),SUMIFS(Transactions[Amount],Transactions[Name],Dashboard!A384,Transactions[Month],Sel_Month)))</f>
        <v/>
      </c>
      <c r="E384" s="13" t="str">
        <f t="shared" si="5"/>
        <v/>
      </c>
    </row>
    <row r="385" spans="4:5" x14ac:dyDescent="0.25">
      <c r="D385" s="12" t="str" cm="1">
        <f t="array" ref="D385">_xlfn.IFS(A385="","",A385="Grand Total",SUM(D$4:D384),TRUE,IF(COUNTIF(Transactions[Custom Category],Dashboard!A385)&gt;0,SUMIFS(Transactions[Amount],Transactions[Custom Category],Dashboard!A385,Transactions[Month],Sel_Month),SUMIFS(Transactions[Amount],Transactions[Name],Dashboard!A385,Transactions[Month],Sel_Month)))</f>
        <v/>
      </c>
      <c r="E385" s="13" t="str">
        <f t="shared" si="5"/>
        <v/>
      </c>
    </row>
    <row r="386" spans="4:5" x14ac:dyDescent="0.25">
      <c r="D386" s="12" t="str" cm="1">
        <f t="array" ref="D386">_xlfn.IFS(A386="","",A386="Grand Total",SUM(D$4:D385),TRUE,IF(COUNTIF(Transactions[Custom Category],Dashboard!A386)&gt;0,SUMIFS(Transactions[Amount],Transactions[Custom Category],Dashboard!A386,Transactions[Month],Sel_Month),SUMIFS(Transactions[Amount],Transactions[Name],Dashboard!A386,Transactions[Month],Sel_Month)))</f>
        <v/>
      </c>
      <c r="E386" s="13" t="str">
        <f t="shared" si="5"/>
        <v/>
      </c>
    </row>
    <row r="387" spans="4:5" x14ac:dyDescent="0.25">
      <c r="D387" s="12" t="str" cm="1">
        <f t="array" ref="D387">_xlfn.IFS(A387="","",A387="Grand Total",SUM(D$4:D386),TRUE,IF(COUNTIF(Transactions[Custom Category],Dashboard!A387)&gt;0,SUMIFS(Transactions[Amount],Transactions[Custom Category],Dashboard!A387,Transactions[Month],Sel_Month),SUMIFS(Transactions[Amount],Transactions[Name],Dashboard!A387,Transactions[Month],Sel_Month)))</f>
        <v/>
      </c>
      <c r="E387" s="13" t="str">
        <f t="shared" si="5"/>
        <v/>
      </c>
    </row>
    <row r="388" spans="4:5" x14ac:dyDescent="0.25">
      <c r="D388" s="12" t="str" cm="1">
        <f t="array" ref="D388">_xlfn.IFS(A388="","",A388="Grand Total",SUM(D$4:D387),TRUE,IF(COUNTIF(Transactions[Custom Category],Dashboard!A388)&gt;0,SUMIFS(Transactions[Amount],Transactions[Custom Category],Dashboard!A388,Transactions[Month],Sel_Month),SUMIFS(Transactions[Amount],Transactions[Name],Dashboard!A388,Transactions[Month],Sel_Month)))</f>
        <v/>
      </c>
      <c r="E388" s="13" t="str">
        <f t="shared" si="5"/>
        <v/>
      </c>
    </row>
    <row r="389" spans="4:5" x14ac:dyDescent="0.25">
      <c r="D389" s="12" t="str" cm="1">
        <f t="array" ref="D389">_xlfn.IFS(A389="","",A389="Grand Total",SUM(D$4:D388),TRUE,IF(COUNTIF(Transactions[Custom Category],Dashboard!A389)&gt;0,SUMIFS(Transactions[Amount],Transactions[Custom Category],Dashboard!A389,Transactions[Month],Sel_Month),SUMIFS(Transactions[Amount],Transactions[Name],Dashboard!A389,Transactions[Month],Sel_Month)))</f>
        <v/>
      </c>
      <c r="E389" s="13" t="str">
        <f t="shared" si="5"/>
        <v/>
      </c>
    </row>
    <row r="390" spans="4:5" x14ac:dyDescent="0.25">
      <c r="D390" s="12" t="str" cm="1">
        <f t="array" ref="D390">_xlfn.IFS(A390="","",A390="Grand Total",SUM(D$4:D389),TRUE,IF(COUNTIF(Transactions[Custom Category],Dashboard!A390)&gt;0,SUMIFS(Transactions[Amount],Transactions[Custom Category],Dashboard!A390,Transactions[Month],Sel_Month),SUMIFS(Transactions[Amount],Transactions[Name],Dashboard!A390,Transactions[Month],Sel_Month)))</f>
        <v/>
      </c>
      <c r="E390" s="13" t="str">
        <f t="shared" ref="E390:E434" si="6">IF(C390="","",IF(C390=0,0,1-((C390-D390)/C390)))</f>
        <v/>
      </c>
    </row>
    <row r="391" spans="4:5" x14ac:dyDescent="0.25">
      <c r="D391" s="12" t="str" cm="1">
        <f t="array" ref="D391">_xlfn.IFS(A391="","",A391="Grand Total",SUM(D$4:D390),TRUE,IF(COUNTIF(Transactions[Custom Category],Dashboard!A391)&gt;0,SUMIFS(Transactions[Amount],Transactions[Custom Category],Dashboard!A391,Transactions[Month],Sel_Month),SUMIFS(Transactions[Amount],Transactions[Name],Dashboard!A391,Transactions[Month],Sel_Month)))</f>
        <v/>
      </c>
      <c r="E391" s="13" t="str">
        <f t="shared" si="6"/>
        <v/>
      </c>
    </row>
    <row r="392" spans="4:5" x14ac:dyDescent="0.25">
      <c r="D392" s="12" t="str" cm="1">
        <f t="array" ref="D392">_xlfn.IFS(A392="","",A392="Grand Total",SUM(D$4:D391),TRUE,IF(COUNTIF(Transactions[Custom Category],Dashboard!A392)&gt;0,SUMIFS(Transactions[Amount],Transactions[Custom Category],Dashboard!A392,Transactions[Month],Sel_Month),SUMIFS(Transactions[Amount],Transactions[Name],Dashboard!A392,Transactions[Month],Sel_Month)))</f>
        <v/>
      </c>
      <c r="E392" s="13" t="str">
        <f t="shared" si="6"/>
        <v/>
      </c>
    </row>
    <row r="393" spans="4:5" x14ac:dyDescent="0.25">
      <c r="D393" s="12" t="str" cm="1">
        <f t="array" ref="D393">_xlfn.IFS(A393="","",A393="Grand Total",SUM(D$4:D392),TRUE,IF(COUNTIF(Transactions[Custom Category],Dashboard!A393)&gt;0,SUMIFS(Transactions[Amount],Transactions[Custom Category],Dashboard!A393,Transactions[Month],Sel_Month),SUMIFS(Transactions[Amount],Transactions[Name],Dashboard!A393,Transactions[Month],Sel_Month)))</f>
        <v/>
      </c>
      <c r="E393" s="13" t="str">
        <f t="shared" si="6"/>
        <v/>
      </c>
    </row>
    <row r="394" spans="4:5" x14ac:dyDescent="0.25">
      <c r="D394" s="12" t="str" cm="1">
        <f t="array" ref="D394">_xlfn.IFS(A394="","",A394="Grand Total",SUM(D$4:D393),TRUE,IF(COUNTIF(Transactions[Custom Category],Dashboard!A394)&gt;0,SUMIFS(Transactions[Amount],Transactions[Custom Category],Dashboard!A394,Transactions[Month],Sel_Month),SUMIFS(Transactions[Amount],Transactions[Name],Dashboard!A394,Transactions[Month],Sel_Month)))</f>
        <v/>
      </c>
      <c r="E394" s="13" t="str">
        <f t="shared" si="6"/>
        <v/>
      </c>
    </row>
    <row r="395" spans="4:5" x14ac:dyDescent="0.25">
      <c r="D395" s="12" t="str" cm="1">
        <f t="array" ref="D395">_xlfn.IFS(A395="","",A395="Grand Total",SUM(D$4:D394),TRUE,IF(COUNTIF(Transactions[Custom Category],Dashboard!A395)&gt;0,SUMIFS(Transactions[Amount],Transactions[Custom Category],Dashboard!A395,Transactions[Month],Sel_Month),SUMIFS(Transactions[Amount],Transactions[Name],Dashboard!A395,Transactions[Month],Sel_Month)))</f>
        <v/>
      </c>
      <c r="E395" s="13" t="str">
        <f t="shared" si="6"/>
        <v/>
      </c>
    </row>
    <row r="396" spans="4:5" x14ac:dyDescent="0.25">
      <c r="D396" s="12" t="str" cm="1">
        <f t="array" ref="D396">_xlfn.IFS(A396="","",A396="Grand Total",SUM(D$4:D395),TRUE,IF(COUNTIF(Transactions[Custom Category],Dashboard!A396)&gt;0,SUMIFS(Transactions[Amount],Transactions[Custom Category],Dashboard!A396,Transactions[Month],Sel_Month),SUMIFS(Transactions[Amount],Transactions[Name],Dashboard!A396,Transactions[Month],Sel_Month)))</f>
        <v/>
      </c>
      <c r="E396" s="13" t="str">
        <f t="shared" si="6"/>
        <v/>
      </c>
    </row>
    <row r="397" spans="4:5" x14ac:dyDescent="0.25">
      <c r="D397" s="12" t="str" cm="1">
        <f t="array" ref="D397">_xlfn.IFS(A397="","",A397="Grand Total",SUM(D$4:D396),TRUE,IF(COUNTIF(Transactions[Custom Category],Dashboard!A397)&gt;0,SUMIFS(Transactions[Amount],Transactions[Custom Category],Dashboard!A397,Transactions[Month],Sel_Month),SUMIFS(Transactions[Amount],Transactions[Name],Dashboard!A397,Transactions[Month],Sel_Month)))</f>
        <v/>
      </c>
      <c r="E397" s="13" t="str">
        <f t="shared" si="6"/>
        <v/>
      </c>
    </row>
    <row r="398" spans="4:5" x14ac:dyDescent="0.25">
      <c r="D398" s="12" t="str" cm="1">
        <f t="array" ref="D398">_xlfn.IFS(A398="","",A398="Grand Total",SUM(D$4:D397),TRUE,IF(COUNTIF(Transactions[Custom Category],Dashboard!A398)&gt;0,SUMIFS(Transactions[Amount],Transactions[Custom Category],Dashboard!A398,Transactions[Month],Sel_Month),SUMIFS(Transactions[Amount],Transactions[Name],Dashboard!A398,Transactions[Month],Sel_Month)))</f>
        <v/>
      </c>
      <c r="E398" s="13" t="str">
        <f t="shared" si="6"/>
        <v/>
      </c>
    </row>
    <row r="399" spans="4:5" x14ac:dyDescent="0.25">
      <c r="D399" s="12" t="str" cm="1">
        <f t="array" ref="D399">_xlfn.IFS(A399="","",A399="Grand Total",SUM(D$4:D398),TRUE,IF(COUNTIF(Transactions[Custom Category],Dashboard!A399)&gt;0,SUMIFS(Transactions[Amount],Transactions[Custom Category],Dashboard!A399,Transactions[Month],Sel_Month),SUMIFS(Transactions[Amount],Transactions[Name],Dashboard!A399,Transactions[Month],Sel_Month)))</f>
        <v/>
      </c>
      <c r="E399" s="13" t="str">
        <f t="shared" si="6"/>
        <v/>
      </c>
    </row>
    <row r="400" spans="4:5" x14ac:dyDescent="0.25">
      <c r="D400" s="12" t="str" cm="1">
        <f t="array" ref="D400">_xlfn.IFS(A400="","",A400="Grand Total",SUM(D$4:D399),TRUE,IF(COUNTIF(Transactions[Custom Category],Dashboard!A400)&gt;0,SUMIFS(Transactions[Amount],Transactions[Custom Category],Dashboard!A400,Transactions[Month],Sel_Month),SUMIFS(Transactions[Amount],Transactions[Name],Dashboard!A400,Transactions[Month],Sel_Month)))</f>
        <v/>
      </c>
      <c r="E400" s="13" t="str">
        <f t="shared" si="6"/>
        <v/>
      </c>
    </row>
    <row r="401" spans="4:5" x14ac:dyDescent="0.25">
      <c r="D401" s="12" t="str" cm="1">
        <f t="array" ref="D401">_xlfn.IFS(A401="","",A401="Grand Total",SUM(D$4:D400),TRUE,IF(COUNTIF(Transactions[Custom Category],Dashboard!A401)&gt;0,SUMIFS(Transactions[Amount],Transactions[Custom Category],Dashboard!A401,Transactions[Month],Sel_Month),SUMIFS(Transactions[Amount],Transactions[Name],Dashboard!A401,Transactions[Month],Sel_Month)))</f>
        <v/>
      </c>
      <c r="E401" s="13" t="str">
        <f t="shared" si="6"/>
        <v/>
      </c>
    </row>
    <row r="402" spans="4:5" x14ac:dyDescent="0.25">
      <c r="D402" s="12" t="str" cm="1">
        <f t="array" ref="D402">_xlfn.IFS(A402="","",A402="Grand Total",SUM(D$4:D401),TRUE,IF(COUNTIF(Transactions[Custom Category],Dashboard!A402)&gt;0,SUMIFS(Transactions[Amount],Transactions[Custom Category],Dashboard!A402,Transactions[Month],Sel_Month),SUMIFS(Transactions[Amount],Transactions[Name],Dashboard!A402,Transactions[Month],Sel_Month)))</f>
        <v/>
      </c>
      <c r="E402" s="13" t="str">
        <f t="shared" si="6"/>
        <v/>
      </c>
    </row>
    <row r="403" spans="4:5" x14ac:dyDescent="0.25">
      <c r="D403" s="12" t="str" cm="1">
        <f t="array" ref="D403">_xlfn.IFS(A403="","",A403="Grand Total",SUM(D$4:D402),TRUE,IF(COUNTIF(Transactions[Custom Category],Dashboard!A403)&gt;0,SUMIFS(Transactions[Amount],Transactions[Custom Category],Dashboard!A403,Transactions[Month],Sel_Month),SUMIFS(Transactions[Amount],Transactions[Name],Dashboard!A403,Transactions[Month],Sel_Month)))</f>
        <v/>
      </c>
      <c r="E403" s="13" t="str">
        <f t="shared" si="6"/>
        <v/>
      </c>
    </row>
    <row r="404" spans="4:5" x14ac:dyDescent="0.25">
      <c r="D404" s="12" t="str" cm="1">
        <f t="array" ref="D404">_xlfn.IFS(A404="","",A404="Grand Total",SUM(D$4:D403),TRUE,IF(COUNTIF(Transactions[Custom Category],Dashboard!A404)&gt;0,SUMIFS(Transactions[Amount],Transactions[Custom Category],Dashboard!A404,Transactions[Month],Sel_Month),SUMIFS(Transactions[Amount],Transactions[Name],Dashboard!A404,Transactions[Month],Sel_Month)))</f>
        <v/>
      </c>
      <c r="E404" s="13" t="str">
        <f t="shared" si="6"/>
        <v/>
      </c>
    </row>
    <row r="405" spans="4:5" x14ac:dyDescent="0.25">
      <c r="D405" s="12" t="str" cm="1">
        <f t="array" ref="D405">_xlfn.IFS(A405="","",A405="Grand Total",SUM(D$4:D404),TRUE,IF(COUNTIF(Transactions[Custom Category],Dashboard!A405)&gt;0,SUMIFS(Transactions[Amount],Transactions[Custom Category],Dashboard!A405,Transactions[Month],Sel_Month),SUMIFS(Transactions[Amount],Transactions[Name],Dashboard!A405,Transactions[Month],Sel_Month)))</f>
        <v/>
      </c>
      <c r="E405" s="13" t="str">
        <f t="shared" si="6"/>
        <v/>
      </c>
    </row>
    <row r="406" spans="4:5" x14ac:dyDescent="0.25">
      <c r="D406" s="12" t="str" cm="1">
        <f t="array" ref="D406">_xlfn.IFS(A406="","",A406="Grand Total",SUM(D$4:D405),TRUE,IF(COUNTIF(Transactions[Custom Category],Dashboard!A406)&gt;0,SUMIFS(Transactions[Amount],Transactions[Custom Category],Dashboard!A406,Transactions[Month],Sel_Month),SUMIFS(Transactions[Amount],Transactions[Name],Dashboard!A406,Transactions[Month],Sel_Month)))</f>
        <v/>
      </c>
      <c r="E406" s="13" t="str">
        <f t="shared" si="6"/>
        <v/>
      </c>
    </row>
    <row r="407" spans="4:5" x14ac:dyDescent="0.25">
      <c r="D407" s="12" t="str" cm="1">
        <f t="array" ref="D407">_xlfn.IFS(A407="","",A407="Grand Total",SUM(D$4:D406),TRUE,IF(COUNTIF(Transactions[Custom Category],Dashboard!A407)&gt;0,SUMIFS(Transactions[Amount],Transactions[Custom Category],Dashboard!A407,Transactions[Month],Sel_Month),SUMIFS(Transactions[Amount],Transactions[Name],Dashboard!A407,Transactions[Month],Sel_Month)))</f>
        <v/>
      </c>
      <c r="E407" s="13" t="str">
        <f t="shared" si="6"/>
        <v/>
      </c>
    </row>
    <row r="408" spans="4:5" x14ac:dyDescent="0.25">
      <c r="D408" s="12" t="str" cm="1">
        <f t="array" ref="D408">_xlfn.IFS(A408="","",A408="Grand Total",SUM(D$4:D407),TRUE,IF(COUNTIF(Transactions[Custom Category],Dashboard!A408)&gt;0,SUMIFS(Transactions[Amount],Transactions[Custom Category],Dashboard!A408,Transactions[Month],Sel_Month),SUMIFS(Transactions[Amount],Transactions[Name],Dashboard!A408,Transactions[Month],Sel_Month)))</f>
        <v/>
      </c>
      <c r="E408" s="13" t="str">
        <f t="shared" si="6"/>
        <v/>
      </c>
    </row>
    <row r="409" spans="4:5" x14ac:dyDescent="0.25">
      <c r="D409" s="12" t="str" cm="1">
        <f t="array" ref="D409">_xlfn.IFS(A409="","",A409="Grand Total",SUM(D$4:D408),TRUE,IF(COUNTIF(Transactions[Custom Category],Dashboard!A409)&gt;0,SUMIFS(Transactions[Amount],Transactions[Custom Category],Dashboard!A409,Transactions[Month],Sel_Month),SUMIFS(Transactions[Amount],Transactions[Name],Dashboard!A409,Transactions[Month],Sel_Month)))</f>
        <v/>
      </c>
      <c r="E409" s="13" t="str">
        <f t="shared" si="6"/>
        <v/>
      </c>
    </row>
    <row r="410" spans="4:5" x14ac:dyDescent="0.25">
      <c r="D410" s="12" t="str" cm="1">
        <f t="array" ref="D410">_xlfn.IFS(A410="","",A410="Grand Total",SUM(D$4:D409),TRUE,IF(COUNTIF(Transactions[Custom Category],Dashboard!A410)&gt;0,SUMIFS(Transactions[Amount],Transactions[Custom Category],Dashboard!A410,Transactions[Month],Sel_Month),SUMIFS(Transactions[Amount],Transactions[Name],Dashboard!A410,Transactions[Month],Sel_Month)))</f>
        <v/>
      </c>
      <c r="E410" s="13" t="str">
        <f t="shared" si="6"/>
        <v/>
      </c>
    </row>
    <row r="411" spans="4:5" x14ac:dyDescent="0.25">
      <c r="D411" s="12" t="str" cm="1">
        <f t="array" ref="D411">_xlfn.IFS(A411="","",A411="Grand Total",SUM(D$4:D410),TRUE,IF(COUNTIF(Transactions[Custom Category],Dashboard!A411)&gt;0,SUMIFS(Transactions[Amount],Transactions[Custom Category],Dashboard!A411,Transactions[Month],Sel_Month),SUMIFS(Transactions[Amount],Transactions[Name],Dashboard!A411,Transactions[Month],Sel_Month)))</f>
        <v/>
      </c>
      <c r="E411" s="13" t="str">
        <f t="shared" si="6"/>
        <v/>
      </c>
    </row>
    <row r="412" spans="4:5" x14ac:dyDescent="0.25">
      <c r="D412" s="12" t="str" cm="1">
        <f t="array" ref="D412">_xlfn.IFS(A412="","",A412="Grand Total",SUM(D$4:D411),TRUE,IF(COUNTIF(Transactions[Custom Category],Dashboard!A412)&gt;0,SUMIFS(Transactions[Amount],Transactions[Custom Category],Dashboard!A412,Transactions[Month],Sel_Month),SUMIFS(Transactions[Amount],Transactions[Name],Dashboard!A412,Transactions[Month],Sel_Month)))</f>
        <v/>
      </c>
      <c r="E412" s="13" t="str">
        <f t="shared" si="6"/>
        <v/>
      </c>
    </row>
    <row r="413" spans="4:5" x14ac:dyDescent="0.25">
      <c r="D413" s="12" t="str" cm="1">
        <f t="array" ref="D413">_xlfn.IFS(A413="","",A413="Grand Total",SUM(D$4:D412),TRUE,IF(COUNTIF(Transactions[Custom Category],Dashboard!A413)&gt;0,SUMIFS(Transactions[Amount],Transactions[Custom Category],Dashboard!A413,Transactions[Month],Sel_Month),SUMIFS(Transactions[Amount],Transactions[Name],Dashboard!A413,Transactions[Month],Sel_Month)))</f>
        <v/>
      </c>
      <c r="E413" s="13" t="str">
        <f t="shared" si="6"/>
        <v/>
      </c>
    </row>
    <row r="414" spans="4:5" x14ac:dyDescent="0.25">
      <c r="D414" s="12" t="str" cm="1">
        <f t="array" ref="D414">_xlfn.IFS(A414="","",A414="Grand Total",SUM(D$4:D413),TRUE,IF(COUNTIF(Transactions[Custom Category],Dashboard!A414)&gt;0,SUMIFS(Transactions[Amount],Transactions[Custom Category],Dashboard!A414,Transactions[Month],Sel_Month),SUMIFS(Transactions[Amount],Transactions[Name],Dashboard!A414,Transactions[Month],Sel_Month)))</f>
        <v/>
      </c>
      <c r="E414" s="13" t="str">
        <f t="shared" si="6"/>
        <v/>
      </c>
    </row>
    <row r="415" spans="4:5" x14ac:dyDescent="0.25">
      <c r="D415" s="12" t="str" cm="1">
        <f t="array" ref="D415">_xlfn.IFS(A415="","",A415="Grand Total",SUM(D$4:D414),TRUE,IF(COUNTIF(Transactions[Custom Category],Dashboard!A415)&gt;0,SUMIFS(Transactions[Amount],Transactions[Custom Category],Dashboard!A415,Transactions[Month],Sel_Month),SUMIFS(Transactions[Amount],Transactions[Name],Dashboard!A415,Transactions[Month],Sel_Month)))</f>
        <v/>
      </c>
      <c r="E415" s="13" t="str">
        <f t="shared" si="6"/>
        <v/>
      </c>
    </row>
    <row r="416" spans="4:5" x14ac:dyDescent="0.25">
      <c r="D416" s="12" t="str" cm="1">
        <f t="array" ref="D416">_xlfn.IFS(A416="","",A416="Grand Total",SUM(D$4:D415),TRUE,IF(COUNTIF(Transactions[Custom Category],Dashboard!A416)&gt;0,SUMIFS(Transactions[Amount],Transactions[Custom Category],Dashboard!A416,Transactions[Month],Sel_Month),SUMIFS(Transactions[Amount],Transactions[Name],Dashboard!A416,Transactions[Month],Sel_Month)))</f>
        <v/>
      </c>
      <c r="E416" s="13" t="str">
        <f t="shared" si="6"/>
        <v/>
      </c>
    </row>
    <row r="417" spans="4:5" x14ac:dyDescent="0.25">
      <c r="D417" s="12" t="str" cm="1">
        <f t="array" ref="D417">_xlfn.IFS(A417="","",A417="Grand Total",SUM(D$4:D416),TRUE,IF(COUNTIF(Transactions[Custom Category],Dashboard!A417)&gt;0,SUMIFS(Transactions[Amount],Transactions[Custom Category],Dashboard!A417,Transactions[Month],Sel_Month),SUMIFS(Transactions[Amount],Transactions[Name],Dashboard!A417,Transactions[Month],Sel_Month)))</f>
        <v/>
      </c>
      <c r="E417" s="13" t="str">
        <f t="shared" si="6"/>
        <v/>
      </c>
    </row>
    <row r="418" spans="4:5" x14ac:dyDescent="0.25">
      <c r="D418" s="12" t="str" cm="1">
        <f t="array" ref="D418">_xlfn.IFS(A418="","",A418="Grand Total",SUM(D$4:D417),TRUE,IF(COUNTIF(Transactions[Custom Category],Dashboard!A418)&gt;0,SUMIFS(Transactions[Amount],Transactions[Custom Category],Dashboard!A418,Transactions[Month],Sel_Month),SUMIFS(Transactions[Amount],Transactions[Name],Dashboard!A418,Transactions[Month],Sel_Month)))</f>
        <v/>
      </c>
      <c r="E418" s="13" t="str">
        <f t="shared" si="6"/>
        <v/>
      </c>
    </row>
    <row r="419" spans="4:5" x14ac:dyDescent="0.25">
      <c r="D419" s="12" t="str" cm="1">
        <f t="array" ref="D419">_xlfn.IFS(A419="","",A419="Grand Total",SUM(D$4:D418),TRUE,IF(COUNTIF(Transactions[Custom Category],Dashboard!A419)&gt;0,SUMIFS(Transactions[Amount],Transactions[Custom Category],Dashboard!A419,Transactions[Month],Sel_Month),SUMIFS(Transactions[Amount],Transactions[Name],Dashboard!A419,Transactions[Month],Sel_Month)))</f>
        <v/>
      </c>
      <c r="E419" s="13" t="str">
        <f t="shared" si="6"/>
        <v/>
      </c>
    </row>
    <row r="420" spans="4:5" x14ac:dyDescent="0.25">
      <c r="D420" s="12" t="str" cm="1">
        <f t="array" ref="D420">_xlfn.IFS(A420="","",A420="Grand Total",SUM(D$4:D419),TRUE,IF(COUNTIF(Transactions[Custom Category],Dashboard!A420)&gt;0,SUMIFS(Transactions[Amount],Transactions[Custom Category],Dashboard!A420,Transactions[Month],Sel_Month),SUMIFS(Transactions[Amount],Transactions[Name],Dashboard!A420,Transactions[Month],Sel_Month)))</f>
        <v/>
      </c>
      <c r="E420" s="13" t="str">
        <f t="shared" si="6"/>
        <v/>
      </c>
    </row>
    <row r="421" spans="4:5" x14ac:dyDescent="0.25">
      <c r="D421" s="12" t="str" cm="1">
        <f t="array" ref="D421">_xlfn.IFS(A421="","",A421="Grand Total",SUM(D$4:D420),TRUE,IF(COUNTIF(Transactions[Custom Category],Dashboard!A421)&gt;0,SUMIFS(Transactions[Amount],Transactions[Custom Category],Dashboard!A421,Transactions[Month],Sel_Month),SUMIFS(Transactions[Amount],Transactions[Name],Dashboard!A421,Transactions[Month],Sel_Month)))</f>
        <v/>
      </c>
      <c r="E421" s="13" t="str">
        <f t="shared" si="6"/>
        <v/>
      </c>
    </row>
    <row r="422" spans="4:5" x14ac:dyDescent="0.25">
      <c r="D422" s="12" t="str" cm="1">
        <f t="array" ref="D422">_xlfn.IFS(A422="","",A422="Grand Total",SUM(D$4:D421),TRUE,IF(COUNTIF(Transactions[Custom Category],Dashboard!A422)&gt;0,SUMIFS(Transactions[Amount],Transactions[Custom Category],Dashboard!A422,Transactions[Month],Sel_Month),SUMIFS(Transactions[Amount],Transactions[Name],Dashboard!A422,Transactions[Month],Sel_Month)))</f>
        <v/>
      </c>
      <c r="E422" s="13" t="str">
        <f t="shared" si="6"/>
        <v/>
      </c>
    </row>
    <row r="423" spans="4:5" x14ac:dyDescent="0.25">
      <c r="D423" s="12" t="str" cm="1">
        <f t="array" ref="D423">_xlfn.IFS(A423="","",A423="Grand Total",SUM(D$4:D422),TRUE,IF(COUNTIF(Transactions[Custom Category],Dashboard!A423)&gt;0,SUMIFS(Transactions[Amount],Transactions[Custom Category],Dashboard!A423,Transactions[Month],Sel_Month),SUMIFS(Transactions[Amount],Transactions[Name],Dashboard!A423,Transactions[Month],Sel_Month)))</f>
        <v/>
      </c>
      <c r="E423" s="13" t="str">
        <f t="shared" si="6"/>
        <v/>
      </c>
    </row>
    <row r="424" spans="4:5" x14ac:dyDescent="0.25">
      <c r="D424" s="12" t="str" cm="1">
        <f t="array" ref="D424">_xlfn.IFS(A424="","",A424="Grand Total",SUM(D$4:D423),TRUE,IF(COUNTIF(Transactions[Custom Category],Dashboard!A424)&gt;0,SUMIFS(Transactions[Amount],Transactions[Custom Category],Dashboard!A424,Transactions[Month],Sel_Month),SUMIFS(Transactions[Amount],Transactions[Name],Dashboard!A424,Transactions[Month],Sel_Month)))</f>
        <v/>
      </c>
      <c r="E424" s="13" t="str">
        <f t="shared" si="6"/>
        <v/>
      </c>
    </row>
    <row r="425" spans="4:5" x14ac:dyDescent="0.25">
      <c r="D425" s="12" t="str" cm="1">
        <f t="array" ref="D425">_xlfn.IFS(A425="","",A425="Grand Total",SUM(D$4:D424),TRUE,IF(COUNTIF(Transactions[Custom Category],Dashboard!A425)&gt;0,SUMIFS(Transactions[Amount],Transactions[Custom Category],Dashboard!A425,Transactions[Month],Sel_Month),SUMIFS(Transactions[Amount],Transactions[Name],Dashboard!A425,Transactions[Month],Sel_Month)))</f>
        <v/>
      </c>
      <c r="E425" s="13" t="str">
        <f t="shared" si="6"/>
        <v/>
      </c>
    </row>
    <row r="426" spans="4:5" x14ac:dyDescent="0.25">
      <c r="D426" s="12" t="str" cm="1">
        <f t="array" ref="D426">_xlfn.IFS(A426="","",A426="Grand Total",SUM(D$4:D425),TRUE,IF(COUNTIF(Transactions[Custom Category],Dashboard!A426)&gt;0,SUMIFS(Transactions[Amount],Transactions[Custom Category],Dashboard!A426,Transactions[Month],Sel_Month),SUMIFS(Transactions[Amount],Transactions[Name],Dashboard!A426,Transactions[Month],Sel_Month)))</f>
        <v/>
      </c>
      <c r="E426" s="13" t="str">
        <f t="shared" si="6"/>
        <v/>
      </c>
    </row>
    <row r="427" spans="4:5" x14ac:dyDescent="0.25">
      <c r="D427" s="12" t="str" cm="1">
        <f t="array" ref="D427">_xlfn.IFS(A427="","",A427="Grand Total",SUM(D$4:D426),TRUE,IF(COUNTIF(Transactions[Custom Category],Dashboard!A427)&gt;0,SUMIFS(Transactions[Amount],Transactions[Custom Category],Dashboard!A427,Transactions[Month],Sel_Month),SUMIFS(Transactions[Amount],Transactions[Name],Dashboard!A427,Transactions[Month],Sel_Month)))</f>
        <v/>
      </c>
      <c r="E427" s="13" t="str">
        <f t="shared" si="6"/>
        <v/>
      </c>
    </row>
    <row r="428" spans="4:5" x14ac:dyDescent="0.25">
      <c r="D428" s="12" t="str" cm="1">
        <f t="array" ref="D428">_xlfn.IFS(A428="","",A428="Grand Total",SUM(D$4:D427),TRUE,IF(COUNTIF(Transactions[Custom Category],Dashboard!A428)&gt;0,SUMIFS(Transactions[Amount],Transactions[Custom Category],Dashboard!A428,Transactions[Month],Sel_Month),SUMIFS(Transactions[Amount],Transactions[Name],Dashboard!A428,Transactions[Month],Sel_Month)))</f>
        <v/>
      </c>
      <c r="E428" s="13" t="str">
        <f t="shared" si="6"/>
        <v/>
      </c>
    </row>
    <row r="429" spans="4:5" x14ac:dyDescent="0.25">
      <c r="D429" s="12" t="str" cm="1">
        <f t="array" ref="D429">_xlfn.IFS(A429="","",A429="Grand Total",SUM(D$4:D428),TRUE,IF(COUNTIF(Transactions[Custom Category],Dashboard!A429)&gt;0,SUMIFS(Transactions[Amount],Transactions[Custom Category],Dashboard!A429,Transactions[Month],Sel_Month),SUMIFS(Transactions[Amount],Transactions[Name],Dashboard!A429,Transactions[Month],Sel_Month)))</f>
        <v/>
      </c>
      <c r="E429" s="13" t="str">
        <f t="shared" si="6"/>
        <v/>
      </c>
    </row>
    <row r="430" spans="4:5" x14ac:dyDescent="0.25">
      <c r="D430" s="12" t="str" cm="1">
        <f t="array" ref="D430">_xlfn.IFS(A430="","",A430="Grand Total",SUM(D$4:D429),TRUE,IF(COUNTIF(Transactions[Custom Category],Dashboard!A430)&gt;0,SUMIFS(Transactions[Amount],Transactions[Custom Category],Dashboard!A430,Transactions[Month],Sel_Month),SUMIFS(Transactions[Amount],Transactions[Name],Dashboard!A430,Transactions[Month],Sel_Month)))</f>
        <v/>
      </c>
      <c r="E430" s="13" t="str">
        <f t="shared" si="6"/>
        <v/>
      </c>
    </row>
    <row r="431" spans="4:5" x14ac:dyDescent="0.25">
      <c r="D431" s="12" t="str" cm="1">
        <f t="array" ref="D431">_xlfn.IFS(A431="","",A431="Grand Total",SUM(D$4:D430),TRUE,IF(COUNTIF(Transactions[Custom Category],Dashboard!A431)&gt;0,SUMIFS(Transactions[Amount],Transactions[Custom Category],Dashboard!A431,Transactions[Month],Sel_Month),SUMIFS(Transactions[Amount],Transactions[Name],Dashboard!A431,Transactions[Month],Sel_Month)))</f>
        <v/>
      </c>
      <c r="E431" s="13" t="str">
        <f t="shared" si="6"/>
        <v/>
      </c>
    </row>
    <row r="432" spans="4:5" x14ac:dyDescent="0.25">
      <c r="D432" s="12" t="str" cm="1">
        <f t="array" ref="D432">_xlfn.IFS(A432="","",A432="Grand Total",SUM(D$4:D431),TRUE,IF(COUNTIF(Transactions[Custom Category],Dashboard!A432)&gt;0,SUMIFS(Transactions[Amount],Transactions[Custom Category],Dashboard!A432,Transactions[Month],Sel_Month),SUMIFS(Transactions[Amount],Transactions[Name],Dashboard!A432,Transactions[Month],Sel_Month)))</f>
        <v/>
      </c>
      <c r="E432" s="13" t="str">
        <f t="shared" si="6"/>
        <v/>
      </c>
    </row>
    <row r="433" spans="4:5" x14ac:dyDescent="0.25">
      <c r="D433" s="12" t="str" cm="1">
        <f t="array" ref="D433">_xlfn.IFS(A433="","",A433="Grand Total",SUM(D$4:D432),TRUE,IF(COUNTIF(Transactions[Custom Category],Dashboard!A433)&gt;0,SUMIFS(Transactions[Amount],Transactions[Custom Category],Dashboard!A433,Transactions[Month],Sel_Month),SUMIFS(Transactions[Amount],Transactions[Name],Dashboard!A433,Transactions[Month],Sel_Month)))</f>
        <v/>
      </c>
      <c r="E433" s="13" t="str">
        <f t="shared" si="6"/>
        <v/>
      </c>
    </row>
    <row r="434" spans="4:5" x14ac:dyDescent="0.25">
      <c r="D434" s="12" t="str" cm="1">
        <f t="array" ref="D434">_xlfn.IFS(A434="","",A434="Grand Total",SUM(D$4:D433),TRUE,IF(COUNTIF(Transactions[Custom Category],Dashboard!A434)&gt;0,SUMIFS(Transactions[Amount],Transactions[Custom Category],Dashboard!A434,Transactions[Month],Sel_Month),SUMIFS(Transactions[Amount],Transactions[Name],Dashboard!A434,Transactions[Month],Sel_Month)))</f>
        <v/>
      </c>
      <c r="E434" s="13" t="str">
        <f t="shared" si="6"/>
        <v/>
      </c>
    </row>
    <row r="435" spans="4:5" x14ac:dyDescent="0.25">
      <c r="D435" s="12" t="str" cm="1">
        <f t="array" ref="D435">_xlfn.IFS(A435="","",A435="Grand Total",SUM(D$4:D434),TRUE,IF(COUNTIF(Transactions[Custom Category],Dashboard!A435)&gt;0,SUMIFS(Transactions[Amount],Transactions[Custom Category],Dashboard!A435,Transactions[Month],Sel_Month),SUMIFS(Transactions[Amount],Transactions[Name],Dashboard!A435,Transactions[Month],Sel_Month)))</f>
        <v/>
      </c>
    </row>
  </sheetData>
  <conditionalFormatting sqref="D5:E435">
    <cfRule type="expression" dxfId="1" priority="1" stopIfTrue="1">
      <formula>$A5="Total"</formula>
    </cfRule>
    <cfRule type="expression" dxfId="0" priority="2">
      <formula>$A5&lt;&gt;""</formula>
    </cfRule>
  </conditionalFormatting>
  <dataValidations count="1">
    <dataValidation type="list" allowBlank="1" showInputMessage="1" showErrorMessage="1" promptTitle="Select Month" sqref="D2" xr:uid="{3850E831-CF06-4A77-A215-8B96EAEF23F8}">
      <formula1>Unique_Months</formula1>
    </dataValidation>
  </dataValidations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How frequently resets" prompt="Select the frequency at which this budget will reset" xr:uid="{1AFBA4B2-E2F6-4585-A6DC-E6D6E86F6AAB}">
          <x14:formula1>
            <xm:f>Conf!$A$2:$A$8</xm:f>
          </x14:formula1>
          <xm:sqref>H3:H4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FFD0-868B-4F0D-A9AA-366FCA2A4264}">
  <dimension ref="A1:I27"/>
  <sheetViews>
    <sheetView workbookViewId="0">
      <selection activeCell="C19" sqref="C19"/>
    </sheetView>
  </sheetViews>
  <sheetFormatPr defaultRowHeight="15" x14ac:dyDescent="0.25"/>
  <cols>
    <col min="1" max="2" width="11" customWidth="1"/>
    <col min="3" max="3" width="56.5703125" customWidth="1"/>
    <col min="4" max="9" width="1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19</v>
      </c>
      <c r="B2">
        <v>12</v>
      </c>
      <c r="C2" t="s">
        <v>20</v>
      </c>
      <c r="D2">
        <v>0.27</v>
      </c>
      <c r="E2">
        <v>386</v>
      </c>
      <c r="F2" t="s">
        <v>21</v>
      </c>
      <c r="G2" t="s">
        <v>22</v>
      </c>
      <c r="H2" t="s">
        <v>23</v>
      </c>
      <c r="I2" t="s">
        <v>24</v>
      </c>
    </row>
    <row r="3" spans="1:9" x14ac:dyDescent="0.25">
      <c r="A3" t="s">
        <v>19</v>
      </c>
      <c r="B3">
        <v>12</v>
      </c>
      <c r="C3" t="s">
        <v>20</v>
      </c>
      <c r="D3">
        <v>15551.34</v>
      </c>
      <c r="E3">
        <v>8692</v>
      </c>
      <c r="F3" t="s">
        <v>25</v>
      </c>
      <c r="G3" t="s">
        <v>26</v>
      </c>
      <c r="H3" t="s">
        <v>27</v>
      </c>
      <c r="I3" t="s">
        <v>28</v>
      </c>
    </row>
    <row r="4" spans="1:9" x14ac:dyDescent="0.25">
      <c r="A4" t="s">
        <v>29</v>
      </c>
      <c r="B4">
        <v>13</v>
      </c>
      <c r="D4">
        <v>0</v>
      </c>
      <c r="E4">
        <v>3214</v>
      </c>
      <c r="F4" t="s">
        <v>30</v>
      </c>
      <c r="G4" t="s">
        <v>31</v>
      </c>
      <c r="H4" t="s">
        <v>32</v>
      </c>
      <c r="I4" t="s">
        <v>28</v>
      </c>
    </row>
    <row r="5" spans="1:9" x14ac:dyDescent="0.25">
      <c r="A5" t="s">
        <v>29</v>
      </c>
      <c r="B5">
        <v>13</v>
      </c>
      <c r="E5">
        <v>3403</v>
      </c>
      <c r="F5" t="s">
        <v>33</v>
      </c>
      <c r="G5" t="s">
        <v>34</v>
      </c>
      <c r="H5" t="s">
        <v>35</v>
      </c>
      <c r="I5" t="s">
        <v>36</v>
      </c>
    </row>
    <row r="6" spans="1:9" x14ac:dyDescent="0.25">
      <c r="A6" t="s">
        <v>29</v>
      </c>
      <c r="B6">
        <v>13</v>
      </c>
      <c r="E6">
        <v>3413</v>
      </c>
      <c r="F6" t="s">
        <v>33</v>
      </c>
      <c r="G6" t="s">
        <v>37</v>
      </c>
      <c r="H6" t="s">
        <v>35</v>
      </c>
      <c r="I6" t="s">
        <v>36</v>
      </c>
    </row>
    <row r="7" spans="1:9" x14ac:dyDescent="0.25">
      <c r="A7" t="s">
        <v>29</v>
      </c>
      <c r="B7">
        <v>13</v>
      </c>
      <c r="E7">
        <v>9351</v>
      </c>
      <c r="F7" t="s">
        <v>38</v>
      </c>
      <c r="G7" t="s">
        <v>39</v>
      </c>
      <c r="H7" t="s">
        <v>40</v>
      </c>
      <c r="I7" t="s">
        <v>24</v>
      </c>
    </row>
    <row r="8" spans="1:9" x14ac:dyDescent="0.25">
      <c r="A8" t="s">
        <v>29</v>
      </c>
      <c r="B8">
        <v>13</v>
      </c>
      <c r="E8" t="s">
        <v>41</v>
      </c>
      <c r="F8" t="s">
        <v>42</v>
      </c>
      <c r="G8" t="s">
        <v>43</v>
      </c>
      <c r="H8" t="s">
        <v>44</v>
      </c>
      <c r="I8" t="s">
        <v>36</v>
      </c>
    </row>
    <row r="9" spans="1:9" x14ac:dyDescent="0.25">
      <c r="A9" t="s">
        <v>29</v>
      </c>
      <c r="B9">
        <v>13</v>
      </c>
      <c r="E9" t="s">
        <v>45</v>
      </c>
      <c r="F9" t="s">
        <v>46</v>
      </c>
      <c r="G9" t="s">
        <v>47</v>
      </c>
      <c r="H9" t="s">
        <v>44</v>
      </c>
      <c r="I9" t="s">
        <v>36</v>
      </c>
    </row>
    <row r="10" spans="1:9" x14ac:dyDescent="0.25">
      <c r="A10" t="s">
        <v>29</v>
      </c>
      <c r="B10">
        <v>13</v>
      </c>
      <c r="E10" t="s">
        <v>48</v>
      </c>
      <c r="F10" t="s">
        <v>49</v>
      </c>
      <c r="G10" t="s">
        <v>50</v>
      </c>
      <c r="H10" t="s">
        <v>51</v>
      </c>
      <c r="I10" t="s">
        <v>36</v>
      </c>
    </row>
    <row r="11" spans="1:9" x14ac:dyDescent="0.25">
      <c r="A11" t="s">
        <v>29</v>
      </c>
      <c r="B11">
        <v>13</v>
      </c>
      <c r="E11" t="s">
        <v>52</v>
      </c>
      <c r="F11" t="s">
        <v>53</v>
      </c>
      <c r="G11" t="s">
        <v>54</v>
      </c>
      <c r="H11" t="s">
        <v>51</v>
      </c>
      <c r="I11" t="s">
        <v>36</v>
      </c>
    </row>
    <row r="12" spans="1:9" x14ac:dyDescent="0.25">
      <c r="A12" t="s">
        <v>29</v>
      </c>
      <c r="B12">
        <v>13</v>
      </c>
      <c r="E12" t="s">
        <v>55</v>
      </c>
      <c r="F12" t="s">
        <v>56</v>
      </c>
      <c r="G12" t="s">
        <v>57</v>
      </c>
      <c r="H12" t="s">
        <v>35</v>
      </c>
      <c r="I12" t="s">
        <v>36</v>
      </c>
    </row>
    <row r="13" spans="1:9" x14ac:dyDescent="0.25">
      <c r="A13" t="s">
        <v>58</v>
      </c>
      <c r="B13">
        <v>14</v>
      </c>
      <c r="C13" t="s">
        <v>59</v>
      </c>
      <c r="D13">
        <v>-429.54</v>
      </c>
      <c r="E13">
        <v>6614</v>
      </c>
      <c r="F13" t="s">
        <v>60</v>
      </c>
      <c r="G13" t="s">
        <v>61</v>
      </c>
      <c r="H13" t="s">
        <v>23</v>
      </c>
      <c r="I13" t="s">
        <v>24</v>
      </c>
    </row>
    <row r="14" spans="1:9" x14ac:dyDescent="0.25">
      <c r="A14" t="s">
        <v>58</v>
      </c>
      <c r="B14">
        <v>14</v>
      </c>
      <c r="C14" t="s">
        <v>59</v>
      </c>
      <c r="D14">
        <v>102.46</v>
      </c>
      <c r="E14">
        <v>9669</v>
      </c>
      <c r="F14" t="s">
        <v>62</v>
      </c>
      <c r="G14" t="s">
        <v>63</v>
      </c>
      <c r="H14" t="s">
        <v>64</v>
      </c>
      <c r="I14" t="s">
        <v>65</v>
      </c>
    </row>
    <row r="15" spans="1:9" x14ac:dyDescent="0.25">
      <c r="A15" t="s">
        <v>19</v>
      </c>
      <c r="B15">
        <v>12</v>
      </c>
      <c r="C15" t="s">
        <v>20</v>
      </c>
      <c r="D15">
        <v>0.27</v>
      </c>
      <c r="E15">
        <v>386</v>
      </c>
      <c r="F15" t="s">
        <v>21</v>
      </c>
      <c r="G15" t="s">
        <v>22</v>
      </c>
      <c r="H15" t="s">
        <v>23</v>
      </c>
      <c r="I15" t="s">
        <v>24</v>
      </c>
    </row>
    <row r="16" spans="1:9" x14ac:dyDescent="0.25">
      <c r="A16" t="s">
        <v>19</v>
      </c>
      <c r="B16">
        <v>12</v>
      </c>
      <c r="C16" t="s">
        <v>20</v>
      </c>
      <c r="D16">
        <v>15551.34</v>
      </c>
      <c r="E16">
        <v>8692</v>
      </c>
      <c r="F16" t="s">
        <v>25</v>
      </c>
      <c r="G16" t="s">
        <v>26</v>
      </c>
      <c r="H16" t="s">
        <v>27</v>
      </c>
      <c r="I16" t="s">
        <v>28</v>
      </c>
    </row>
    <row r="17" spans="1:9" x14ac:dyDescent="0.25">
      <c r="A17" t="s">
        <v>29</v>
      </c>
      <c r="B17">
        <v>13</v>
      </c>
      <c r="D17">
        <v>0</v>
      </c>
      <c r="E17">
        <v>3214</v>
      </c>
      <c r="F17" t="s">
        <v>30</v>
      </c>
      <c r="G17" t="s">
        <v>31</v>
      </c>
      <c r="H17" t="s">
        <v>32</v>
      </c>
      <c r="I17" t="s">
        <v>28</v>
      </c>
    </row>
    <row r="18" spans="1:9" x14ac:dyDescent="0.25">
      <c r="A18" t="s">
        <v>29</v>
      </c>
      <c r="B18">
        <v>13</v>
      </c>
      <c r="D18">
        <v>0</v>
      </c>
      <c r="E18">
        <v>3403</v>
      </c>
      <c r="F18" t="s">
        <v>33</v>
      </c>
      <c r="G18" t="s">
        <v>34</v>
      </c>
      <c r="H18" t="s">
        <v>35</v>
      </c>
      <c r="I18" t="s">
        <v>36</v>
      </c>
    </row>
    <row r="19" spans="1:9" x14ac:dyDescent="0.25">
      <c r="A19" t="s">
        <v>29</v>
      </c>
      <c r="B19">
        <v>13</v>
      </c>
      <c r="D19">
        <v>0</v>
      </c>
      <c r="E19">
        <v>3413</v>
      </c>
      <c r="F19" t="s">
        <v>33</v>
      </c>
      <c r="G19" t="s">
        <v>37</v>
      </c>
      <c r="H19" t="s">
        <v>35</v>
      </c>
      <c r="I19" t="s">
        <v>36</v>
      </c>
    </row>
    <row r="20" spans="1:9" x14ac:dyDescent="0.25">
      <c r="A20" t="s">
        <v>29</v>
      </c>
      <c r="B20">
        <v>13</v>
      </c>
      <c r="E20">
        <v>9351</v>
      </c>
      <c r="F20" t="s">
        <v>38</v>
      </c>
      <c r="G20" t="s">
        <v>39</v>
      </c>
      <c r="H20" t="s">
        <v>40</v>
      </c>
      <c r="I20" t="s">
        <v>24</v>
      </c>
    </row>
    <row r="21" spans="1:9" x14ac:dyDescent="0.25">
      <c r="A21" t="s">
        <v>29</v>
      </c>
      <c r="B21">
        <v>13</v>
      </c>
      <c r="E21" t="s">
        <v>41</v>
      </c>
      <c r="F21" t="s">
        <v>42</v>
      </c>
      <c r="G21" t="s">
        <v>43</v>
      </c>
      <c r="H21" t="s">
        <v>44</v>
      </c>
      <c r="I21" t="s">
        <v>36</v>
      </c>
    </row>
    <row r="22" spans="1:9" x14ac:dyDescent="0.25">
      <c r="A22" t="s">
        <v>29</v>
      </c>
      <c r="B22">
        <v>13</v>
      </c>
      <c r="E22" t="s">
        <v>45</v>
      </c>
      <c r="F22" t="s">
        <v>46</v>
      </c>
      <c r="G22" t="s">
        <v>47</v>
      </c>
      <c r="H22" t="s">
        <v>44</v>
      </c>
      <c r="I22" t="s">
        <v>36</v>
      </c>
    </row>
    <row r="23" spans="1:9" x14ac:dyDescent="0.25">
      <c r="A23" t="s">
        <v>29</v>
      </c>
      <c r="B23">
        <v>13</v>
      </c>
      <c r="E23" t="s">
        <v>48</v>
      </c>
      <c r="F23" t="s">
        <v>49</v>
      </c>
      <c r="G23" t="s">
        <v>50</v>
      </c>
      <c r="H23" t="s">
        <v>51</v>
      </c>
      <c r="I23" t="s">
        <v>36</v>
      </c>
    </row>
    <row r="24" spans="1:9" x14ac:dyDescent="0.25">
      <c r="A24" t="s">
        <v>29</v>
      </c>
      <c r="B24">
        <v>13</v>
      </c>
      <c r="E24" t="s">
        <v>52</v>
      </c>
      <c r="F24" t="s">
        <v>53</v>
      </c>
      <c r="G24" t="s">
        <v>54</v>
      </c>
      <c r="H24" t="s">
        <v>51</v>
      </c>
      <c r="I24" t="s">
        <v>36</v>
      </c>
    </row>
    <row r="25" spans="1:9" x14ac:dyDescent="0.25">
      <c r="A25" t="s">
        <v>29</v>
      </c>
      <c r="B25">
        <v>13</v>
      </c>
      <c r="E25" t="s">
        <v>55</v>
      </c>
      <c r="F25" t="s">
        <v>56</v>
      </c>
      <c r="G25" t="s">
        <v>57</v>
      </c>
      <c r="H25" t="s">
        <v>35</v>
      </c>
      <c r="I25" t="s">
        <v>36</v>
      </c>
    </row>
    <row r="26" spans="1:9" x14ac:dyDescent="0.25">
      <c r="A26" t="s">
        <v>58</v>
      </c>
      <c r="B26">
        <v>14</v>
      </c>
      <c r="C26" t="s">
        <v>59</v>
      </c>
      <c r="D26">
        <v>-429.54</v>
      </c>
      <c r="E26">
        <v>6614</v>
      </c>
      <c r="F26" t="s">
        <v>60</v>
      </c>
      <c r="G26" t="s">
        <v>61</v>
      </c>
      <c r="H26" t="s">
        <v>23</v>
      </c>
      <c r="I26" t="s">
        <v>24</v>
      </c>
    </row>
    <row r="27" spans="1:9" x14ac:dyDescent="0.25">
      <c r="A27" t="s">
        <v>58</v>
      </c>
      <c r="B27">
        <v>14</v>
      </c>
      <c r="C27" t="s">
        <v>59</v>
      </c>
      <c r="D27">
        <v>102.46</v>
      </c>
      <c r="E27">
        <v>9669</v>
      </c>
      <c r="F27" t="s">
        <v>62</v>
      </c>
      <c r="G27" t="s">
        <v>63</v>
      </c>
      <c r="H27" t="s">
        <v>64</v>
      </c>
      <c r="I27" t="s">
        <v>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DD1E-E608-46F6-A6DF-A714ACAD90B0}">
  <dimension ref="A1:V502"/>
  <sheetViews>
    <sheetView topLeftCell="I1" zoomScaleNormal="100" workbookViewId="0">
      <selection activeCell="L2" sqref="L2"/>
    </sheetView>
  </sheetViews>
  <sheetFormatPr defaultRowHeight="15" x14ac:dyDescent="0.25"/>
  <cols>
    <col min="1" max="3" width="11" customWidth="1"/>
    <col min="4" max="4" width="35" customWidth="1"/>
    <col min="5" max="5" width="21.42578125" bestFit="1" customWidth="1"/>
    <col min="6" max="7" width="11" customWidth="1"/>
    <col min="8" max="8" width="40" customWidth="1"/>
    <col min="9" max="9" width="11" customWidth="1"/>
    <col min="10" max="11" width="12.140625" customWidth="1"/>
    <col min="12" max="12" width="21.5703125" customWidth="1"/>
    <col min="13" max="13" width="14.7109375" customWidth="1"/>
    <col min="14" max="14" width="11.42578125" bestFit="1" customWidth="1"/>
    <col min="15" max="15" width="17" customWidth="1"/>
    <col min="16" max="17" width="15.7109375" customWidth="1"/>
    <col min="19" max="19" width="11.5703125" bestFit="1" customWidth="1"/>
  </cols>
  <sheetData>
    <row r="1" spans="1:2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5</v>
      </c>
      <c r="I1" t="s">
        <v>16</v>
      </c>
      <c r="J1" t="s">
        <v>17</v>
      </c>
      <c r="K1" t="s">
        <v>18</v>
      </c>
      <c r="L1" t="s">
        <v>1054</v>
      </c>
      <c r="M1" t="s">
        <v>1055</v>
      </c>
      <c r="N1" t="s">
        <v>1057</v>
      </c>
      <c r="O1" t="s">
        <v>1056</v>
      </c>
      <c r="P1" t="s">
        <v>1063</v>
      </c>
      <c r="Q1" t="s">
        <v>1066</v>
      </c>
      <c r="R1" t="s">
        <v>1067</v>
      </c>
      <c r="S1" t="s">
        <v>1083</v>
      </c>
      <c r="T1" t="s">
        <v>1065</v>
      </c>
      <c r="U1" t="s">
        <v>1071</v>
      </c>
      <c r="V1" t="s">
        <v>1107</v>
      </c>
    </row>
    <row r="2" spans="1:22" x14ac:dyDescent="0.25">
      <c r="A2" t="s">
        <v>61</v>
      </c>
      <c r="B2" t="s">
        <v>66</v>
      </c>
      <c r="C2">
        <v>2000</v>
      </c>
      <c r="D2" t="s">
        <v>67</v>
      </c>
      <c r="E2" t="s">
        <v>908</v>
      </c>
      <c r="F2" t="s">
        <v>69</v>
      </c>
      <c r="H2" t="s">
        <v>909</v>
      </c>
      <c r="I2" t="s">
        <v>71</v>
      </c>
      <c r="J2" t="b">
        <v>0</v>
      </c>
      <c r="K2" t="s">
        <v>910</v>
      </c>
      <c r="L2" t="str">
        <f>_xlfn.XLOOKUP(Transactions[[#This Row],[Account ID]],Accounts[Plaid Account ID],Accounts[Name],"Not Found",0)</f>
        <v>RBC Staff Banking</v>
      </c>
      <c r="M2" t="str">
        <f>_xlfn.XLOOKUP(Transactions[[#This Row],[Account ID]],Accounts[Plaid Account ID],Accounts[Institution Name],"Not Found",0)</f>
        <v>RBC Royal Bank</v>
      </c>
      <c r="N2" t="str">
        <f>IF(Transactions[[#This Row],[Amount]]&lt;0,"credit","debit")</f>
        <v>debit</v>
      </c>
      <c r="O2" t="str" cm="1">
        <f t="array" ref="O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2" s="3">
        <f>DATE(YEAR(Transactions[[#This Row],[Datetime]]),MONTH(Transactions[[#This Row],[Datetime]]),1)</f>
        <v>44652</v>
      </c>
      <c r="R2" t="b">
        <f ca="1">AND(Transactions[[#This Row],[Datetime]]&gt;=EDATE(MAX(Transactions[Datetime]),-6),Transactions[[#This Row],[Datetime]]&lt;=TODAY())</f>
        <v>0</v>
      </c>
      <c r="S2" s="6">
        <f ca="1">AVERAGEIFS(Transactions[Month''s Total],Transactions[Recent],TRUE,Transactions[Custom Category],Transactions[[#This Row],[Custom Category]])</f>
        <v>12758.461333333335</v>
      </c>
      <c r="T2">
        <f>SUMIFS(Transactions[Amount],Transactions[Month],Transactions[[#This Row],[Month]],Transactions[Custom Category],Transactions[[#This Row],[Custom Category]])</f>
        <v>5295.62</v>
      </c>
      <c r="U2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">
        <f>IF(Transactions[[#This Row],[Month]]=Sel_Month,Transactions[[#This Row],[Amount]],0)</f>
        <v>0</v>
      </c>
    </row>
    <row r="3" spans="1:22" x14ac:dyDescent="0.25">
      <c r="A3" t="s">
        <v>61</v>
      </c>
      <c r="B3" t="s">
        <v>66</v>
      </c>
      <c r="C3">
        <v>1444.17</v>
      </c>
      <c r="D3" t="s">
        <v>67</v>
      </c>
      <c r="E3" t="s">
        <v>908</v>
      </c>
      <c r="F3" t="s">
        <v>69</v>
      </c>
      <c r="H3" t="s">
        <v>911</v>
      </c>
      <c r="I3" t="s">
        <v>71</v>
      </c>
      <c r="J3" t="b">
        <v>0</v>
      </c>
      <c r="K3" t="s">
        <v>912</v>
      </c>
      <c r="L3" t="str">
        <f>_xlfn.XLOOKUP(Transactions[[#This Row],[Account ID]],Accounts[Plaid Account ID],Accounts[Name],"Not Found",0)</f>
        <v>RBC Staff Banking</v>
      </c>
      <c r="M3" t="str">
        <f>_xlfn.XLOOKUP(Transactions[[#This Row],[Account ID]],Accounts[Plaid Account ID],Accounts[Institution Name],"Not Found",0)</f>
        <v>RBC Royal Bank</v>
      </c>
      <c r="N3" t="str">
        <f>IF(Transactions[[#This Row],[Amount]]&lt;0,"credit","debit")</f>
        <v>debit</v>
      </c>
      <c r="O3" t="str" cm="1">
        <f t="array" ref="O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3" s="3">
        <f>DATE(YEAR(Transactions[[#This Row],[Datetime]]),MONTH(Transactions[[#This Row],[Datetime]]),1)</f>
        <v>44652</v>
      </c>
      <c r="R3" t="b">
        <f ca="1">AND(Transactions[[#This Row],[Datetime]]&gt;=EDATE(MAX(Transactions[Datetime]),-6),Transactions[[#This Row],[Datetime]]&lt;=TODAY())</f>
        <v>0</v>
      </c>
      <c r="S3" s="6">
        <f ca="1">AVERAGEIFS(Transactions[Month''s Total],Transactions[Recent],TRUE,Transactions[Custom Category],Transactions[[#This Row],[Custom Category]])</f>
        <v>12758.461333333335</v>
      </c>
      <c r="T3">
        <f>SUMIFS(Transactions[Amount],Transactions[Month],Transactions[[#This Row],[Month]],Transactions[Custom Category],Transactions[[#This Row],[Custom Category]])</f>
        <v>5295.62</v>
      </c>
      <c r="U3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">
        <f>IF(Transactions[[#This Row],[Month]]=Sel_Month,Transactions[[#This Row],[Amount]],0)</f>
        <v>0</v>
      </c>
    </row>
    <row r="4" spans="1:22" x14ac:dyDescent="0.25">
      <c r="A4" t="s">
        <v>61</v>
      </c>
      <c r="B4" t="s">
        <v>66</v>
      </c>
      <c r="C4">
        <v>1500</v>
      </c>
      <c r="D4" t="s">
        <v>67</v>
      </c>
      <c r="E4" t="s">
        <v>908</v>
      </c>
      <c r="F4" t="s">
        <v>69</v>
      </c>
      <c r="H4" t="s">
        <v>474</v>
      </c>
      <c r="I4" t="s">
        <v>71</v>
      </c>
      <c r="J4" t="b">
        <v>0</v>
      </c>
      <c r="K4" t="s">
        <v>913</v>
      </c>
      <c r="L4" t="str">
        <f>_xlfn.XLOOKUP(Transactions[[#This Row],[Account ID]],Accounts[Plaid Account ID],Accounts[Name],"Not Found",0)</f>
        <v>RBC Staff Banking</v>
      </c>
      <c r="M4" t="str">
        <f>_xlfn.XLOOKUP(Transactions[[#This Row],[Account ID]],Accounts[Plaid Account ID],Accounts[Institution Name],"Not Found",0)</f>
        <v>RBC Royal Bank</v>
      </c>
      <c r="N4" t="str">
        <f>IF(Transactions[[#This Row],[Amount]]&lt;0,"credit","debit")</f>
        <v>debit</v>
      </c>
      <c r="O4" t="str" cm="1">
        <f t="array" ref="O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4" s="3">
        <f>DATE(YEAR(Transactions[[#This Row],[Datetime]]),MONTH(Transactions[[#This Row],[Datetime]]),1)</f>
        <v>44652</v>
      </c>
      <c r="R4" t="b">
        <f ca="1">AND(Transactions[[#This Row],[Datetime]]&gt;=EDATE(MAX(Transactions[Datetime]),-6),Transactions[[#This Row],[Datetime]]&lt;=TODAY())</f>
        <v>0</v>
      </c>
      <c r="S4" s="6">
        <f ca="1">AVERAGEIFS(Transactions[Month''s Total],Transactions[Recent],TRUE,Transactions[Custom Category],Transactions[[#This Row],[Custom Category]])</f>
        <v>14532.989714285719</v>
      </c>
      <c r="T4">
        <f>SUMIFS(Transactions[Amount],Transactions[Month],Transactions[[#This Row],[Month]],Transactions[Custom Category],Transactions[[#This Row],[Custom Category]])</f>
        <v>8446.1299999999992</v>
      </c>
      <c r="U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">
        <f>IF(Transactions[[#This Row],[Month]]=Sel_Month,Transactions[[#This Row],[Amount]],0)</f>
        <v>0</v>
      </c>
    </row>
    <row r="5" spans="1:22" x14ac:dyDescent="0.25">
      <c r="A5" t="s">
        <v>61</v>
      </c>
      <c r="B5" t="s">
        <v>66</v>
      </c>
      <c r="C5">
        <v>1100</v>
      </c>
      <c r="D5" t="s">
        <v>67</v>
      </c>
      <c r="E5" t="s">
        <v>908</v>
      </c>
      <c r="F5" t="s">
        <v>69</v>
      </c>
      <c r="H5" t="s">
        <v>745</v>
      </c>
      <c r="I5" t="s">
        <v>71</v>
      </c>
      <c r="J5" t="b">
        <v>0</v>
      </c>
      <c r="K5" t="s">
        <v>914</v>
      </c>
      <c r="L5" t="str">
        <f>_xlfn.XLOOKUP(Transactions[[#This Row],[Account ID]],Accounts[Plaid Account ID],Accounts[Name],"Not Found",0)</f>
        <v>RBC Staff Banking</v>
      </c>
      <c r="M5" t="str">
        <f>_xlfn.XLOOKUP(Transactions[[#This Row],[Account ID]],Accounts[Plaid Account ID],Accounts[Institution Name],"Not Found",0)</f>
        <v>RBC Royal Bank</v>
      </c>
      <c r="N5" t="str">
        <f>IF(Transactions[[#This Row],[Amount]]&lt;0,"credit","debit")</f>
        <v>debit</v>
      </c>
      <c r="O5" t="str" cm="1">
        <f t="array" ref="O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5" s="3">
        <f>DATE(YEAR(Transactions[[#This Row],[Datetime]]),MONTH(Transactions[[#This Row],[Datetime]]),1)</f>
        <v>44652</v>
      </c>
      <c r="R5" t="b">
        <f ca="1">AND(Transactions[[#This Row],[Datetime]]&gt;=EDATE(MAX(Transactions[Datetime]),-6),Transactions[[#This Row],[Datetime]]&lt;=TODAY())</f>
        <v>0</v>
      </c>
      <c r="S5" s="6">
        <f ca="1">AVERAGEIFS(Transactions[Month''s Total],Transactions[Recent],TRUE,Transactions[Custom Category],Transactions[[#This Row],[Custom Category]])</f>
        <v>12758.461333333335</v>
      </c>
      <c r="T5">
        <f>SUMIFS(Transactions[Amount],Transactions[Month],Transactions[[#This Row],[Month]],Transactions[Custom Category],Transactions[[#This Row],[Custom Category]])</f>
        <v>5295.62</v>
      </c>
      <c r="U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5">
        <f>IF(Transactions[[#This Row],[Month]]=Sel_Month,Transactions[[#This Row],[Amount]],0)</f>
        <v>0</v>
      </c>
    </row>
    <row r="6" spans="1:22" x14ac:dyDescent="0.25">
      <c r="A6" t="s">
        <v>61</v>
      </c>
      <c r="B6" t="s">
        <v>66</v>
      </c>
      <c r="C6">
        <v>800</v>
      </c>
      <c r="D6" t="s">
        <v>67</v>
      </c>
      <c r="E6" t="s">
        <v>908</v>
      </c>
      <c r="F6" t="s">
        <v>69</v>
      </c>
      <c r="H6" t="s">
        <v>720</v>
      </c>
      <c r="I6" t="s">
        <v>71</v>
      </c>
      <c r="J6" t="b">
        <v>0</v>
      </c>
      <c r="K6" t="s">
        <v>915</v>
      </c>
      <c r="L6" t="str">
        <f>_xlfn.XLOOKUP(Transactions[[#This Row],[Account ID]],Accounts[Plaid Account ID],Accounts[Name],"Not Found",0)</f>
        <v>RBC Staff Banking</v>
      </c>
      <c r="M6" t="str">
        <f>_xlfn.XLOOKUP(Transactions[[#This Row],[Account ID]],Accounts[Plaid Account ID],Accounts[Institution Name],"Not Found",0)</f>
        <v>RBC Royal Bank</v>
      </c>
      <c r="N6" t="str">
        <f>IF(Transactions[[#This Row],[Amount]]&lt;0,"credit","debit")</f>
        <v>debit</v>
      </c>
      <c r="O6" t="str" cm="1">
        <f t="array" ref="O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6" s="3">
        <f>DATE(YEAR(Transactions[[#This Row],[Datetime]]),MONTH(Transactions[[#This Row],[Datetime]]),1)</f>
        <v>44652</v>
      </c>
      <c r="R6" t="b">
        <f ca="1">AND(Transactions[[#This Row],[Datetime]]&gt;=EDATE(MAX(Transactions[Datetime]),-6),Transactions[[#This Row],[Datetime]]&lt;=TODAY())</f>
        <v>0</v>
      </c>
      <c r="S6" s="6">
        <f ca="1">AVERAGEIFS(Transactions[Month''s Total],Transactions[Recent],TRUE,Transactions[Custom Category],Transactions[[#This Row],[Custom Category]])</f>
        <v>14532.989714285719</v>
      </c>
      <c r="T6">
        <f>SUMIFS(Transactions[Amount],Transactions[Month],Transactions[[#This Row],[Month]],Transactions[Custom Category],Transactions[[#This Row],[Custom Category]])</f>
        <v>8446.1299999999992</v>
      </c>
      <c r="U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6">
        <f>IF(Transactions[[#This Row],[Month]]=Sel_Month,Transactions[[#This Row],[Amount]],0)</f>
        <v>0</v>
      </c>
    </row>
    <row r="7" spans="1:22" x14ac:dyDescent="0.25">
      <c r="A7" t="s">
        <v>61</v>
      </c>
      <c r="B7" t="s">
        <v>66</v>
      </c>
      <c r="C7">
        <v>359.58</v>
      </c>
      <c r="D7" t="s">
        <v>67</v>
      </c>
      <c r="E7" t="s">
        <v>908</v>
      </c>
      <c r="F7" t="s">
        <v>69</v>
      </c>
      <c r="H7" t="s">
        <v>474</v>
      </c>
      <c r="I7" t="s">
        <v>71</v>
      </c>
      <c r="J7" t="b">
        <v>0</v>
      </c>
      <c r="K7" t="s">
        <v>916</v>
      </c>
      <c r="L7" t="str">
        <f>_xlfn.XLOOKUP(Transactions[[#This Row],[Account ID]],Accounts[Plaid Account ID],Accounts[Name],"Not Found",0)</f>
        <v>RBC Staff Banking</v>
      </c>
      <c r="M7" t="str">
        <f>_xlfn.XLOOKUP(Transactions[[#This Row],[Account ID]],Accounts[Plaid Account ID],Accounts[Institution Name],"Not Found",0)</f>
        <v>RBC Royal Bank</v>
      </c>
      <c r="N7" t="str">
        <f>IF(Transactions[[#This Row],[Amount]]&lt;0,"credit","debit")</f>
        <v>debit</v>
      </c>
      <c r="O7" t="str" cm="1">
        <f t="array" ref="O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7" s="3">
        <f>DATE(YEAR(Transactions[[#This Row],[Datetime]]),MONTH(Transactions[[#This Row],[Datetime]]),1)</f>
        <v>44652</v>
      </c>
      <c r="R7" t="b">
        <f ca="1">AND(Transactions[[#This Row],[Datetime]]&gt;=EDATE(MAX(Transactions[Datetime]),-6),Transactions[[#This Row],[Datetime]]&lt;=TODAY())</f>
        <v>0</v>
      </c>
      <c r="S7" s="6">
        <f ca="1">AVERAGEIFS(Transactions[Month''s Total],Transactions[Recent],TRUE,Transactions[Custom Category],Transactions[[#This Row],[Custom Category]])</f>
        <v>14532.989714285719</v>
      </c>
      <c r="T7">
        <f>SUMIFS(Transactions[Amount],Transactions[Month],Transactions[[#This Row],[Month]],Transactions[Custom Category],Transactions[[#This Row],[Custom Category]])</f>
        <v>8446.1299999999992</v>
      </c>
      <c r="U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7">
        <f>IF(Transactions[[#This Row],[Month]]=Sel_Month,Transactions[[#This Row],[Amount]],0)</f>
        <v>0</v>
      </c>
    </row>
    <row r="8" spans="1:22" x14ac:dyDescent="0.25">
      <c r="A8" t="s">
        <v>61</v>
      </c>
      <c r="B8" t="s">
        <v>66</v>
      </c>
      <c r="C8">
        <v>-2000</v>
      </c>
      <c r="D8" t="s">
        <v>99</v>
      </c>
      <c r="E8" t="s">
        <v>908</v>
      </c>
      <c r="F8" t="s">
        <v>69</v>
      </c>
      <c r="H8" t="s">
        <v>917</v>
      </c>
      <c r="I8" t="s">
        <v>71</v>
      </c>
      <c r="J8" t="b">
        <v>0</v>
      </c>
      <c r="K8" t="s">
        <v>918</v>
      </c>
      <c r="L8" t="str">
        <f>_xlfn.XLOOKUP(Transactions[[#This Row],[Account ID]],Accounts[Plaid Account ID],Accounts[Name],"Not Found",0)</f>
        <v>RBC Staff Banking</v>
      </c>
      <c r="M8" t="str">
        <f>_xlfn.XLOOKUP(Transactions[[#This Row],[Account ID]],Accounts[Plaid Account ID],Accounts[Institution Name],"Not Found",0)</f>
        <v>RBC Royal Bank</v>
      </c>
      <c r="N8" t="str">
        <f>IF(Transactions[[#This Row],[Amount]]&lt;0,"credit","debit")</f>
        <v>credit</v>
      </c>
      <c r="O8" t="str" cm="1">
        <f t="array" ref="O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8" s="3">
        <f>DATE(YEAR(Transactions[[#This Row],[Datetime]]),MONTH(Transactions[[#This Row],[Datetime]]),1)</f>
        <v>44652</v>
      </c>
      <c r="R8" t="b">
        <f ca="1">AND(Transactions[[#This Row],[Datetime]]&gt;=EDATE(MAX(Transactions[Datetime]),-6),Transactions[[#This Row],[Datetime]]&lt;=TODAY())</f>
        <v>0</v>
      </c>
      <c r="S8" s="6">
        <f ca="1">AVERAGEIFS(Transactions[Month''s Total],Transactions[Recent],TRUE,Transactions[Custom Category],Transactions[[#This Row],[Custom Category]])</f>
        <v>-18125.097037037034</v>
      </c>
      <c r="T8">
        <f>SUMIFS(Transactions[Amount],Transactions[Month],Transactions[[#This Row],[Month]],Transactions[Custom Category],Transactions[[#This Row],[Custom Category]])</f>
        <v>-11741.75</v>
      </c>
      <c r="U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8">
        <f>IF(Transactions[[#This Row],[Month]]=Sel_Month,Transactions[[#This Row],[Amount]],0)</f>
        <v>0</v>
      </c>
    </row>
    <row r="9" spans="1:22" x14ac:dyDescent="0.25">
      <c r="A9" t="s">
        <v>61</v>
      </c>
      <c r="B9" t="s">
        <v>66</v>
      </c>
      <c r="C9">
        <v>-2000</v>
      </c>
      <c r="D9" t="s">
        <v>99</v>
      </c>
      <c r="E9" t="s">
        <v>908</v>
      </c>
      <c r="F9" t="s">
        <v>69</v>
      </c>
      <c r="H9" t="s">
        <v>919</v>
      </c>
      <c r="I9" t="s">
        <v>71</v>
      </c>
      <c r="J9" t="b">
        <v>0</v>
      </c>
      <c r="K9" t="s">
        <v>920</v>
      </c>
      <c r="L9" t="str">
        <f>_xlfn.XLOOKUP(Transactions[[#This Row],[Account ID]],Accounts[Plaid Account ID],Accounts[Name],"Not Found",0)</f>
        <v>RBC Staff Banking</v>
      </c>
      <c r="M9" t="str">
        <f>_xlfn.XLOOKUP(Transactions[[#This Row],[Account ID]],Accounts[Plaid Account ID],Accounts[Institution Name],"Not Found",0)</f>
        <v>RBC Royal Bank</v>
      </c>
      <c r="N9" t="str">
        <f>IF(Transactions[[#This Row],[Amount]]&lt;0,"credit","debit")</f>
        <v>credit</v>
      </c>
      <c r="O9" t="str" cm="1">
        <f t="array" ref="O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9" s="3">
        <f>DATE(YEAR(Transactions[[#This Row],[Datetime]]),MONTH(Transactions[[#This Row],[Datetime]]),1)</f>
        <v>44652</v>
      </c>
      <c r="R9" t="b">
        <f ca="1">AND(Transactions[[#This Row],[Datetime]]&gt;=EDATE(MAX(Transactions[Datetime]),-6),Transactions[[#This Row],[Datetime]]&lt;=TODAY())</f>
        <v>0</v>
      </c>
      <c r="S9" s="6">
        <f ca="1">AVERAGEIFS(Transactions[Month''s Total],Transactions[Recent],TRUE,Transactions[Custom Category],Transactions[[#This Row],[Custom Category]])</f>
        <v>-18125.097037037034</v>
      </c>
      <c r="T9">
        <f>SUMIFS(Transactions[Amount],Transactions[Month],Transactions[[#This Row],[Month]],Transactions[Custom Category],Transactions[[#This Row],[Custom Category]])</f>
        <v>-11741.75</v>
      </c>
      <c r="U9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9">
        <f>IF(Transactions[[#This Row],[Month]]=Sel_Month,Transactions[[#This Row],[Amount]],0)</f>
        <v>0</v>
      </c>
    </row>
    <row r="10" spans="1:22" x14ac:dyDescent="0.25">
      <c r="A10" t="s">
        <v>61</v>
      </c>
      <c r="B10" t="s">
        <v>66</v>
      </c>
      <c r="C10">
        <v>-1203.75</v>
      </c>
      <c r="D10" t="s">
        <v>99</v>
      </c>
      <c r="E10" t="s">
        <v>908</v>
      </c>
      <c r="F10" t="s">
        <v>69</v>
      </c>
      <c r="H10" t="s">
        <v>921</v>
      </c>
      <c r="I10" t="s">
        <v>71</v>
      </c>
      <c r="J10" t="b">
        <v>0</v>
      </c>
      <c r="K10" t="s">
        <v>922</v>
      </c>
      <c r="L10" t="str">
        <f>_xlfn.XLOOKUP(Transactions[[#This Row],[Account ID]],Accounts[Plaid Account ID],Accounts[Name],"Not Found",0)</f>
        <v>RBC Staff Banking</v>
      </c>
      <c r="M10" t="str">
        <f>_xlfn.XLOOKUP(Transactions[[#This Row],[Account ID]],Accounts[Plaid Account ID],Accounts[Institution Name],"Not Found",0)</f>
        <v>RBC Royal Bank</v>
      </c>
      <c r="N10" t="str">
        <f>IF(Transactions[[#This Row],[Amount]]&lt;0,"credit","debit")</f>
        <v>credit</v>
      </c>
      <c r="O10" t="str" cm="1">
        <f t="array" ref="O1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44654</v>
      </c>
      <c r="Q10" s="3">
        <f>DATE(YEAR(Transactions[[#This Row],[Datetime]]),MONTH(Transactions[[#This Row],[Datetime]]),1)</f>
        <v>44652</v>
      </c>
      <c r="R10" t="b">
        <f ca="1">AND(Transactions[[#This Row],[Datetime]]&gt;=EDATE(MAX(Transactions[Datetime]),-6),Transactions[[#This Row],[Datetime]]&lt;=TODAY())</f>
        <v>0</v>
      </c>
      <c r="S10" s="6">
        <f ca="1">AVERAGEIFS(Transactions[Month''s Total],Transactions[Recent],TRUE,Transactions[Custom Category],Transactions[[#This Row],[Custom Category]])</f>
        <v>-18125.097037037034</v>
      </c>
      <c r="T10">
        <f>SUMIFS(Transactions[Amount],Transactions[Month],Transactions[[#This Row],[Month]],Transactions[Custom Category],Transactions[[#This Row],[Custom Category]])</f>
        <v>-11741.75</v>
      </c>
      <c r="U10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0">
        <f>IF(Transactions[[#This Row],[Month]]=Sel_Month,Transactions[[#This Row],[Amount]],0)</f>
        <v>0</v>
      </c>
    </row>
    <row r="11" spans="1:22" x14ac:dyDescent="0.25">
      <c r="A11" t="s">
        <v>61</v>
      </c>
      <c r="B11" t="s">
        <v>66</v>
      </c>
      <c r="C11">
        <v>2000</v>
      </c>
      <c r="D11" t="s">
        <v>67</v>
      </c>
      <c r="E11" t="s">
        <v>904</v>
      </c>
      <c r="F11" t="s">
        <v>69</v>
      </c>
      <c r="H11" t="s">
        <v>474</v>
      </c>
      <c r="I11" t="s">
        <v>71</v>
      </c>
      <c r="J11" t="b">
        <v>0</v>
      </c>
      <c r="K11" t="s">
        <v>905</v>
      </c>
      <c r="L11" t="str">
        <f>_xlfn.XLOOKUP(Transactions[[#This Row],[Account ID]],Accounts[Plaid Account ID],Accounts[Name],"Not Found",0)</f>
        <v>RBC Staff Banking</v>
      </c>
      <c r="M11" t="str">
        <f>_xlfn.XLOOKUP(Transactions[[#This Row],[Account ID]],Accounts[Plaid Account ID],Accounts[Institution Name],"Not Found",0)</f>
        <v>RBC Royal Bank</v>
      </c>
      <c r="N11" t="str">
        <f>IF(Transactions[[#This Row],[Amount]]&lt;0,"credit","debit")</f>
        <v>debit</v>
      </c>
      <c r="O11" t="str" cm="1">
        <f t="array" ref="O1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44664</v>
      </c>
      <c r="Q11" s="3">
        <f>DATE(YEAR(Transactions[[#This Row],[Datetime]]),MONTH(Transactions[[#This Row],[Datetime]]),1)</f>
        <v>44652</v>
      </c>
      <c r="R11" t="b">
        <f ca="1">AND(Transactions[[#This Row],[Datetime]]&gt;=EDATE(MAX(Transactions[Datetime]),-6),Transactions[[#This Row],[Datetime]]&lt;=TODAY())</f>
        <v>0</v>
      </c>
      <c r="S11" s="6">
        <f ca="1">AVERAGEIFS(Transactions[Month''s Total],Transactions[Recent],TRUE,Transactions[Custom Category],Transactions[[#This Row],[Custom Category]])</f>
        <v>14532.989714285719</v>
      </c>
      <c r="T11">
        <f>SUMIFS(Transactions[Amount],Transactions[Month],Transactions[[#This Row],[Month]],Transactions[Custom Category],Transactions[[#This Row],[Custom Category]])</f>
        <v>8446.1299999999992</v>
      </c>
      <c r="U1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1">
        <f>IF(Transactions[[#This Row],[Month]]=Sel_Month,Transactions[[#This Row],[Amount]],0)</f>
        <v>0</v>
      </c>
    </row>
    <row r="12" spans="1:22" x14ac:dyDescent="0.25">
      <c r="A12" t="s">
        <v>61</v>
      </c>
      <c r="B12" t="s">
        <v>66</v>
      </c>
      <c r="C12">
        <v>-2000</v>
      </c>
      <c r="D12" t="s">
        <v>99</v>
      </c>
      <c r="E12" t="s">
        <v>904</v>
      </c>
      <c r="F12" t="s">
        <v>69</v>
      </c>
      <c r="H12" t="s">
        <v>906</v>
      </c>
      <c r="I12" t="s">
        <v>71</v>
      </c>
      <c r="J12" t="b">
        <v>0</v>
      </c>
      <c r="K12" t="s">
        <v>907</v>
      </c>
      <c r="L12" t="str">
        <f>_xlfn.XLOOKUP(Transactions[[#This Row],[Account ID]],Accounts[Plaid Account ID],Accounts[Name],"Not Found",0)</f>
        <v>RBC Staff Banking</v>
      </c>
      <c r="M12" t="str">
        <f>_xlfn.XLOOKUP(Transactions[[#This Row],[Account ID]],Accounts[Plaid Account ID],Accounts[Institution Name],"Not Found",0)</f>
        <v>RBC Royal Bank</v>
      </c>
      <c r="N12" t="str">
        <f>IF(Transactions[[#This Row],[Amount]]&lt;0,"credit","debit")</f>
        <v>credit</v>
      </c>
      <c r="O12" t="str" cm="1">
        <f t="array" ref="O1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44664</v>
      </c>
      <c r="Q12" s="3">
        <f>DATE(YEAR(Transactions[[#This Row],[Datetime]]),MONTH(Transactions[[#This Row],[Datetime]]),1)</f>
        <v>44652</v>
      </c>
      <c r="R12" t="b">
        <f ca="1">AND(Transactions[[#This Row],[Datetime]]&gt;=EDATE(MAX(Transactions[Datetime]),-6),Transactions[[#This Row],[Datetime]]&lt;=TODAY())</f>
        <v>0</v>
      </c>
      <c r="S12" s="6">
        <f ca="1">AVERAGEIFS(Transactions[Month''s Total],Transactions[Recent],TRUE,Transactions[Custom Category],Transactions[[#This Row],[Custom Category]])</f>
        <v>-18125.097037037034</v>
      </c>
      <c r="T12">
        <f>SUMIFS(Transactions[Amount],Transactions[Month],Transactions[[#This Row],[Month]],Transactions[Custom Category],Transactions[[#This Row],[Custom Category]])</f>
        <v>-11741.75</v>
      </c>
      <c r="U12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2">
        <f>IF(Transactions[[#This Row],[Month]]=Sel_Month,Transactions[[#This Row],[Amount]],0)</f>
        <v>0</v>
      </c>
    </row>
    <row r="13" spans="1:22" x14ac:dyDescent="0.25">
      <c r="A13" t="s">
        <v>61</v>
      </c>
      <c r="B13" t="s">
        <v>66</v>
      </c>
      <c r="C13">
        <v>1749</v>
      </c>
      <c r="D13" t="s">
        <v>67</v>
      </c>
      <c r="E13" t="s">
        <v>898</v>
      </c>
      <c r="F13" t="s">
        <v>69</v>
      </c>
      <c r="H13" t="s">
        <v>474</v>
      </c>
      <c r="I13" t="s">
        <v>71</v>
      </c>
      <c r="J13" t="b">
        <v>0</v>
      </c>
      <c r="K13" t="s">
        <v>899</v>
      </c>
      <c r="L13" t="str">
        <f>_xlfn.XLOOKUP(Transactions[[#This Row],[Account ID]],Accounts[Plaid Account ID],Accounts[Name],"Not Found",0)</f>
        <v>RBC Staff Banking</v>
      </c>
      <c r="M13" t="str">
        <f>_xlfn.XLOOKUP(Transactions[[#This Row],[Account ID]],Accounts[Plaid Account ID],Accounts[Institution Name],"Not Found",0)</f>
        <v>RBC Royal Bank</v>
      </c>
      <c r="N13" t="str">
        <f>IF(Transactions[[#This Row],[Amount]]&lt;0,"credit","debit")</f>
        <v>debit</v>
      </c>
      <c r="O13" t="str" cm="1">
        <f t="array" ref="O1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44672</v>
      </c>
      <c r="Q13" s="3">
        <f>DATE(YEAR(Transactions[[#This Row],[Datetime]]),MONTH(Transactions[[#This Row],[Datetime]]),1)</f>
        <v>44652</v>
      </c>
      <c r="R13" t="b">
        <f ca="1">AND(Transactions[[#This Row],[Datetime]]&gt;=EDATE(MAX(Transactions[Datetime]),-6),Transactions[[#This Row],[Datetime]]&lt;=TODAY())</f>
        <v>0</v>
      </c>
      <c r="S13" s="6">
        <f ca="1">AVERAGEIFS(Transactions[Month''s Total],Transactions[Recent],TRUE,Transactions[Custom Category],Transactions[[#This Row],[Custom Category]])</f>
        <v>14532.989714285719</v>
      </c>
      <c r="T13">
        <f>SUMIFS(Transactions[Amount],Transactions[Month],Transactions[[#This Row],[Month]],Transactions[Custom Category],Transactions[[#This Row],[Custom Category]])</f>
        <v>8446.1299999999992</v>
      </c>
      <c r="U1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3">
        <f>IF(Transactions[[#This Row],[Month]]=Sel_Month,Transactions[[#This Row],[Amount]],0)</f>
        <v>0</v>
      </c>
    </row>
    <row r="14" spans="1:22" x14ac:dyDescent="0.25">
      <c r="A14" t="s">
        <v>61</v>
      </c>
      <c r="B14" t="s">
        <v>66</v>
      </c>
      <c r="C14">
        <v>751.45</v>
      </c>
      <c r="D14" t="s">
        <v>67</v>
      </c>
      <c r="E14" t="s">
        <v>898</v>
      </c>
      <c r="F14" t="s">
        <v>69</v>
      </c>
      <c r="H14" t="s">
        <v>900</v>
      </c>
      <c r="I14" t="s">
        <v>71</v>
      </c>
      <c r="J14" t="b">
        <v>0</v>
      </c>
      <c r="K14" t="s">
        <v>901</v>
      </c>
      <c r="L14" t="str">
        <f>_xlfn.XLOOKUP(Transactions[[#This Row],[Account ID]],Accounts[Plaid Account ID],Accounts[Name],"Not Found",0)</f>
        <v>RBC Staff Banking</v>
      </c>
      <c r="M14" t="str">
        <f>_xlfn.XLOOKUP(Transactions[[#This Row],[Account ID]],Accounts[Plaid Account ID],Accounts[Institution Name],"Not Found",0)</f>
        <v>RBC Royal Bank</v>
      </c>
      <c r="N14" t="str">
        <f>IF(Transactions[[#This Row],[Amount]]&lt;0,"credit","debit")</f>
        <v>debit</v>
      </c>
      <c r="O14" t="str" cm="1">
        <f t="array" ref="O1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44672</v>
      </c>
      <c r="Q14" s="3">
        <f>DATE(YEAR(Transactions[[#This Row],[Datetime]]),MONTH(Transactions[[#This Row],[Datetime]]),1)</f>
        <v>44652</v>
      </c>
      <c r="R14" t="b">
        <f ca="1">AND(Transactions[[#This Row],[Datetime]]&gt;=EDATE(MAX(Transactions[Datetime]),-6),Transactions[[#This Row],[Datetime]]&lt;=TODAY())</f>
        <v>0</v>
      </c>
      <c r="S14" s="6">
        <f ca="1">AVERAGEIFS(Transactions[Month''s Total],Transactions[Recent],TRUE,Transactions[Custom Category],Transactions[[#This Row],[Custom Category]])</f>
        <v>12758.461333333335</v>
      </c>
      <c r="T14">
        <f>SUMIFS(Transactions[Amount],Transactions[Month],Transactions[[#This Row],[Month]],Transactions[Custom Category],Transactions[[#This Row],[Custom Category]])</f>
        <v>5295.62</v>
      </c>
      <c r="U1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4">
        <f>IF(Transactions[[#This Row],[Month]]=Sel_Month,Transactions[[#This Row],[Amount]],0)</f>
        <v>0</v>
      </c>
    </row>
    <row r="15" spans="1:22" x14ac:dyDescent="0.25">
      <c r="A15" t="s">
        <v>61</v>
      </c>
      <c r="B15" t="s">
        <v>66</v>
      </c>
      <c r="C15">
        <v>-2538</v>
      </c>
      <c r="D15" t="s">
        <v>149</v>
      </c>
      <c r="E15" t="s">
        <v>898</v>
      </c>
      <c r="F15" t="s">
        <v>69</v>
      </c>
      <c r="H15" t="s">
        <v>902</v>
      </c>
      <c r="I15" t="s">
        <v>71</v>
      </c>
      <c r="J15" t="b">
        <v>0</v>
      </c>
      <c r="K15" t="s">
        <v>903</v>
      </c>
      <c r="L15" t="str">
        <f>_xlfn.XLOOKUP(Transactions[[#This Row],[Account ID]],Accounts[Plaid Account ID],Accounts[Name],"Not Found",0)</f>
        <v>RBC Staff Banking</v>
      </c>
      <c r="M15" t="str">
        <f>_xlfn.XLOOKUP(Transactions[[#This Row],[Account ID]],Accounts[Plaid Account ID],Accounts[Institution Name],"Not Found",0)</f>
        <v>RBC Royal Bank</v>
      </c>
      <c r="N15" t="str">
        <f>IF(Transactions[[#This Row],[Amount]]&lt;0,"credit","debit")</f>
        <v>credit</v>
      </c>
      <c r="O15" t="str" cm="1">
        <f t="array" ref="O1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44672</v>
      </c>
      <c r="Q15" s="3">
        <f>DATE(YEAR(Transactions[[#This Row],[Datetime]]),MONTH(Transactions[[#This Row],[Datetime]]),1)</f>
        <v>44652</v>
      </c>
      <c r="R15" t="b">
        <f ca="1">AND(Transactions[[#This Row],[Datetime]]&gt;=EDATE(MAX(Transactions[Datetime]),-6),Transactions[[#This Row],[Datetime]]&lt;=TODAY())</f>
        <v>0</v>
      </c>
      <c r="S15" s="6">
        <f ca="1">AVERAGEIFS(Transactions[Month''s Total],Transactions[Recent],TRUE,Transactions[Custom Category],Transactions[[#This Row],[Custom Category]])</f>
        <v>-18125.097037037034</v>
      </c>
      <c r="T15">
        <f>SUMIFS(Transactions[Amount],Transactions[Month],Transactions[[#This Row],[Month]],Transactions[Custom Category],Transactions[[#This Row],[Custom Category]])</f>
        <v>-11741.75</v>
      </c>
      <c r="U1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5">
        <f>IF(Transactions[[#This Row],[Month]]=Sel_Month,Transactions[[#This Row],[Amount]],0)</f>
        <v>0</v>
      </c>
    </row>
    <row r="16" spans="1:22" x14ac:dyDescent="0.25">
      <c r="A16" t="s">
        <v>61</v>
      </c>
      <c r="B16" t="s">
        <v>66</v>
      </c>
      <c r="C16">
        <v>2037.55</v>
      </c>
      <c r="D16" t="s">
        <v>67</v>
      </c>
      <c r="E16" t="s">
        <v>894</v>
      </c>
      <c r="F16" t="s">
        <v>69</v>
      </c>
      <c r="H16" t="s">
        <v>474</v>
      </c>
      <c r="I16" t="s">
        <v>71</v>
      </c>
      <c r="J16" t="b">
        <v>0</v>
      </c>
      <c r="K16" t="s">
        <v>895</v>
      </c>
      <c r="L16" t="str">
        <f>_xlfn.XLOOKUP(Transactions[[#This Row],[Account ID]],Accounts[Plaid Account ID],Accounts[Name],"Not Found",0)</f>
        <v>RBC Staff Banking</v>
      </c>
      <c r="M16" t="str">
        <f>_xlfn.XLOOKUP(Transactions[[#This Row],[Account ID]],Accounts[Plaid Account ID],Accounts[Institution Name],"Not Found",0)</f>
        <v>RBC Royal Bank</v>
      </c>
      <c r="N16" t="str">
        <f>IF(Transactions[[#This Row],[Amount]]&lt;0,"credit","debit")</f>
        <v>debit</v>
      </c>
      <c r="O16" t="str" cm="1">
        <f t="array" ref="O1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44679</v>
      </c>
      <c r="Q16" s="3">
        <f>DATE(YEAR(Transactions[[#This Row],[Datetime]]),MONTH(Transactions[[#This Row],[Datetime]]),1)</f>
        <v>44652</v>
      </c>
      <c r="R16" t="b">
        <f ca="1">AND(Transactions[[#This Row],[Datetime]]&gt;=EDATE(MAX(Transactions[Datetime]),-6),Transactions[[#This Row],[Datetime]]&lt;=TODAY())</f>
        <v>0</v>
      </c>
      <c r="S16" s="6">
        <f ca="1">AVERAGEIFS(Transactions[Month''s Total],Transactions[Recent],TRUE,Transactions[Custom Category],Transactions[[#This Row],[Custom Category]])</f>
        <v>14532.989714285719</v>
      </c>
      <c r="T16">
        <f>SUMIFS(Transactions[Amount],Transactions[Month],Transactions[[#This Row],[Month]],Transactions[Custom Category],Transactions[[#This Row],[Custom Category]])</f>
        <v>8446.1299999999992</v>
      </c>
      <c r="U1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6">
        <f>IF(Transactions[[#This Row],[Month]]=Sel_Month,Transactions[[#This Row],[Amount]],0)</f>
        <v>0</v>
      </c>
    </row>
    <row r="17" spans="1:22" x14ac:dyDescent="0.25">
      <c r="A17" t="s">
        <v>61</v>
      </c>
      <c r="B17" t="s">
        <v>66</v>
      </c>
      <c r="C17">
        <v>-2000</v>
      </c>
      <c r="D17" t="s">
        <v>99</v>
      </c>
      <c r="E17" t="s">
        <v>894</v>
      </c>
      <c r="F17" t="s">
        <v>69</v>
      </c>
      <c r="H17" t="s">
        <v>896</v>
      </c>
      <c r="I17" t="s">
        <v>71</v>
      </c>
      <c r="J17" t="b">
        <v>0</v>
      </c>
      <c r="K17" t="s">
        <v>897</v>
      </c>
      <c r="L17" t="str">
        <f>_xlfn.XLOOKUP(Transactions[[#This Row],[Account ID]],Accounts[Plaid Account ID],Accounts[Name],"Not Found",0)</f>
        <v>RBC Staff Banking</v>
      </c>
      <c r="M17" t="str">
        <f>_xlfn.XLOOKUP(Transactions[[#This Row],[Account ID]],Accounts[Plaid Account ID],Accounts[Institution Name],"Not Found",0)</f>
        <v>RBC Royal Bank</v>
      </c>
      <c r="N17" t="str">
        <f>IF(Transactions[[#This Row],[Amount]]&lt;0,"credit","debit")</f>
        <v>credit</v>
      </c>
      <c r="O17" t="str" cm="1">
        <f t="array" ref="O1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44679</v>
      </c>
      <c r="Q17" s="3">
        <f>DATE(YEAR(Transactions[[#This Row],[Datetime]]),MONTH(Transactions[[#This Row],[Datetime]]),1)</f>
        <v>44652</v>
      </c>
      <c r="R17" t="b">
        <f ca="1">AND(Transactions[[#This Row],[Datetime]]&gt;=EDATE(MAX(Transactions[Datetime]),-6),Transactions[[#This Row],[Datetime]]&lt;=TODAY())</f>
        <v>0</v>
      </c>
      <c r="S17" s="6">
        <f ca="1">AVERAGEIFS(Transactions[Month''s Total],Transactions[Recent],TRUE,Transactions[Custom Category],Transactions[[#This Row],[Custom Category]])</f>
        <v>-18125.097037037034</v>
      </c>
      <c r="T17">
        <f>SUMIFS(Transactions[Amount],Transactions[Month],Transactions[[#This Row],[Month]],Transactions[Custom Category],Transactions[[#This Row],[Custom Category]])</f>
        <v>-11741.75</v>
      </c>
      <c r="U1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7">
        <f>IF(Transactions[[#This Row],[Month]]=Sel_Month,Transactions[[#This Row],[Amount]],0)</f>
        <v>0</v>
      </c>
    </row>
    <row r="18" spans="1:22" x14ac:dyDescent="0.25">
      <c r="A18" t="s">
        <v>61</v>
      </c>
      <c r="B18" t="s">
        <v>66</v>
      </c>
      <c r="C18">
        <v>2000</v>
      </c>
      <c r="D18" t="s">
        <v>67</v>
      </c>
      <c r="E18" t="s">
        <v>882</v>
      </c>
      <c r="F18" t="s">
        <v>69</v>
      </c>
      <c r="H18" t="s">
        <v>883</v>
      </c>
      <c r="I18" t="s">
        <v>71</v>
      </c>
      <c r="J18" t="b">
        <v>0</v>
      </c>
      <c r="K18" t="s">
        <v>884</v>
      </c>
      <c r="L18" t="str">
        <f>_xlfn.XLOOKUP(Transactions[[#This Row],[Account ID]],Accounts[Plaid Account ID],Accounts[Name],"Not Found",0)</f>
        <v>RBC Staff Banking</v>
      </c>
      <c r="M18" t="str">
        <f>_xlfn.XLOOKUP(Transactions[[#This Row],[Account ID]],Accounts[Plaid Account ID],Accounts[Institution Name],"Not Found",0)</f>
        <v>RBC Royal Bank</v>
      </c>
      <c r="N18" t="str">
        <f>IF(Transactions[[#This Row],[Amount]]&lt;0,"credit","debit")</f>
        <v>debit</v>
      </c>
      <c r="O18" t="str" cm="1">
        <f t="array" ref="O1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44682</v>
      </c>
      <c r="Q18" s="3">
        <f>DATE(YEAR(Transactions[[#This Row],[Datetime]]),MONTH(Transactions[[#This Row],[Datetime]]),1)</f>
        <v>44682</v>
      </c>
      <c r="R18" t="b">
        <f ca="1">AND(Transactions[[#This Row],[Datetime]]&gt;=EDATE(MAX(Transactions[Datetime]),-6),Transactions[[#This Row],[Datetime]]&lt;=TODAY())</f>
        <v>0</v>
      </c>
      <c r="S18" s="6">
        <f ca="1">AVERAGEIFS(Transactions[Month''s Total],Transactions[Recent],TRUE,Transactions[Custom Category],Transactions[[#This Row],[Custom Category]])</f>
        <v>12758.461333333335</v>
      </c>
      <c r="T18">
        <f>SUMIFS(Transactions[Amount],Transactions[Month],Transactions[[#This Row],[Month]],Transactions[Custom Category],Transactions[[#This Row],[Custom Category]])</f>
        <v>9751.16</v>
      </c>
      <c r="U1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8">
        <f>IF(Transactions[[#This Row],[Month]]=Sel_Month,Transactions[[#This Row],[Amount]],0)</f>
        <v>0</v>
      </c>
    </row>
    <row r="19" spans="1:22" x14ac:dyDescent="0.25">
      <c r="A19" t="s">
        <v>61</v>
      </c>
      <c r="B19" t="s">
        <v>66</v>
      </c>
      <c r="C19">
        <v>2000</v>
      </c>
      <c r="D19" t="s">
        <v>67</v>
      </c>
      <c r="E19" t="s">
        <v>882</v>
      </c>
      <c r="F19" t="s">
        <v>69</v>
      </c>
      <c r="H19" t="s">
        <v>885</v>
      </c>
      <c r="I19" t="s">
        <v>71</v>
      </c>
      <c r="J19" t="b">
        <v>0</v>
      </c>
      <c r="K19" t="s">
        <v>886</v>
      </c>
      <c r="L19" t="str">
        <f>_xlfn.XLOOKUP(Transactions[[#This Row],[Account ID]],Accounts[Plaid Account ID],Accounts[Name],"Not Found",0)</f>
        <v>RBC Staff Banking</v>
      </c>
      <c r="M19" t="str">
        <f>_xlfn.XLOOKUP(Transactions[[#This Row],[Account ID]],Accounts[Plaid Account ID],Accounts[Institution Name],"Not Found",0)</f>
        <v>RBC Royal Bank</v>
      </c>
      <c r="N19" t="str">
        <f>IF(Transactions[[#This Row],[Amount]]&lt;0,"credit","debit")</f>
        <v>debit</v>
      </c>
      <c r="O19" t="str" cm="1">
        <f t="array" ref="O1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44682</v>
      </c>
      <c r="Q19" s="3">
        <f>DATE(YEAR(Transactions[[#This Row],[Datetime]]),MONTH(Transactions[[#This Row],[Datetime]]),1)</f>
        <v>44682</v>
      </c>
      <c r="R19" t="b">
        <f ca="1">AND(Transactions[[#This Row],[Datetime]]&gt;=EDATE(MAX(Transactions[Datetime]),-6),Transactions[[#This Row],[Datetime]]&lt;=TODAY())</f>
        <v>0</v>
      </c>
      <c r="S19" s="6">
        <f ca="1">AVERAGEIFS(Transactions[Month''s Total],Transactions[Recent],TRUE,Transactions[Custom Category],Transactions[[#This Row],[Custom Category]])</f>
        <v>12758.461333333335</v>
      </c>
      <c r="T19">
        <f>SUMIFS(Transactions[Amount],Transactions[Month],Transactions[[#This Row],[Month]],Transactions[Custom Category],Transactions[[#This Row],[Custom Category]])</f>
        <v>9751.16</v>
      </c>
      <c r="U1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9">
        <f>IF(Transactions[[#This Row],[Month]]=Sel_Month,Transactions[[#This Row],[Amount]],0)</f>
        <v>0</v>
      </c>
    </row>
    <row r="20" spans="1:22" x14ac:dyDescent="0.25">
      <c r="A20" t="s">
        <v>61</v>
      </c>
      <c r="B20" t="s">
        <v>66</v>
      </c>
      <c r="C20">
        <v>2000</v>
      </c>
      <c r="D20" t="s">
        <v>67</v>
      </c>
      <c r="E20" t="s">
        <v>882</v>
      </c>
      <c r="F20" t="s">
        <v>69</v>
      </c>
      <c r="H20" t="s">
        <v>720</v>
      </c>
      <c r="I20" t="s">
        <v>71</v>
      </c>
      <c r="J20" t="b">
        <v>0</v>
      </c>
      <c r="K20" t="s">
        <v>887</v>
      </c>
      <c r="L20" t="str">
        <f>_xlfn.XLOOKUP(Transactions[[#This Row],[Account ID]],Accounts[Plaid Account ID],Accounts[Name],"Not Found",0)</f>
        <v>RBC Staff Banking</v>
      </c>
      <c r="M20" t="str">
        <f>_xlfn.XLOOKUP(Transactions[[#This Row],[Account ID]],Accounts[Plaid Account ID],Accounts[Institution Name],"Not Found",0)</f>
        <v>RBC Royal Bank</v>
      </c>
      <c r="N20" t="str">
        <f>IF(Transactions[[#This Row],[Amount]]&lt;0,"credit","debit")</f>
        <v>debit</v>
      </c>
      <c r="O20" t="str" cm="1">
        <f t="array" ref="O2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44682</v>
      </c>
      <c r="Q20" s="3">
        <f>DATE(YEAR(Transactions[[#This Row],[Datetime]]),MONTH(Transactions[[#This Row],[Datetime]]),1)</f>
        <v>44682</v>
      </c>
      <c r="R20" t="b">
        <f ca="1">AND(Transactions[[#This Row],[Datetime]]&gt;=EDATE(MAX(Transactions[Datetime]),-6),Transactions[[#This Row],[Datetime]]&lt;=TODAY())</f>
        <v>0</v>
      </c>
      <c r="S20" s="6">
        <f ca="1">AVERAGEIFS(Transactions[Month''s Total],Transactions[Recent],TRUE,Transactions[Custom Category],Transactions[[#This Row],[Custom Category]])</f>
        <v>14532.989714285719</v>
      </c>
      <c r="T20">
        <f>SUMIFS(Transactions[Amount],Transactions[Month],Transactions[[#This Row],[Month]],Transactions[Custom Category],Transactions[[#This Row],[Custom Category]])</f>
        <v>10743.57</v>
      </c>
      <c r="U2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">
        <f>IF(Transactions[[#This Row],[Month]]=Sel_Month,Transactions[[#This Row],[Amount]],0)</f>
        <v>0</v>
      </c>
    </row>
    <row r="21" spans="1:22" x14ac:dyDescent="0.25">
      <c r="A21" t="s">
        <v>61</v>
      </c>
      <c r="B21" t="s">
        <v>66</v>
      </c>
      <c r="C21">
        <v>-2000</v>
      </c>
      <c r="D21" t="s">
        <v>99</v>
      </c>
      <c r="E21" t="s">
        <v>882</v>
      </c>
      <c r="F21" t="s">
        <v>69</v>
      </c>
      <c r="H21" t="s">
        <v>888</v>
      </c>
      <c r="I21" t="s">
        <v>71</v>
      </c>
      <c r="J21" t="b">
        <v>0</v>
      </c>
      <c r="K21" t="s">
        <v>889</v>
      </c>
      <c r="L21" t="str">
        <f>_xlfn.XLOOKUP(Transactions[[#This Row],[Account ID]],Accounts[Plaid Account ID],Accounts[Name],"Not Found",0)</f>
        <v>RBC Staff Banking</v>
      </c>
      <c r="M21" t="str">
        <f>_xlfn.XLOOKUP(Transactions[[#This Row],[Account ID]],Accounts[Plaid Account ID],Accounts[Institution Name],"Not Found",0)</f>
        <v>RBC Royal Bank</v>
      </c>
      <c r="N21" t="str">
        <f>IF(Transactions[[#This Row],[Amount]]&lt;0,"credit","debit")</f>
        <v>credit</v>
      </c>
      <c r="O21" t="str" cm="1">
        <f t="array" ref="O2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44682</v>
      </c>
      <c r="Q21" s="3">
        <f>DATE(YEAR(Transactions[[#This Row],[Datetime]]),MONTH(Transactions[[#This Row],[Datetime]]),1)</f>
        <v>44682</v>
      </c>
      <c r="R21" t="b">
        <f ca="1">AND(Transactions[[#This Row],[Datetime]]&gt;=EDATE(MAX(Transactions[Datetime]),-6),Transactions[[#This Row],[Datetime]]&lt;=TODAY())</f>
        <v>0</v>
      </c>
      <c r="S21" s="6">
        <f ca="1">AVERAGEIFS(Transactions[Month''s Total],Transactions[Recent],TRUE,Transactions[Custom Category],Transactions[[#This Row],[Custom Category]])</f>
        <v>-18125.097037037034</v>
      </c>
      <c r="T21">
        <f>SUMIFS(Transactions[Amount],Transactions[Month],Transactions[[#This Row],[Month]],Transactions[Custom Category],Transactions[[#This Row],[Custom Category]])</f>
        <v>-20495.73</v>
      </c>
      <c r="U21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1">
        <f>IF(Transactions[[#This Row],[Month]]=Sel_Month,Transactions[[#This Row],[Amount]],0)</f>
        <v>0</v>
      </c>
    </row>
    <row r="22" spans="1:22" x14ac:dyDescent="0.25">
      <c r="A22" t="s">
        <v>61</v>
      </c>
      <c r="B22" t="s">
        <v>66</v>
      </c>
      <c r="C22">
        <v>-2000</v>
      </c>
      <c r="D22" t="s">
        <v>99</v>
      </c>
      <c r="E22" t="s">
        <v>882</v>
      </c>
      <c r="F22" t="s">
        <v>69</v>
      </c>
      <c r="H22" t="s">
        <v>890</v>
      </c>
      <c r="I22" t="s">
        <v>71</v>
      </c>
      <c r="J22" t="b">
        <v>0</v>
      </c>
      <c r="K22" t="s">
        <v>891</v>
      </c>
      <c r="L22" t="str">
        <f>_xlfn.XLOOKUP(Transactions[[#This Row],[Account ID]],Accounts[Plaid Account ID],Accounts[Name],"Not Found",0)</f>
        <v>RBC Staff Banking</v>
      </c>
      <c r="M22" t="str">
        <f>_xlfn.XLOOKUP(Transactions[[#This Row],[Account ID]],Accounts[Plaid Account ID],Accounts[Institution Name],"Not Found",0)</f>
        <v>RBC Royal Bank</v>
      </c>
      <c r="N22" t="str">
        <f>IF(Transactions[[#This Row],[Amount]]&lt;0,"credit","debit")</f>
        <v>credit</v>
      </c>
      <c r="O22" t="str" cm="1">
        <f t="array" ref="O2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44682</v>
      </c>
      <c r="Q22" s="3">
        <f>DATE(YEAR(Transactions[[#This Row],[Datetime]]),MONTH(Transactions[[#This Row],[Datetime]]),1)</f>
        <v>44682</v>
      </c>
      <c r="R22" t="b">
        <f ca="1">AND(Transactions[[#This Row],[Datetime]]&gt;=EDATE(MAX(Transactions[Datetime]),-6),Transactions[[#This Row],[Datetime]]&lt;=TODAY())</f>
        <v>0</v>
      </c>
      <c r="S22" s="6">
        <f ca="1">AVERAGEIFS(Transactions[Month''s Total],Transactions[Recent],TRUE,Transactions[Custom Category],Transactions[[#This Row],[Custom Category]])</f>
        <v>-18125.097037037034</v>
      </c>
      <c r="T22">
        <f>SUMIFS(Transactions[Amount],Transactions[Month],Transactions[[#This Row],[Month]],Transactions[Custom Category],Transactions[[#This Row],[Custom Category]])</f>
        <v>-20495.73</v>
      </c>
      <c r="U22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2">
        <f>IF(Transactions[[#This Row],[Month]]=Sel_Month,Transactions[[#This Row],[Amount]],0)</f>
        <v>0</v>
      </c>
    </row>
    <row r="23" spans="1:22" x14ac:dyDescent="0.25">
      <c r="A23" t="s">
        <v>61</v>
      </c>
      <c r="B23" t="s">
        <v>66</v>
      </c>
      <c r="C23">
        <v>-2000</v>
      </c>
      <c r="D23" t="s">
        <v>99</v>
      </c>
      <c r="E23" t="s">
        <v>882</v>
      </c>
      <c r="F23" t="s">
        <v>69</v>
      </c>
      <c r="H23" t="s">
        <v>892</v>
      </c>
      <c r="I23" t="s">
        <v>71</v>
      </c>
      <c r="J23" t="b">
        <v>0</v>
      </c>
      <c r="K23" t="s">
        <v>893</v>
      </c>
      <c r="L23" t="str">
        <f>_xlfn.XLOOKUP(Transactions[[#This Row],[Account ID]],Accounts[Plaid Account ID],Accounts[Name],"Not Found",0)</f>
        <v>RBC Staff Banking</v>
      </c>
      <c r="M23" t="str">
        <f>_xlfn.XLOOKUP(Transactions[[#This Row],[Account ID]],Accounts[Plaid Account ID],Accounts[Institution Name],"Not Found",0)</f>
        <v>RBC Royal Bank</v>
      </c>
      <c r="N23" t="str">
        <f>IF(Transactions[[#This Row],[Amount]]&lt;0,"credit","debit")</f>
        <v>credit</v>
      </c>
      <c r="O23" t="str" cm="1">
        <f t="array" ref="O2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44682</v>
      </c>
      <c r="Q23" s="3">
        <f>DATE(YEAR(Transactions[[#This Row],[Datetime]]),MONTH(Transactions[[#This Row],[Datetime]]),1)</f>
        <v>44682</v>
      </c>
      <c r="R23" t="b">
        <f ca="1">AND(Transactions[[#This Row],[Datetime]]&gt;=EDATE(MAX(Transactions[Datetime]),-6),Transactions[[#This Row],[Datetime]]&lt;=TODAY())</f>
        <v>0</v>
      </c>
      <c r="S23" s="6">
        <f ca="1">AVERAGEIFS(Transactions[Month''s Total],Transactions[Recent],TRUE,Transactions[Custom Category],Transactions[[#This Row],[Custom Category]])</f>
        <v>-18125.097037037034</v>
      </c>
      <c r="T23">
        <f>SUMIFS(Transactions[Amount],Transactions[Month],Transactions[[#This Row],[Month]],Transactions[Custom Category],Transactions[[#This Row],[Custom Category]])</f>
        <v>-20495.73</v>
      </c>
      <c r="U2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3">
        <f>IF(Transactions[[#This Row],[Month]]=Sel_Month,Transactions[[#This Row],[Amount]],0)</f>
        <v>0</v>
      </c>
    </row>
    <row r="24" spans="1:22" x14ac:dyDescent="0.25">
      <c r="A24" t="s">
        <v>61</v>
      </c>
      <c r="B24" t="s">
        <v>66</v>
      </c>
      <c r="C24">
        <v>1345</v>
      </c>
      <c r="D24" t="s">
        <v>67</v>
      </c>
      <c r="E24" t="s">
        <v>876</v>
      </c>
      <c r="F24" t="s">
        <v>69</v>
      </c>
      <c r="H24" t="s">
        <v>877</v>
      </c>
      <c r="I24" t="s">
        <v>71</v>
      </c>
      <c r="J24" t="b">
        <v>0</v>
      </c>
      <c r="K24" t="s">
        <v>878</v>
      </c>
      <c r="L24" t="str">
        <f>_xlfn.XLOOKUP(Transactions[[#This Row],[Account ID]],Accounts[Plaid Account ID],Accounts[Name],"Not Found",0)</f>
        <v>RBC Staff Banking</v>
      </c>
      <c r="M24" t="str">
        <f>_xlfn.XLOOKUP(Transactions[[#This Row],[Account ID]],Accounts[Plaid Account ID],Accounts[Institution Name],"Not Found",0)</f>
        <v>RBC Royal Bank</v>
      </c>
      <c r="N24" t="str">
        <f>IF(Transactions[[#This Row],[Amount]]&lt;0,"credit","debit")</f>
        <v>debit</v>
      </c>
      <c r="O24" t="str" cm="1">
        <f t="array" ref="O2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44683</v>
      </c>
      <c r="Q24" s="3">
        <f>DATE(YEAR(Transactions[[#This Row],[Datetime]]),MONTH(Transactions[[#This Row],[Datetime]]),1)</f>
        <v>44682</v>
      </c>
      <c r="R24" t="b">
        <f ca="1">AND(Transactions[[#This Row],[Datetime]]&gt;=EDATE(MAX(Transactions[Datetime]),-6),Transactions[[#This Row],[Datetime]]&lt;=TODAY())</f>
        <v>0</v>
      </c>
      <c r="S24" s="6">
        <f ca="1">AVERAGEIFS(Transactions[Month''s Total],Transactions[Recent],TRUE,Transactions[Custom Category],Transactions[[#This Row],[Custom Category]])</f>
        <v>12758.461333333335</v>
      </c>
      <c r="T24">
        <f>SUMIFS(Transactions[Amount],Transactions[Month],Transactions[[#This Row],[Month]],Transactions[Custom Category],Transactions[[#This Row],[Custom Category]])</f>
        <v>9751.16</v>
      </c>
      <c r="U2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4">
        <f>IF(Transactions[[#This Row],[Month]]=Sel_Month,Transactions[[#This Row],[Amount]],0)</f>
        <v>0</v>
      </c>
    </row>
    <row r="25" spans="1:22" x14ac:dyDescent="0.25">
      <c r="A25" t="s">
        <v>61</v>
      </c>
      <c r="B25" t="s">
        <v>66</v>
      </c>
      <c r="C25">
        <v>175.99</v>
      </c>
      <c r="D25" t="s">
        <v>67</v>
      </c>
      <c r="E25" t="s">
        <v>876</v>
      </c>
      <c r="F25" t="s">
        <v>69</v>
      </c>
      <c r="H25" t="s">
        <v>474</v>
      </c>
      <c r="I25" t="s">
        <v>71</v>
      </c>
      <c r="J25" t="b">
        <v>0</v>
      </c>
      <c r="K25" t="s">
        <v>879</v>
      </c>
      <c r="L25" t="str">
        <f>_xlfn.XLOOKUP(Transactions[[#This Row],[Account ID]],Accounts[Plaid Account ID],Accounts[Name],"Not Found",0)</f>
        <v>RBC Staff Banking</v>
      </c>
      <c r="M25" t="str">
        <f>_xlfn.XLOOKUP(Transactions[[#This Row],[Account ID]],Accounts[Plaid Account ID],Accounts[Institution Name],"Not Found",0)</f>
        <v>RBC Royal Bank</v>
      </c>
      <c r="N25" t="str">
        <f>IF(Transactions[[#This Row],[Amount]]&lt;0,"credit","debit")</f>
        <v>debit</v>
      </c>
      <c r="O25" t="str" cm="1">
        <f t="array" ref="O2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44683</v>
      </c>
      <c r="Q25" s="3">
        <f>DATE(YEAR(Transactions[[#This Row],[Datetime]]),MONTH(Transactions[[#This Row],[Datetime]]),1)</f>
        <v>44682</v>
      </c>
      <c r="R25" t="b">
        <f ca="1">AND(Transactions[[#This Row],[Datetime]]&gt;=EDATE(MAX(Transactions[Datetime]),-6),Transactions[[#This Row],[Datetime]]&lt;=TODAY())</f>
        <v>0</v>
      </c>
      <c r="S25" s="6">
        <f ca="1">AVERAGEIFS(Transactions[Month''s Total],Transactions[Recent],TRUE,Transactions[Custom Category],Transactions[[#This Row],[Custom Category]])</f>
        <v>14532.989714285719</v>
      </c>
      <c r="T25">
        <f>SUMIFS(Transactions[Amount],Transactions[Month],Transactions[[#This Row],[Month]],Transactions[Custom Category],Transactions[[#This Row],[Custom Category]])</f>
        <v>10743.57</v>
      </c>
      <c r="U2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5">
        <f>IF(Transactions[[#This Row],[Month]]=Sel_Month,Transactions[[#This Row],[Amount]],0)</f>
        <v>0</v>
      </c>
    </row>
    <row r="26" spans="1:22" x14ac:dyDescent="0.25">
      <c r="A26" t="s">
        <v>61</v>
      </c>
      <c r="B26" t="s">
        <v>66</v>
      </c>
      <c r="C26">
        <v>-1520.99</v>
      </c>
      <c r="D26" t="s">
        <v>99</v>
      </c>
      <c r="E26" t="s">
        <v>876</v>
      </c>
      <c r="F26" t="s">
        <v>69</v>
      </c>
      <c r="H26" t="s">
        <v>880</v>
      </c>
      <c r="I26" t="s">
        <v>71</v>
      </c>
      <c r="J26" t="b">
        <v>0</v>
      </c>
      <c r="K26" t="s">
        <v>881</v>
      </c>
      <c r="L26" t="str">
        <f>_xlfn.XLOOKUP(Transactions[[#This Row],[Account ID]],Accounts[Plaid Account ID],Accounts[Name],"Not Found",0)</f>
        <v>RBC Staff Banking</v>
      </c>
      <c r="M26" t="str">
        <f>_xlfn.XLOOKUP(Transactions[[#This Row],[Account ID]],Accounts[Plaid Account ID],Accounts[Institution Name],"Not Found",0)</f>
        <v>RBC Royal Bank</v>
      </c>
      <c r="N26" t="str">
        <f>IF(Transactions[[#This Row],[Amount]]&lt;0,"credit","debit")</f>
        <v>credit</v>
      </c>
      <c r="O26" t="str" cm="1">
        <f t="array" ref="O2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44683</v>
      </c>
      <c r="Q26" s="3">
        <f>DATE(YEAR(Transactions[[#This Row],[Datetime]]),MONTH(Transactions[[#This Row],[Datetime]]),1)</f>
        <v>44682</v>
      </c>
      <c r="R26" t="b">
        <f ca="1">AND(Transactions[[#This Row],[Datetime]]&gt;=EDATE(MAX(Transactions[Datetime]),-6),Transactions[[#This Row],[Datetime]]&lt;=TODAY())</f>
        <v>0</v>
      </c>
      <c r="S26" s="6">
        <f ca="1">AVERAGEIFS(Transactions[Month''s Total],Transactions[Recent],TRUE,Transactions[Custom Category],Transactions[[#This Row],[Custom Category]])</f>
        <v>-18125.097037037034</v>
      </c>
      <c r="T26">
        <f>SUMIFS(Transactions[Amount],Transactions[Month],Transactions[[#This Row],[Month]],Transactions[Custom Category],Transactions[[#This Row],[Custom Category]])</f>
        <v>-20495.73</v>
      </c>
      <c r="U26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6">
        <f>IF(Transactions[[#This Row],[Month]]=Sel_Month,Transactions[[#This Row],[Amount]],0)</f>
        <v>0</v>
      </c>
    </row>
    <row r="27" spans="1:22" x14ac:dyDescent="0.25">
      <c r="A27" t="s">
        <v>61</v>
      </c>
      <c r="B27" t="s">
        <v>66</v>
      </c>
      <c r="C27">
        <v>1000</v>
      </c>
      <c r="D27" t="s">
        <v>67</v>
      </c>
      <c r="E27" t="s">
        <v>870</v>
      </c>
      <c r="F27" t="s">
        <v>69</v>
      </c>
      <c r="H27" t="s">
        <v>871</v>
      </c>
      <c r="I27" t="s">
        <v>71</v>
      </c>
      <c r="J27" t="b">
        <v>0</v>
      </c>
      <c r="K27" t="s">
        <v>872</v>
      </c>
      <c r="L27" t="str">
        <f>_xlfn.XLOOKUP(Transactions[[#This Row],[Account ID]],Accounts[Plaid Account ID],Accounts[Name],"Not Found",0)</f>
        <v>RBC Staff Banking</v>
      </c>
      <c r="M27" t="str">
        <f>_xlfn.XLOOKUP(Transactions[[#This Row],[Account ID]],Accounts[Plaid Account ID],Accounts[Institution Name],"Not Found",0)</f>
        <v>RBC Royal Bank</v>
      </c>
      <c r="N27" t="str">
        <f>IF(Transactions[[#This Row],[Amount]]&lt;0,"credit","debit")</f>
        <v>debit</v>
      </c>
      <c r="O27" t="str" cm="1">
        <f t="array" ref="O2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44693</v>
      </c>
      <c r="Q27" s="3">
        <f>DATE(YEAR(Transactions[[#This Row],[Datetime]]),MONTH(Transactions[[#This Row],[Datetime]]),1)</f>
        <v>44682</v>
      </c>
      <c r="R27" t="b">
        <f ca="1">AND(Transactions[[#This Row],[Datetime]]&gt;=EDATE(MAX(Transactions[Datetime]),-6),Transactions[[#This Row],[Datetime]]&lt;=TODAY())</f>
        <v>0</v>
      </c>
      <c r="S27" s="6">
        <f ca="1">AVERAGEIFS(Transactions[Month''s Total],Transactions[Recent],TRUE,Transactions[Custom Category],Transactions[[#This Row],[Custom Category]])</f>
        <v>12758.461333333335</v>
      </c>
      <c r="T27">
        <f>SUMIFS(Transactions[Amount],Transactions[Month],Transactions[[#This Row],[Month]],Transactions[Custom Category],Transactions[[#This Row],[Custom Category]])</f>
        <v>9751.16</v>
      </c>
      <c r="U2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7">
        <f>IF(Transactions[[#This Row],[Month]]=Sel_Month,Transactions[[#This Row],[Amount]],0)</f>
        <v>0</v>
      </c>
    </row>
    <row r="28" spans="1:22" x14ac:dyDescent="0.25">
      <c r="A28" t="s">
        <v>61</v>
      </c>
      <c r="B28" t="s">
        <v>66</v>
      </c>
      <c r="C28">
        <v>1000</v>
      </c>
      <c r="D28" t="s">
        <v>67</v>
      </c>
      <c r="E28" t="s">
        <v>870</v>
      </c>
      <c r="F28" t="s">
        <v>69</v>
      </c>
      <c r="H28" t="s">
        <v>720</v>
      </c>
      <c r="I28" t="s">
        <v>71</v>
      </c>
      <c r="J28" t="b">
        <v>0</v>
      </c>
      <c r="K28" t="s">
        <v>873</v>
      </c>
      <c r="L28" t="str">
        <f>_xlfn.XLOOKUP(Transactions[[#This Row],[Account ID]],Accounts[Plaid Account ID],Accounts[Name],"Not Found",0)</f>
        <v>RBC Staff Banking</v>
      </c>
      <c r="M28" t="str">
        <f>_xlfn.XLOOKUP(Transactions[[#This Row],[Account ID]],Accounts[Plaid Account ID],Accounts[Institution Name],"Not Found",0)</f>
        <v>RBC Royal Bank</v>
      </c>
      <c r="N28" t="str">
        <f>IF(Transactions[[#This Row],[Amount]]&lt;0,"credit","debit")</f>
        <v>debit</v>
      </c>
      <c r="O28" t="str" cm="1">
        <f t="array" ref="O2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44693</v>
      </c>
      <c r="Q28" s="3">
        <f>DATE(YEAR(Transactions[[#This Row],[Datetime]]),MONTH(Transactions[[#This Row],[Datetime]]),1)</f>
        <v>44682</v>
      </c>
      <c r="R28" t="b">
        <f ca="1">AND(Transactions[[#This Row],[Datetime]]&gt;=EDATE(MAX(Transactions[Datetime]),-6),Transactions[[#This Row],[Datetime]]&lt;=TODAY())</f>
        <v>0</v>
      </c>
      <c r="S28" s="6">
        <f ca="1">AVERAGEIFS(Transactions[Month''s Total],Transactions[Recent],TRUE,Transactions[Custom Category],Transactions[[#This Row],[Custom Category]])</f>
        <v>14532.989714285719</v>
      </c>
      <c r="T28">
        <f>SUMIFS(Transactions[Amount],Transactions[Month],Transactions[[#This Row],[Month]],Transactions[Custom Category],Transactions[[#This Row],[Custom Category]])</f>
        <v>10743.57</v>
      </c>
      <c r="U2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8">
        <f>IF(Transactions[[#This Row],[Month]]=Sel_Month,Transactions[[#This Row],[Amount]],0)</f>
        <v>0</v>
      </c>
    </row>
    <row r="29" spans="1:22" x14ac:dyDescent="0.25">
      <c r="A29" t="s">
        <v>61</v>
      </c>
      <c r="B29" t="s">
        <v>66</v>
      </c>
      <c r="C29">
        <v>-2000</v>
      </c>
      <c r="D29" t="s">
        <v>99</v>
      </c>
      <c r="E29" t="s">
        <v>870</v>
      </c>
      <c r="F29" t="s">
        <v>69</v>
      </c>
      <c r="H29" t="s">
        <v>874</v>
      </c>
      <c r="I29" t="s">
        <v>71</v>
      </c>
      <c r="J29" t="b">
        <v>0</v>
      </c>
      <c r="K29" t="s">
        <v>875</v>
      </c>
      <c r="L29" t="str">
        <f>_xlfn.XLOOKUP(Transactions[[#This Row],[Account ID]],Accounts[Plaid Account ID],Accounts[Name],"Not Found",0)</f>
        <v>RBC Staff Banking</v>
      </c>
      <c r="M29" t="str">
        <f>_xlfn.XLOOKUP(Transactions[[#This Row],[Account ID]],Accounts[Plaid Account ID],Accounts[Institution Name],"Not Found",0)</f>
        <v>RBC Royal Bank</v>
      </c>
      <c r="N29" t="str">
        <f>IF(Transactions[[#This Row],[Amount]]&lt;0,"credit","debit")</f>
        <v>credit</v>
      </c>
      <c r="O29" t="str" cm="1">
        <f t="array" ref="O2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44693</v>
      </c>
      <c r="Q29" s="3">
        <f>DATE(YEAR(Transactions[[#This Row],[Datetime]]),MONTH(Transactions[[#This Row],[Datetime]]),1)</f>
        <v>44682</v>
      </c>
      <c r="R29" t="b">
        <f ca="1">AND(Transactions[[#This Row],[Datetime]]&gt;=EDATE(MAX(Transactions[Datetime]),-6),Transactions[[#This Row],[Datetime]]&lt;=TODAY())</f>
        <v>0</v>
      </c>
      <c r="S29" s="6">
        <f ca="1">AVERAGEIFS(Transactions[Month''s Total],Transactions[Recent],TRUE,Transactions[Custom Category],Transactions[[#This Row],[Custom Category]])</f>
        <v>-18125.097037037034</v>
      </c>
      <c r="T29">
        <f>SUMIFS(Transactions[Amount],Transactions[Month],Transactions[[#This Row],[Month]],Transactions[Custom Category],Transactions[[#This Row],[Custom Category]])</f>
        <v>-20495.73</v>
      </c>
      <c r="U29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9">
        <f>IF(Transactions[[#This Row],[Month]]=Sel_Month,Transactions[[#This Row],[Amount]],0)</f>
        <v>0</v>
      </c>
    </row>
    <row r="30" spans="1:22" x14ac:dyDescent="0.25">
      <c r="A30" t="s">
        <v>61</v>
      </c>
      <c r="B30" t="s">
        <v>66</v>
      </c>
      <c r="C30">
        <v>1100</v>
      </c>
      <c r="D30" t="s">
        <v>67</v>
      </c>
      <c r="E30" t="s">
        <v>861</v>
      </c>
      <c r="F30" t="s">
        <v>69</v>
      </c>
      <c r="H30" t="s">
        <v>862</v>
      </c>
      <c r="I30" t="s">
        <v>71</v>
      </c>
      <c r="J30" t="b">
        <v>0</v>
      </c>
      <c r="K30" t="s">
        <v>863</v>
      </c>
      <c r="L30" t="str">
        <f>_xlfn.XLOOKUP(Transactions[[#This Row],[Account ID]],Accounts[Plaid Account ID],Accounts[Name],"Not Found",0)</f>
        <v>RBC Staff Banking</v>
      </c>
      <c r="M30" t="str">
        <f>_xlfn.XLOOKUP(Transactions[[#This Row],[Account ID]],Accounts[Plaid Account ID],Accounts[Institution Name],"Not Found",0)</f>
        <v>RBC Royal Bank</v>
      </c>
      <c r="N30" t="str">
        <f>IF(Transactions[[#This Row],[Amount]]&lt;0,"credit","debit")</f>
        <v>debit</v>
      </c>
      <c r="O30" t="str" cm="1">
        <f t="array" ref="O3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44696</v>
      </c>
      <c r="Q30" s="3">
        <f>DATE(YEAR(Transactions[[#This Row],[Datetime]]),MONTH(Transactions[[#This Row],[Datetime]]),1)</f>
        <v>44682</v>
      </c>
      <c r="R30" t="b">
        <f ca="1">AND(Transactions[[#This Row],[Datetime]]&gt;=EDATE(MAX(Transactions[Datetime]),-6),Transactions[[#This Row],[Datetime]]&lt;=TODAY())</f>
        <v>0</v>
      </c>
      <c r="S30" s="6">
        <f ca="1">AVERAGEIFS(Transactions[Month''s Total],Transactions[Recent],TRUE,Transactions[Custom Category],Transactions[[#This Row],[Custom Category]])</f>
        <v>12758.461333333335</v>
      </c>
      <c r="T30">
        <f>SUMIFS(Transactions[Amount],Transactions[Month],Transactions[[#This Row],[Month]],Transactions[Custom Category],Transactions[[#This Row],[Custom Category]])</f>
        <v>9751.16</v>
      </c>
      <c r="U3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0">
        <f>IF(Transactions[[#This Row],[Month]]=Sel_Month,Transactions[[#This Row],[Amount]],0)</f>
        <v>0</v>
      </c>
    </row>
    <row r="31" spans="1:22" x14ac:dyDescent="0.25">
      <c r="A31" t="s">
        <v>61</v>
      </c>
      <c r="B31" t="s">
        <v>66</v>
      </c>
      <c r="C31">
        <v>1758</v>
      </c>
      <c r="D31" t="s">
        <v>67</v>
      </c>
      <c r="E31" t="s">
        <v>861</v>
      </c>
      <c r="F31" t="s">
        <v>69</v>
      </c>
      <c r="H31" t="s">
        <v>474</v>
      </c>
      <c r="I31" t="s">
        <v>71</v>
      </c>
      <c r="J31" t="b">
        <v>0</v>
      </c>
      <c r="K31" t="s">
        <v>864</v>
      </c>
      <c r="L31" t="str">
        <f>_xlfn.XLOOKUP(Transactions[[#This Row],[Account ID]],Accounts[Plaid Account ID],Accounts[Name],"Not Found",0)</f>
        <v>RBC Staff Banking</v>
      </c>
      <c r="M31" t="str">
        <f>_xlfn.XLOOKUP(Transactions[[#This Row],[Account ID]],Accounts[Plaid Account ID],Accounts[Institution Name],"Not Found",0)</f>
        <v>RBC Royal Bank</v>
      </c>
      <c r="N31" t="str">
        <f>IF(Transactions[[#This Row],[Amount]]&lt;0,"credit","debit")</f>
        <v>debit</v>
      </c>
      <c r="O31" t="str" cm="1">
        <f t="array" ref="O3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44696</v>
      </c>
      <c r="Q31" s="3">
        <f>DATE(YEAR(Transactions[[#This Row],[Datetime]]),MONTH(Transactions[[#This Row],[Datetime]]),1)</f>
        <v>44682</v>
      </c>
      <c r="R31" t="b">
        <f ca="1">AND(Transactions[[#This Row],[Datetime]]&gt;=EDATE(MAX(Transactions[Datetime]),-6),Transactions[[#This Row],[Datetime]]&lt;=TODAY())</f>
        <v>0</v>
      </c>
      <c r="S31" s="6">
        <f ca="1">AVERAGEIFS(Transactions[Month''s Total],Transactions[Recent],TRUE,Transactions[Custom Category],Transactions[[#This Row],[Custom Category]])</f>
        <v>14532.989714285719</v>
      </c>
      <c r="T31">
        <f>SUMIFS(Transactions[Amount],Transactions[Month],Transactions[[#This Row],[Month]],Transactions[Custom Category],Transactions[[#This Row],[Custom Category]])</f>
        <v>10743.57</v>
      </c>
      <c r="U3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1">
        <f>IF(Transactions[[#This Row],[Month]]=Sel_Month,Transactions[[#This Row],[Amount]],0)</f>
        <v>0</v>
      </c>
    </row>
    <row r="32" spans="1:22" x14ac:dyDescent="0.25">
      <c r="A32" t="s">
        <v>61</v>
      </c>
      <c r="B32" t="s">
        <v>66</v>
      </c>
      <c r="C32">
        <v>900</v>
      </c>
      <c r="D32" t="s">
        <v>67</v>
      </c>
      <c r="E32" t="s">
        <v>861</v>
      </c>
      <c r="F32" t="s">
        <v>69</v>
      </c>
      <c r="H32" t="s">
        <v>474</v>
      </c>
      <c r="I32" t="s">
        <v>71</v>
      </c>
      <c r="J32" t="b">
        <v>0</v>
      </c>
      <c r="K32" t="s">
        <v>865</v>
      </c>
      <c r="L32" t="str">
        <f>_xlfn.XLOOKUP(Transactions[[#This Row],[Account ID]],Accounts[Plaid Account ID],Accounts[Name],"Not Found",0)</f>
        <v>RBC Staff Banking</v>
      </c>
      <c r="M32" t="str">
        <f>_xlfn.XLOOKUP(Transactions[[#This Row],[Account ID]],Accounts[Plaid Account ID],Accounts[Institution Name],"Not Found",0)</f>
        <v>RBC Royal Bank</v>
      </c>
      <c r="N32" t="str">
        <f>IF(Transactions[[#This Row],[Amount]]&lt;0,"credit","debit")</f>
        <v>debit</v>
      </c>
      <c r="O32" t="str" cm="1">
        <f t="array" ref="O3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44696</v>
      </c>
      <c r="Q32" s="3">
        <f>DATE(YEAR(Transactions[[#This Row],[Datetime]]),MONTH(Transactions[[#This Row],[Datetime]]),1)</f>
        <v>44682</v>
      </c>
      <c r="R32" t="b">
        <f ca="1">AND(Transactions[[#This Row],[Datetime]]&gt;=EDATE(MAX(Transactions[Datetime]),-6),Transactions[[#This Row],[Datetime]]&lt;=TODAY())</f>
        <v>0</v>
      </c>
      <c r="S32" s="6">
        <f ca="1">AVERAGEIFS(Transactions[Month''s Total],Transactions[Recent],TRUE,Transactions[Custom Category],Transactions[[#This Row],[Custom Category]])</f>
        <v>14532.989714285719</v>
      </c>
      <c r="T32">
        <f>SUMIFS(Transactions[Amount],Transactions[Month],Transactions[[#This Row],[Month]],Transactions[Custom Category],Transactions[[#This Row],[Custom Category]])</f>
        <v>10743.57</v>
      </c>
      <c r="U3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2">
        <f>IF(Transactions[[#This Row],[Month]]=Sel_Month,Transactions[[#This Row],[Amount]],0)</f>
        <v>0</v>
      </c>
    </row>
    <row r="33" spans="1:22" x14ac:dyDescent="0.25">
      <c r="A33" t="s">
        <v>61</v>
      </c>
      <c r="B33" t="s">
        <v>66</v>
      </c>
      <c r="C33">
        <v>-2000</v>
      </c>
      <c r="D33" t="s">
        <v>99</v>
      </c>
      <c r="E33" t="s">
        <v>861</v>
      </c>
      <c r="F33" t="s">
        <v>69</v>
      </c>
      <c r="H33" t="s">
        <v>866</v>
      </c>
      <c r="I33" t="s">
        <v>71</v>
      </c>
      <c r="J33" t="b">
        <v>0</v>
      </c>
      <c r="K33" t="s">
        <v>867</v>
      </c>
      <c r="L33" t="str">
        <f>_xlfn.XLOOKUP(Transactions[[#This Row],[Account ID]],Accounts[Plaid Account ID],Accounts[Name],"Not Found",0)</f>
        <v>RBC Staff Banking</v>
      </c>
      <c r="M33" t="str">
        <f>_xlfn.XLOOKUP(Transactions[[#This Row],[Account ID]],Accounts[Plaid Account ID],Accounts[Institution Name],"Not Found",0)</f>
        <v>RBC Royal Bank</v>
      </c>
      <c r="N33" t="str">
        <f>IF(Transactions[[#This Row],[Amount]]&lt;0,"credit","debit")</f>
        <v>credit</v>
      </c>
      <c r="O33" t="str" cm="1">
        <f t="array" ref="O3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44696</v>
      </c>
      <c r="Q33" s="3">
        <f>DATE(YEAR(Transactions[[#This Row],[Datetime]]),MONTH(Transactions[[#This Row],[Datetime]]),1)</f>
        <v>44682</v>
      </c>
      <c r="R33" t="b">
        <f ca="1">AND(Transactions[[#This Row],[Datetime]]&gt;=EDATE(MAX(Transactions[Datetime]),-6),Transactions[[#This Row],[Datetime]]&lt;=TODAY())</f>
        <v>0</v>
      </c>
      <c r="S33" s="6">
        <f ca="1">AVERAGEIFS(Transactions[Month''s Total],Transactions[Recent],TRUE,Transactions[Custom Category],Transactions[[#This Row],[Custom Category]])</f>
        <v>-18125.097037037034</v>
      </c>
      <c r="T33">
        <f>SUMIFS(Transactions[Amount],Transactions[Month],Transactions[[#This Row],[Month]],Transactions[Custom Category],Transactions[[#This Row],[Custom Category]])</f>
        <v>-20495.73</v>
      </c>
      <c r="U3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3">
        <f>IF(Transactions[[#This Row],[Month]]=Sel_Month,Transactions[[#This Row],[Amount]],0)</f>
        <v>0</v>
      </c>
    </row>
    <row r="34" spans="1:22" x14ac:dyDescent="0.25">
      <c r="A34" t="s">
        <v>61</v>
      </c>
      <c r="B34" t="s">
        <v>66</v>
      </c>
      <c r="C34">
        <v>-1758</v>
      </c>
      <c r="D34" t="s">
        <v>99</v>
      </c>
      <c r="E34" t="s">
        <v>861</v>
      </c>
      <c r="F34" t="s">
        <v>69</v>
      </c>
      <c r="H34" t="s">
        <v>868</v>
      </c>
      <c r="I34" t="s">
        <v>71</v>
      </c>
      <c r="J34" t="b">
        <v>0</v>
      </c>
      <c r="K34" t="s">
        <v>869</v>
      </c>
      <c r="L34" t="str">
        <f>_xlfn.XLOOKUP(Transactions[[#This Row],[Account ID]],Accounts[Plaid Account ID],Accounts[Name],"Not Found",0)</f>
        <v>RBC Staff Banking</v>
      </c>
      <c r="M34" t="str">
        <f>_xlfn.XLOOKUP(Transactions[[#This Row],[Account ID]],Accounts[Plaid Account ID],Accounts[Institution Name],"Not Found",0)</f>
        <v>RBC Royal Bank</v>
      </c>
      <c r="N34" t="str">
        <f>IF(Transactions[[#This Row],[Amount]]&lt;0,"credit","debit")</f>
        <v>credit</v>
      </c>
      <c r="O34" t="str" cm="1">
        <f t="array" ref="O3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44696</v>
      </c>
      <c r="Q34" s="3">
        <f>DATE(YEAR(Transactions[[#This Row],[Datetime]]),MONTH(Transactions[[#This Row],[Datetime]]),1)</f>
        <v>44682</v>
      </c>
      <c r="R34" t="b">
        <f ca="1">AND(Transactions[[#This Row],[Datetime]]&gt;=EDATE(MAX(Transactions[Datetime]),-6),Transactions[[#This Row],[Datetime]]&lt;=TODAY())</f>
        <v>0</v>
      </c>
      <c r="S34" s="6">
        <f ca="1">AVERAGEIFS(Transactions[Month''s Total],Transactions[Recent],TRUE,Transactions[Custom Category],Transactions[[#This Row],[Custom Category]])</f>
        <v>-18125.097037037034</v>
      </c>
      <c r="T34">
        <f>SUMIFS(Transactions[Amount],Transactions[Month],Transactions[[#This Row],[Month]],Transactions[Custom Category],Transactions[[#This Row],[Custom Category]])</f>
        <v>-20495.73</v>
      </c>
      <c r="U34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4">
        <f>IF(Transactions[[#This Row],[Month]]=Sel_Month,Transactions[[#This Row],[Amount]],0)</f>
        <v>0</v>
      </c>
    </row>
    <row r="35" spans="1:22" x14ac:dyDescent="0.25">
      <c r="A35" t="s">
        <v>61</v>
      </c>
      <c r="B35" t="s">
        <v>66</v>
      </c>
      <c r="C35">
        <v>2000</v>
      </c>
      <c r="D35" t="s">
        <v>67</v>
      </c>
      <c r="E35" t="s">
        <v>856</v>
      </c>
      <c r="F35" t="s">
        <v>69</v>
      </c>
      <c r="H35" t="s">
        <v>857</v>
      </c>
      <c r="I35" t="s">
        <v>71</v>
      </c>
      <c r="J35" t="b">
        <v>0</v>
      </c>
      <c r="K35" t="s">
        <v>858</v>
      </c>
      <c r="L35" t="str">
        <f>_xlfn.XLOOKUP(Transactions[[#This Row],[Account ID]],Accounts[Plaid Account ID],Accounts[Name],"Not Found",0)</f>
        <v>RBC Staff Banking</v>
      </c>
      <c r="M35" t="str">
        <f>_xlfn.XLOOKUP(Transactions[[#This Row],[Account ID]],Accounts[Plaid Account ID],Accounts[Institution Name],"Not Found",0)</f>
        <v>RBC Royal Bank</v>
      </c>
      <c r="N35" t="str">
        <f>IF(Transactions[[#This Row],[Amount]]&lt;0,"credit","debit")</f>
        <v>debit</v>
      </c>
      <c r="O35" t="str" cm="1">
        <f t="array" ref="O3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44707</v>
      </c>
      <c r="Q35" s="3">
        <f>DATE(YEAR(Transactions[[#This Row],[Datetime]]),MONTH(Transactions[[#This Row],[Datetime]]),1)</f>
        <v>44682</v>
      </c>
      <c r="R35" t="b">
        <f ca="1">AND(Transactions[[#This Row],[Datetime]]&gt;=EDATE(MAX(Transactions[Datetime]),-6),Transactions[[#This Row],[Datetime]]&lt;=TODAY())</f>
        <v>0</v>
      </c>
      <c r="S35" s="6">
        <f ca="1">AVERAGEIFS(Transactions[Month''s Total],Transactions[Recent],TRUE,Transactions[Custom Category],Transactions[[#This Row],[Custom Category]])</f>
        <v>12758.461333333335</v>
      </c>
      <c r="T35">
        <f>SUMIFS(Transactions[Amount],Transactions[Month],Transactions[[#This Row],[Month]],Transactions[Custom Category],Transactions[[#This Row],[Custom Category]])</f>
        <v>9751.16</v>
      </c>
      <c r="U3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5">
        <f>IF(Transactions[[#This Row],[Month]]=Sel_Month,Transactions[[#This Row],[Amount]],0)</f>
        <v>0</v>
      </c>
    </row>
    <row r="36" spans="1:22" x14ac:dyDescent="0.25">
      <c r="A36" t="s">
        <v>61</v>
      </c>
      <c r="B36" t="s">
        <v>66</v>
      </c>
      <c r="C36">
        <v>-2000</v>
      </c>
      <c r="D36" t="s">
        <v>99</v>
      </c>
      <c r="E36" t="s">
        <v>856</v>
      </c>
      <c r="F36" t="s">
        <v>69</v>
      </c>
      <c r="H36" t="s">
        <v>859</v>
      </c>
      <c r="I36" t="s">
        <v>71</v>
      </c>
      <c r="J36" t="b">
        <v>0</v>
      </c>
      <c r="K36" t="s">
        <v>860</v>
      </c>
      <c r="L36" t="str">
        <f>_xlfn.XLOOKUP(Transactions[[#This Row],[Account ID]],Accounts[Plaid Account ID],Accounts[Name],"Not Found",0)</f>
        <v>RBC Staff Banking</v>
      </c>
      <c r="M36" t="str">
        <f>_xlfn.XLOOKUP(Transactions[[#This Row],[Account ID]],Accounts[Plaid Account ID],Accounts[Institution Name],"Not Found",0)</f>
        <v>RBC Royal Bank</v>
      </c>
      <c r="N36" t="str">
        <f>IF(Transactions[[#This Row],[Amount]]&lt;0,"credit","debit")</f>
        <v>credit</v>
      </c>
      <c r="O36" t="str" cm="1">
        <f t="array" ref="O3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44707</v>
      </c>
      <c r="Q36" s="3">
        <f>DATE(YEAR(Transactions[[#This Row],[Datetime]]),MONTH(Transactions[[#This Row],[Datetime]]),1)</f>
        <v>44682</v>
      </c>
      <c r="R36" t="b">
        <f ca="1">AND(Transactions[[#This Row],[Datetime]]&gt;=EDATE(MAX(Transactions[Datetime]),-6),Transactions[[#This Row],[Datetime]]&lt;=TODAY())</f>
        <v>0</v>
      </c>
      <c r="S36" s="6">
        <f ca="1">AVERAGEIFS(Transactions[Month''s Total],Transactions[Recent],TRUE,Transactions[Custom Category],Transactions[[#This Row],[Custom Category]])</f>
        <v>-18125.097037037034</v>
      </c>
      <c r="T36">
        <f>SUMIFS(Transactions[Amount],Transactions[Month],Transactions[[#This Row],[Month]],Transactions[Custom Category],Transactions[[#This Row],[Custom Category]])</f>
        <v>-20495.73</v>
      </c>
      <c r="U36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6">
        <f>IF(Transactions[[#This Row],[Month]]=Sel_Month,Transactions[[#This Row],[Amount]],0)</f>
        <v>0</v>
      </c>
    </row>
    <row r="37" spans="1:22" x14ac:dyDescent="0.25">
      <c r="A37" t="s">
        <v>61</v>
      </c>
      <c r="B37" t="s">
        <v>66</v>
      </c>
      <c r="C37">
        <v>294.16000000000003</v>
      </c>
      <c r="D37" t="s">
        <v>67</v>
      </c>
      <c r="E37" t="s">
        <v>845</v>
      </c>
      <c r="F37" t="s">
        <v>69</v>
      </c>
      <c r="H37" t="s">
        <v>667</v>
      </c>
      <c r="I37" t="s">
        <v>71</v>
      </c>
      <c r="J37" t="b">
        <v>0</v>
      </c>
      <c r="K37" t="s">
        <v>846</v>
      </c>
      <c r="L37" t="str">
        <f>_xlfn.XLOOKUP(Transactions[[#This Row],[Account ID]],Accounts[Plaid Account ID],Accounts[Name],"Not Found",0)</f>
        <v>RBC Staff Banking</v>
      </c>
      <c r="M37" t="str">
        <f>_xlfn.XLOOKUP(Transactions[[#This Row],[Account ID]],Accounts[Plaid Account ID],Accounts[Institution Name],"Not Found",0)</f>
        <v>RBC Royal Bank</v>
      </c>
      <c r="N37" t="str">
        <f>IF(Transactions[[#This Row],[Amount]]&lt;0,"credit","debit")</f>
        <v>debit</v>
      </c>
      <c r="O37" t="str" cm="1">
        <f t="array" ref="O3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44710</v>
      </c>
      <c r="Q37" s="3">
        <f>DATE(YEAR(Transactions[[#This Row],[Datetime]]),MONTH(Transactions[[#This Row],[Datetime]]),1)</f>
        <v>44682</v>
      </c>
      <c r="R37" t="b">
        <f ca="1">AND(Transactions[[#This Row],[Datetime]]&gt;=EDATE(MAX(Transactions[Datetime]),-6),Transactions[[#This Row],[Datetime]]&lt;=TODAY())</f>
        <v>0</v>
      </c>
      <c r="S37" s="6">
        <f ca="1">AVERAGEIFS(Transactions[Month''s Total],Transactions[Recent],TRUE,Transactions[Custom Category],Transactions[[#This Row],[Custom Category]])</f>
        <v>12758.461333333335</v>
      </c>
      <c r="T37">
        <f>SUMIFS(Transactions[Amount],Transactions[Month],Transactions[[#This Row],[Month]],Transactions[Custom Category],Transactions[[#This Row],[Custom Category]])</f>
        <v>9751.16</v>
      </c>
      <c r="U3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7">
        <f>IF(Transactions[[#This Row],[Month]]=Sel_Month,Transactions[[#This Row],[Amount]],0)</f>
        <v>0</v>
      </c>
    </row>
    <row r="38" spans="1:22" x14ac:dyDescent="0.25">
      <c r="A38" t="s">
        <v>61</v>
      </c>
      <c r="B38" t="s">
        <v>66</v>
      </c>
      <c r="C38">
        <v>2000</v>
      </c>
      <c r="D38" t="s">
        <v>67</v>
      </c>
      <c r="E38" t="s">
        <v>845</v>
      </c>
      <c r="F38" t="s">
        <v>69</v>
      </c>
      <c r="H38" t="s">
        <v>474</v>
      </c>
      <c r="I38" t="s">
        <v>71</v>
      </c>
      <c r="J38" t="b">
        <v>0</v>
      </c>
      <c r="K38" t="s">
        <v>847</v>
      </c>
      <c r="L38" t="str">
        <f>_xlfn.XLOOKUP(Transactions[[#This Row],[Account ID]],Accounts[Plaid Account ID],Accounts[Name],"Not Found",0)</f>
        <v>RBC Staff Banking</v>
      </c>
      <c r="M38" t="str">
        <f>_xlfn.XLOOKUP(Transactions[[#This Row],[Account ID]],Accounts[Plaid Account ID],Accounts[Institution Name],"Not Found",0)</f>
        <v>RBC Royal Bank</v>
      </c>
      <c r="N38" t="str">
        <f>IF(Transactions[[#This Row],[Amount]]&lt;0,"credit","debit")</f>
        <v>debit</v>
      </c>
      <c r="O38" t="str" cm="1">
        <f t="array" ref="O3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44710</v>
      </c>
      <c r="Q38" s="3">
        <f>DATE(YEAR(Transactions[[#This Row],[Datetime]]),MONTH(Transactions[[#This Row],[Datetime]]),1)</f>
        <v>44682</v>
      </c>
      <c r="R38" t="b">
        <f ca="1">AND(Transactions[[#This Row],[Datetime]]&gt;=EDATE(MAX(Transactions[Datetime]),-6),Transactions[[#This Row],[Datetime]]&lt;=TODAY())</f>
        <v>0</v>
      </c>
      <c r="S38" s="6">
        <f ca="1">AVERAGEIFS(Transactions[Month''s Total],Transactions[Recent],TRUE,Transactions[Custom Category],Transactions[[#This Row],[Custom Category]])</f>
        <v>14532.989714285719</v>
      </c>
      <c r="T38">
        <f>SUMIFS(Transactions[Amount],Transactions[Month],Transactions[[#This Row],[Month]],Transactions[Custom Category],Transactions[[#This Row],[Custom Category]])</f>
        <v>10743.57</v>
      </c>
      <c r="U3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8">
        <f>IF(Transactions[[#This Row],[Month]]=Sel_Month,Transactions[[#This Row],[Amount]],0)</f>
        <v>0</v>
      </c>
    </row>
    <row r="39" spans="1:22" x14ac:dyDescent="0.25">
      <c r="A39" t="s">
        <v>61</v>
      </c>
      <c r="B39" t="s">
        <v>66</v>
      </c>
      <c r="C39">
        <v>1705.84</v>
      </c>
      <c r="D39" t="s">
        <v>67</v>
      </c>
      <c r="E39" t="s">
        <v>845</v>
      </c>
      <c r="F39" t="s">
        <v>69</v>
      </c>
      <c r="H39" t="s">
        <v>474</v>
      </c>
      <c r="I39" t="s">
        <v>71</v>
      </c>
      <c r="J39" t="b">
        <v>0</v>
      </c>
      <c r="K39" t="s">
        <v>848</v>
      </c>
      <c r="L39" t="str">
        <f>_xlfn.XLOOKUP(Transactions[[#This Row],[Account ID]],Accounts[Plaid Account ID],Accounts[Name],"Not Found",0)</f>
        <v>RBC Staff Banking</v>
      </c>
      <c r="M39" t="str">
        <f>_xlfn.XLOOKUP(Transactions[[#This Row],[Account ID]],Accounts[Plaid Account ID],Accounts[Institution Name],"Not Found",0)</f>
        <v>RBC Royal Bank</v>
      </c>
      <c r="N39" t="str">
        <f>IF(Transactions[[#This Row],[Amount]]&lt;0,"credit","debit")</f>
        <v>debit</v>
      </c>
      <c r="O39" t="str" cm="1">
        <f t="array" ref="O3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44710</v>
      </c>
      <c r="Q39" s="3">
        <f>DATE(YEAR(Transactions[[#This Row],[Datetime]]),MONTH(Transactions[[#This Row],[Datetime]]),1)</f>
        <v>44682</v>
      </c>
      <c r="R39" t="b">
        <f ca="1">AND(Transactions[[#This Row],[Datetime]]&gt;=EDATE(MAX(Transactions[Datetime]),-6),Transactions[[#This Row],[Datetime]]&lt;=TODAY())</f>
        <v>0</v>
      </c>
      <c r="S39" s="6">
        <f ca="1">AVERAGEIFS(Transactions[Month''s Total],Transactions[Recent],TRUE,Transactions[Custom Category],Transactions[[#This Row],[Custom Category]])</f>
        <v>14532.989714285719</v>
      </c>
      <c r="T39">
        <f>SUMIFS(Transactions[Amount],Transactions[Month],Transactions[[#This Row],[Month]],Transactions[Custom Category],Transactions[[#This Row],[Custom Category]])</f>
        <v>10743.57</v>
      </c>
      <c r="U3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9">
        <f>IF(Transactions[[#This Row],[Month]]=Sel_Month,Transactions[[#This Row],[Amount]],0)</f>
        <v>0</v>
      </c>
    </row>
    <row r="40" spans="1:22" x14ac:dyDescent="0.25">
      <c r="A40" t="s">
        <v>61</v>
      </c>
      <c r="B40" t="s">
        <v>66</v>
      </c>
      <c r="C40">
        <v>1203.74</v>
      </c>
      <c r="D40" t="s">
        <v>67</v>
      </c>
      <c r="E40" t="s">
        <v>845</v>
      </c>
      <c r="F40" t="s">
        <v>69</v>
      </c>
      <c r="H40" t="s">
        <v>474</v>
      </c>
      <c r="I40" t="s">
        <v>71</v>
      </c>
      <c r="J40" t="b">
        <v>0</v>
      </c>
      <c r="K40" t="s">
        <v>849</v>
      </c>
      <c r="L40" t="str">
        <f>_xlfn.XLOOKUP(Transactions[[#This Row],[Account ID]],Accounts[Plaid Account ID],Accounts[Name],"Not Found",0)</f>
        <v>RBC Staff Banking</v>
      </c>
      <c r="M40" t="str">
        <f>_xlfn.XLOOKUP(Transactions[[#This Row],[Account ID]],Accounts[Plaid Account ID],Accounts[Institution Name],"Not Found",0)</f>
        <v>RBC Royal Bank</v>
      </c>
      <c r="N40" t="str">
        <f>IF(Transactions[[#This Row],[Amount]]&lt;0,"credit","debit")</f>
        <v>debit</v>
      </c>
      <c r="O40" t="str" cm="1">
        <f t="array" ref="O4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44710</v>
      </c>
      <c r="Q40" s="3">
        <f>DATE(YEAR(Transactions[[#This Row],[Datetime]]),MONTH(Transactions[[#This Row],[Datetime]]),1)</f>
        <v>44682</v>
      </c>
      <c r="R40" t="b">
        <f ca="1">AND(Transactions[[#This Row],[Datetime]]&gt;=EDATE(MAX(Transactions[Datetime]),-6),Transactions[[#This Row],[Datetime]]&lt;=TODAY())</f>
        <v>0</v>
      </c>
      <c r="S40" s="6">
        <f ca="1">AVERAGEIFS(Transactions[Month''s Total],Transactions[Recent],TRUE,Transactions[Custom Category],Transactions[[#This Row],[Custom Category]])</f>
        <v>14532.989714285719</v>
      </c>
      <c r="T40">
        <f>SUMIFS(Transactions[Amount],Transactions[Month],Transactions[[#This Row],[Month]],Transactions[Custom Category],Transactions[[#This Row],[Custom Category]])</f>
        <v>10743.57</v>
      </c>
      <c r="U4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0">
        <f>IF(Transactions[[#This Row],[Month]]=Sel_Month,Transactions[[#This Row],[Amount]],0)</f>
        <v>0</v>
      </c>
    </row>
    <row r="41" spans="1:22" x14ac:dyDescent="0.25">
      <c r="A41" t="s">
        <v>61</v>
      </c>
      <c r="B41" t="s">
        <v>66</v>
      </c>
      <c r="C41">
        <v>-2000</v>
      </c>
      <c r="D41" t="s">
        <v>99</v>
      </c>
      <c r="E41" t="s">
        <v>845</v>
      </c>
      <c r="F41" t="s">
        <v>69</v>
      </c>
      <c r="H41" t="s">
        <v>850</v>
      </c>
      <c r="I41" t="s">
        <v>71</v>
      </c>
      <c r="J41" t="b">
        <v>0</v>
      </c>
      <c r="K41" t="s">
        <v>851</v>
      </c>
      <c r="L41" t="str">
        <f>_xlfn.XLOOKUP(Transactions[[#This Row],[Account ID]],Accounts[Plaid Account ID],Accounts[Name],"Not Found",0)</f>
        <v>RBC Staff Banking</v>
      </c>
      <c r="M41" t="str">
        <f>_xlfn.XLOOKUP(Transactions[[#This Row],[Account ID]],Accounts[Plaid Account ID],Accounts[Institution Name],"Not Found",0)</f>
        <v>RBC Royal Bank</v>
      </c>
      <c r="N41" t="str">
        <f>IF(Transactions[[#This Row],[Amount]]&lt;0,"credit","debit")</f>
        <v>credit</v>
      </c>
      <c r="O41" t="str" cm="1">
        <f t="array" ref="O4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44710</v>
      </c>
      <c r="Q41" s="3">
        <f>DATE(YEAR(Transactions[[#This Row],[Datetime]]),MONTH(Transactions[[#This Row],[Datetime]]),1)</f>
        <v>44682</v>
      </c>
      <c r="R41" t="b">
        <f ca="1">AND(Transactions[[#This Row],[Datetime]]&gt;=EDATE(MAX(Transactions[Datetime]),-6),Transactions[[#This Row],[Datetime]]&lt;=TODAY())</f>
        <v>0</v>
      </c>
      <c r="S41" s="6">
        <f ca="1">AVERAGEIFS(Transactions[Month''s Total],Transactions[Recent],TRUE,Transactions[Custom Category],Transactions[[#This Row],[Custom Category]])</f>
        <v>-18125.097037037034</v>
      </c>
      <c r="T41">
        <f>SUMIFS(Transactions[Amount],Transactions[Month],Transactions[[#This Row],[Month]],Transactions[Custom Category],Transactions[[#This Row],[Custom Category]])</f>
        <v>-20495.73</v>
      </c>
      <c r="U41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1">
        <f>IF(Transactions[[#This Row],[Month]]=Sel_Month,Transactions[[#This Row],[Amount]],0)</f>
        <v>0</v>
      </c>
    </row>
    <row r="42" spans="1:22" x14ac:dyDescent="0.25">
      <c r="A42" t="s">
        <v>61</v>
      </c>
      <c r="B42" t="s">
        <v>66</v>
      </c>
      <c r="C42">
        <v>-2000</v>
      </c>
      <c r="D42" t="s">
        <v>99</v>
      </c>
      <c r="E42" t="s">
        <v>845</v>
      </c>
      <c r="F42" t="s">
        <v>69</v>
      </c>
      <c r="H42" t="s">
        <v>852</v>
      </c>
      <c r="I42" t="s">
        <v>71</v>
      </c>
      <c r="J42" t="b">
        <v>0</v>
      </c>
      <c r="K42" t="s">
        <v>853</v>
      </c>
      <c r="L42" t="str">
        <f>_xlfn.XLOOKUP(Transactions[[#This Row],[Account ID]],Accounts[Plaid Account ID],Accounts[Name],"Not Found",0)</f>
        <v>RBC Staff Banking</v>
      </c>
      <c r="M42" t="str">
        <f>_xlfn.XLOOKUP(Transactions[[#This Row],[Account ID]],Accounts[Plaid Account ID],Accounts[Institution Name],"Not Found",0)</f>
        <v>RBC Royal Bank</v>
      </c>
      <c r="N42" t="str">
        <f>IF(Transactions[[#This Row],[Amount]]&lt;0,"credit","debit")</f>
        <v>credit</v>
      </c>
      <c r="O42" t="str" cm="1">
        <f t="array" ref="O4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44710</v>
      </c>
      <c r="Q42" s="3">
        <f>DATE(YEAR(Transactions[[#This Row],[Datetime]]),MONTH(Transactions[[#This Row],[Datetime]]),1)</f>
        <v>44682</v>
      </c>
      <c r="R42" t="b">
        <f ca="1">AND(Transactions[[#This Row],[Datetime]]&gt;=EDATE(MAX(Transactions[Datetime]),-6),Transactions[[#This Row],[Datetime]]&lt;=TODAY())</f>
        <v>0</v>
      </c>
      <c r="S42" s="6">
        <f ca="1">AVERAGEIFS(Transactions[Month''s Total],Transactions[Recent],TRUE,Transactions[Custom Category],Transactions[[#This Row],[Custom Category]])</f>
        <v>-18125.097037037034</v>
      </c>
      <c r="T42">
        <f>SUMIFS(Transactions[Amount],Transactions[Month],Transactions[[#This Row],[Month]],Transactions[Custom Category],Transactions[[#This Row],[Custom Category]])</f>
        <v>-20495.73</v>
      </c>
      <c r="U42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2">
        <f>IF(Transactions[[#This Row],[Month]]=Sel_Month,Transactions[[#This Row],[Amount]],0)</f>
        <v>0</v>
      </c>
    </row>
    <row r="43" spans="1:22" x14ac:dyDescent="0.25">
      <c r="A43" t="s">
        <v>61</v>
      </c>
      <c r="B43" t="s">
        <v>66</v>
      </c>
      <c r="C43">
        <v>-1203.74</v>
      </c>
      <c r="D43" t="s">
        <v>99</v>
      </c>
      <c r="E43" t="s">
        <v>845</v>
      </c>
      <c r="F43" t="s">
        <v>69</v>
      </c>
      <c r="H43" t="s">
        <v>854</v>
      </c>
      <c r="I43" t="s">
        <v>71</v>
      </c>
      <c r="J43" t="b">
        <v>0</v>
      </c>
      <c r="K43" t="s">
        <v>855</v>
      </c>
      <c r="L43" t="str">
        <f>_xlfn.XLOOKUP(Transactions[[#This Row],[Account ID]],Accounts[Plaid Account ID],Accounts[Name],"Not Found",0)</f>
        <v>RBC Staff Banking</v>
      </c>
      <c r="M43" t="str">
        <f>_xlfn.XLOOKUP(Transactions[[#This Row],[Account ID]],Accounts[Plaid Account ID],Accounts[Institution Name],"Not Found",0)</f>
        <v>RBC Royal Bank</v>
      </c>
      <c r="N43" t="str">
        <f>IF(Transactions[[#This Row],[Amount]]&lt;0,"credit","debit")</f>
        <v>credit</v>
      </c>
      <c r="O43" t="str" cm="1">
        <f t="array" ref="O4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44710</v>
      </c>
      <c r="Q43" s="3">
        <f>DATE(YEAR(Transactions[[#This Row],[Datetime]]),MONTH(Transactions[[#This Row],[Datetime]]),1)</f>
        <v>44682</v>
      </c>
      <c r="R43" t="b">
        <f ca="1">AND(Transactions[[#This Row],[Datetime]]&gt;=EDATE(MAX(Transactions[Datetime]),-6),Transactions[[#This Row],[Datetime]]&lt;=TODAY())</f>
        <v>0</v>
      </c>
      <c r="S43" s="6">
        <f ca="1">AVERAGEIFS(Transactions[Month''s Total],Transactions[Recent],TRUE,Transactions[Custom Category],Transactions[[#This Row],[Custom Category]])</f>
        <v>-18125.097037037034</v>
      </c>
      <c r="T43">
        <f>SUMIFS(Transactions[Amount],Transactions[Month],Transactions[[#This Row],[Month]],Transactions[Custom Category],Transactions[[#This Row],[Custom Category]])</f>
        <v>-20495.73</v>
      </c>
      <c r="U4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3">
        <f>IF(Transactions[[#This Row],[Month]]=Sel_Month,Transactions[[#This Row],[Amount]],0)</f>
        <v>0</v>
      </c>
    </row>
    <row r="44" spans="1:22" x14ac:dyDescent="0.25">
      <c r="A44" t="s">
        <v>61</v>
      </c>
      <c r="B44" t="s">
        <v>66</v>
      </c>
      <c r="C44">
        <v>12</v>
      </c>
      <c r="D44" t="s">
        <v>67</v>
      </c>
      <c r="E44" t="s">
        <v>841</v>
      </c>
      <c r="F44" t="s">
        <v>69</v>
      </c>
      <c r="H44" t="s">
        <v>756</v>
      </c>
      <c r="I44" t="s">
        <v>71</v>
      </c>
      <c r="J44" t="b">
        <v>0</v>
      </c>
      <c r="K44" t="s">
        <v>842</v>
      </c>
      <c r="L44" t="str">
        <f>_xlfn.XLOOKUP(Transactions[[#This Row],[Account ID]],Accounts[Plaid Account ID],Accounts[Name],"Not Found",0)</f>
        <v>RBC Staff Banking</v>
      </c>
      <c r="M44" t="str">
        <f>_xlfn.XLOOKUP(Transactions[[#This Row],[Account ID]],Accounts[Plaid Account ID],Accounts[Institution Name],"Not Found",0)</f>
        <v>RBC Royal Bank</v>
      </c>
      <c r="N44" t="str">
        <f>IF(Transactions[[#This Row],[Amount]]&lt;0,"credit","debit")</f>
        <v>debit</v>
      </c>
      <c r="O44" t="str" cm="1">
        <f t="array" ref="O4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44712</v>
      </c>
      <c r="Q44" s="3">
        <f>DATE(YEAR(Transactions[[#This Row],[Datetime]]),MONTH(Transactions[[#This Row],[Datetime]]),1)</f>
        <v>44682</v>
      </c>
      <c r="R44" t="b">
        <f ca="1">AND(Transactions[[#This Row],[Datetime]]&gt;=EDATE(MAX(Transactions[Datetime]),-6),Transactions[[#This Row],[Datetime]]&lt;=TODAY())</f>
        <v>0</v>
      </c>
      <c r="S44" s="6">
        <f ca="1">AVERAGEIFS(Transactions[Month''s Total],Transactions[Recent],TRUE,Transactions[Custom Category],Transactions[[#This Row],[Custom Category]])</f>
        <v>12758.461333333335</v>
      </c>
      <c r="T44">
        <f>SUMIFS(Transactions[Amount],Transactions[Month],Transactions[[#This Row],[Month]],Transactions[Custom Category],Transactions[[#This Row],[Custom Category]])</f>
        <v>9751.16</v>
      </c>
      <c r="U4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4">
        <f>IF(Transactions[[#This Row],[Month]]=Sel_Month,Transactions[[#This Row],[Amount]],0)</f>
        <v>0</v>
      </c>
    </row>
    <row r="45" spans="1:22" x14ac:dyDescent="0.25">
      <c r="A45" t="s">
        <v>61</v>
      </c>
      <c r="B45" t="s">
        <v>66</v>
      </c>
      <c r="C45">
        <v>-13</v>
      </c>
      <c r="D45" t="s">
        <v>149</v>
      </c>
      <c r="E45" t="s">
        <v>841</v>
      </c>
      <c r="F45" t="s">
        <v>69</v>
      </c>
      <c r="H45" t="s">
        <v>843</v>
      </c>
      <c r="I45" t="s">
        <v>71</v>
      </c>
      <c r="J45" t="b">
        <v>0</v>
      </c>
      <c r="K45" t="s">
        <v>844</v>
      </c>
      <c r="L45" t="str">
        <f>_xlfn.XLOOKUP(Transactions[[#This Row],[Account ID]],Accounts[Plaid Account ID],Accounts[Name],"Not Found",0)</f>
        <v>RBC Staff Banking</v>
      </c>
      <c r="M45" t="str">
        <f>_xlfn.XLOOKUP(Transactions[[#This Row],[Account ID]],Accounts[Plaid Account ID],Accounts[Institution Name],"Not Found",0)</f>
        <v>RBC Royal Bank</v>
      </c>
      <c r="N45" t="str">
        <f>IF(Transactions[[#This Row],[Amount]]&lt;0,"credit","debit")</f>
        <v>credit</v>
      </c>
      <c r="O45" t="str" cm="1">
        <f t="array" ref="O4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44712</v>
      </c>
      <c r="Q45" s="3">
        <f>DATE(YEAR(Transactions[[#This Row],[Datetime]]),MONTH(Transactions[[#This Row],[Datetime]]),1)</f>
        <v>44682</v>
      </c>
      <c r="R45" t="b">
        <f ca="1">AND(Transactions[[#This Row],[Datetime]]&gt;=EDATE(MAX(Transactions[Datetime]),-6),Transactions[[#This Row],[Datetime]]&lt;=TODAY())</f>
        <v>0</v>
      </c>
      <c r="S45" s="6">
        <f ca="1">AVERAGEIFS(Transactions[Month''s Total],Transactions[Recent],TRUE,Transactions[Custom Category],Transactions[[#This Row],[Custom Category]])</f>
        <v>-18125.097037037034</v>
      </c>
      <c r="T45">
        <f>SUMIFS(Transactions[Amount],Transactions[Month],Transactions[[#This Row],[Month]],Transactions[Custom Category],Transactions[[#This Row],[Custom Category]])</f>
        <v>-20495.73</v>
      </c>
      <c r="U4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5">
        <f>IF(Transactions[[#This Row],[Month]]=Sel_Month,Transactions[[#This Row],[Amount]],0)</f>
        <v>0</v>
      </c>
    </row>
    <row r="46" spans="1:22" x14ac:dyDescent="0.25">
      <c r="A46" t="s">
        <v>61</v>
      </c>
      <c r="B46" t="s">
        <v>66</v>
      </c>
      <c r="C46">
        <v>2036.51</v>
      </c>
      <c r="D46" t="s">
        <v>67</v>
      </c>
      <c r="E46" t="s">
        <v>835</v>
      </c>
      <c r="F46" t="s">
        <v>69</v>
      </c>
      <c r="H46" t="s">
        <v>836</v>
      </c>
      <c r="I46" t="s">
        <v>71</v>
      </c>
      <c r="J46" t="b">
        <v>0</v>
      </c>
      <c r="K46" t="s">
        <v>837</v>
      </c>
      <c r="L46" t="str">
        <f>_xlfn.XLOOKUP(Transactions[[#This Row],[Account ID]],Accounts[Plaid Account ID],Accounts[Name],"Not Found",0)</f>
        <v>RBC Staff Banking</v>
      </c>
      <c r="M46" t="str">
        <f>_xlfn.XLOOKUP(Transactions[[#This Row],[Account ID]],Accounts[Plaid Account ID],Accounts[Institution Name],"Not Found",0)</f>
        <v>RBC Royal Bank</v>
      </c>
      <c r="N46" t="str">
        <f>IF(Transactions[[#This Row],[Amount]]&lt;0,"credit","debit")</f>
        <v>debit</v>
      </c>
      <c r="O46" t="str" cm="1">
        <f t="array" ref="O4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44720</v>
      </c>
      <c r="Q46" s="3">
        <f>DATE(YEAR(Transactions[[#This Row],[Datetime]]),MONTH(Transactions[[#This Row],[Datetime]]),1)</f>
        <v>44713</v>
      </c>
      <c r="R46" t="b">
        <f ca="1">AND(Transactions[[#This Row],[Datetime]]&gt;=EDATE(MAX(Transactions[Datetime]),-6),Transactions[[#This Row],[Datetime]]&lt;=TODAY())</f>
        <v>0</v>
      </c>
      <c r="S46" s="6">
        <f ca="1">AVERAGEIFS(Transactions[Month''s Total],Transactions[Recent],TRUE,Transactions[Custom Category],Transactions[[#This Row],[Custom Category]])</f>
        <v>12758.461333333335</v>
      </c>
      <c r="T46">
        <f>SUMIFS(Transactions[Amount],Transactions[Month],Transactions[[#This Row],[Month]],Transactions[Custom Category],Transactions[[#This Row],[Custom Category]])</f>
        <v>3965.91</v>
      </c>
      <c r="U4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6">
        <f>IF(Transactions[[#This Row],[Month]]=Sel_Month,Transactions[[#This Row],[Amount]],0)</f>
        <v>0</v>
      </c>
    </row>
    <row r="47" spans="1:22" x14ac:dyDescent="0.25">
      <c r="A47" t="s">
        <v>61</v>
      </c>
      <c r="B47" t="s">
        <v>66</v>
      </c>
      <c r="C47">
        <v>1753.82</v>
      </c>
      <c r="D47" t="s">
        <v>67</v>
      </c>
      <c r="E47" t="s">
        <v>835</v>
      </c>
      <c r="F47" t="s">
        <v>69</v>
      </c>
      <c r="H47" t="s">
        <v>474</v>
      </c>
      <c r="I47" t="s">
        <v>71</v>
      </c>
      <c r="J47" t="b">
        <v>0</v>
      </c>
      <c r="K47" t="s">
        <v>838</v>
      </c>
      <c r="L47" t="str">
        <f>_xlfn.XLOOKUP(Transactions[[#This Row],[Account ID]],Accounts[Plaid Account ID],Accounts[Name],"Not Found",0)</f>
        <v>RBC Staff Banking</v>
      </c>
      <c r="M47" t="str">
        <f>_xlfn.XLOOKUP(Transactions[[#This Row],[Account ID]],Accounts[Plaid Account ID],Accounts[Institution Name],"Not Found",0)</f>
        <v>RBC Royal Bank</v>
      </c>
      <c r="N47" t="str">
        <f>IF(Transactions[[#This Row],[Amount]]&lt;0,"credit","debit")</f>
        <v>debit</v>
      </c>
      <c r="O47" t="str" cm="1">
        <f t="array" ref="O4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44720</v>
      </c>
      <c r="Q47" s="3">
        <f>DATE(YEAR(Transactions[[#This Row],[Datetime]]),MONTH(Transactions[[#This Row],[Datetime]]),1)</f>
        <v>44713</v>
      </c>
      <c r="R47" t="b">
        <f ca="1">AND(Transactions[[#This Row],[Datetime]]&gt;=EDATE(MAX(Transactions[Datetime]),-6),Transactions[[#This Row],[Datetime]]&lt;=TODAY())</f>
        <v>0</v>
      </c>
      <c r="S47" s="6">
        <f ca="1">AVERAGEIFS(Transactions[Month''s Total],Transactions[Recent],TRUE,Transactions[Custom Category],Transactions[[#This Row],[Custom Category]])</f>
        <v>14532.989714285719</v>
      </c>
      <c r="T47">
        <f>SUMIFS(Transactions[Amount],Transactions[Month],Transactions[[#This Row],[Month]],Transactions[Custom Category],Transactions[[#This Row],[Custom Category]])</f>
        <v>12786.17</v>
      </c>
      <c r="U4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7">
        <f>IF(Transactions[[#This Row],[Month]]=Sel_Month,Transactions[[#This Row],[Amount]],0)</f>
        <v>0</v>
      </c>
    </row>
    <row r="48" spans="1:22" x14ac:dyDescent="0.25">
      <c r="A48" t="s">
        <v>61</v>
      </c>
      <c r="B48" t="s">
        <v>66</v>
      </c>
      <c r="C48">
        <v>-3789.33</v>
      </c>
      <c r="D48" t="s">
        <v>149</v>
      </c>
      <c r="E48" t="s">
        <v>835</v>
      </c>
      <c r="F48" t="s">
        <v>69</v>
      </c>
      <c r="H48" t="s">
        <v>839</v>
      </c>
      <c r="I48" t="s">
        <v>71</v>
      </c>
      <c r="J48" t="b">
        <v>0</v>
      </c>
      <c r="K48" t="s">
        <v>840</v>
      </c>
      <c r="L48" t="str">
        <f>_xlfn.XLOOKUP(Transactions[[#This Row],[Account ID]],Accounts[Plaid Account ID],Accounts[Name],"Not Found",0)</f>
        <v>RBC Staff Banking</v>
      </c>
      <c r="M48" t="str">
        <f>_xlfn.XLOOKUP(Transactions[[#This Row],[Account ID]],Accounts[Plaid Account ID],Accounts[Institution Name],"Not Found",0)</f>
        <v>RBC Royal Bank</v>
      </c>
      <c r="N48" t="str">
        <f>IF(Transactions[[#This Row],[Amount]]&lt;0,"credit","debit")</f>
        <v>credit</v>
      </c>
      <c r="O48" t="str" cm="1">
        <f t="array" ref="O4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44720</v>
      </c>
      <c r="Q48" s="3">
        <f>DATE(YEAR(Transactions[[#This Row],[Datetime]]),MONTH(Transactions[[#This Row],[Datetime]]),1)</f>
        <v>44713</v>
      </c>
      <c r="R48" t="b">
        <f ca="1">AND(Transactions[[#This Row],[Datetime]]&gt;=EDATE(MAX(Transactions[Datetime]),-6),Transactions[[#This Row],[Datetime]]&lt;=TODAY())</f>
        <v>0</v>
      </c>
      <c r="S48" s="6">
        <f ca="1">AVERAGEIFS(Transactions[Month''s Total],Transactions[Recent],TRUE,Transactions[Custom Category],Transactions[[#This Row],[Custom Category]])</f>
        <v>-18125.097037037034</v>
      </c>
      <c r="T48">
        <f>SUMIFS(Transactions[Amount],Transactions[Month],Transactions[[#This Row],[Month]],Transactions[Custom Category],Transactions[[#This Row],[Custom Category]])</f>
        <v>-16751.079999999998</v>
      </c>
      <c r="U4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8">
        <f>IF(Transactions[[#This Row],[Month]]=Sel_Month,Transactions[[#This Row],[Amount]],0)</f>
        <v>0</v>
      </c>
    </row>
    <row r="49" spans="1:22" x14ac:dyDescent="0.25">
      <c r="A49" t="s">
        <v>61</v>
      </c>
      <c r="B49" t="s">
        <v>66</v>
      </c>
      <c r="C49">
        <v>2000</v>
      </c>
      <c r="D49" t="s">
        <v>67</v>
      </c>
      <c r="E49" t="s">
        <v>831</v>
      </c>
      <c r="F49" t="s">
        <v>69</v>
      </c>
      <c r="H49" t="s">
        <v>474</v>
      </c>
      <c r="I49" t="s">
        <v>71</v>
      </c>
      <c r="J49" t="b">
        <v>0</v>
      </c>
      <c r="K49" t="s">
        <v>832</v>
      </c>
      <c r="L49" t="str">
        <f>_xlfn.XLOOKUP(Transactions[[#This Row],[Account ID]],Accounts[Plaid Account ID],Accounts[Name],"Not Found",0)</f>
        <v>RBC Staff Banking</v>
      </c>
      <c r="M49" t="str">
        <f>_xlfn.XLOOKUP(Transactions[[#This Row],[Account ID]],Accounts[Plaid Account ID],Accounts[Institution Name],"Not Found",0)</f>
        <v>RBC Royal Bank</v>
      </c>
      <c r="N49" t="str">
        <f>IF(Transactions[[#This Row],[Amount]]&lt;0,"credit","debit")</f>
        <v>debit</v>
      </c>
      <c r="O49" t="str" cm="1">
        <f t="array" ref="O4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44721</v>
      </c>
      <c r="Q49" s="3">
        <f>DATE(YEAR(Transactions[[#This Row],[Datetime]]),MONTH(Transactions[[#This Row],[Datetime]]),1)</f>
        <v>44713</v>
      </c>
      <c r="R49" t="b">
        <f ca="1">AND(Transactions[[#This Row],[Datetime]]&gt;=EDATE(MAX(Transactions[Datetime]),-6),Transactions[[#This Row],[Datetime]]&lt;=TODAY())</f>
        <v>0</v>
      </c>
      <c r="S49" s="6">
        <f ca="1">AVERAGEIFS(Transactions[Month''s Total],Transactions[Recent],TRUE,Transactions[Custom Category],Transactions[[#This Row],[Custom Category]])</f>
        <v>14532.989714285719</v>
      </c>
      <c r="T49">
        <f>SUMIFS(Transactions[Amount],Transactions[Month],Transactions[[#This Row],[Month]],Transactions[Custom Category],Transactions[[#This Row],[Custom Category]])</f>
        <v>12786.17</v>
      </c>
      <c r="U4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9">
        <f>IF(Transactions[[#This Row],[Month]]=Sel_Month,Transactions[[#This Row],[Amount]],0)</f>
        <v>0</v>
      </c>
    </row>
    <row r="50" spans="1:22" x14ac:dyDescent="0.25">
      <c r="A50" t="s">
        <v>61</v>
      </c>
      <c r="B50" t="s">
        <v>66</v>
      </c>
      <c r="C50">
        <v>-2000</v>
      </c>
      <c r="D50" t="s">
        <v>99</v>
      </c>
      <c r="E50" t="s">
        <v>831</v>
      </c>
      <c r="F50" t="s">
        <v>69</v>
      </c>
      <c r="H50" t="s">
        <v>833</v>
      </c>
      <c r="I50" t="s">
        <v>71</v>
      </c>
      <c r="J50" t="b">
        <v>0</v>
      </c>
      <c r="K50" t="s">
        <v>834</v>
      </c>
      <c r="L50" t="str">
        <f>_xlfn.XLOOKUP(Transactions[[#This Row],[Account ID]],Accounts[Plaid Account ID],Accounts[Name],"Not Found",0)</f>
        <v>RBC Staff Banking</v>
      </c>
      <c r="M50" t="str">
        <f>_xlfn.XLOOKUP(Transactions[[#This Row],[Account ID]],Accounts[Plaid Account ID],Accounts[Institution Name],"Not Found",0)</f>
        <v>RBC Royal Bank</v>
      </c>
      <c r="N50" t="str">
        <f>IF(Transactions[[#This Row],[Amount]]&lt;0,"credit","debit")</f>
        <v>credit</v>
      </c>
      <c r="O50" t="str" cm="1">
        <f t="array" ref="O5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5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44721</v>
      </c>
      <c r="Q50" s="3">
        <f>DATE(YEAR(Transactions[[#This Row],[Datetime]]),MONTH(Transactions[[#This Row],[Datetime]]),1)</f>
        <v>44713</v>
      </c>
      <c r="R50" t="b">
        <f ca="1">AND(Transactions[[#This Row],[Datetime]]&gt;=EDATE(MAX(Transactions[Datetime]),-6),Transactions[[#This Row],[Datetime]]&lt;=TODAY())</f>
        <v>0</v>
      </c>
      <c r="S50" s="6">
        <f ca="1">AVERAGEIFS(Transactions[Month''s Total],Transactions[Recent],TRUE,Transactions[Custom Category],Transactions[[#This Row],[Custom Category]])</f>
        <v>-18125.097037037034</v>
      </c>
      <c r="T50">
        <f>SUMIFS(Transactions[Amount],Transactions[Month],Transactions[[#This Row],[Month]],Transactions[Custom Category],Transactions[[#This Row],[Custom Category]])</f>
        <v>-16751.079999999998</v>
      </c>
      <c r="U50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50">
        <f>IF(Transactions[[#This Row],[Month]]=Sel_Month,Transactions[[#This Row],[Amount]],0)</f>
        <v>0</v>
      </c>
    </row>
    <row r="51" spans="1:22" x14ac:dyDescent="0.25">
      <c r="A51" t="s">
        <v>61</v>
      </c>
      <c r="B51" t="s">
        <v>66</v>
      </c>
      <c r="C51">
        <v>2000</v>
      </c>
      <c r="D51" t="s">
        <v>67</v>
      </c>
      <c r="E51" t="s">
        <v>820</v>
      </c>
      <c r="F51" t="s">
        <v>69</v>
      </c>
      <c r="H51" t="s">
        <v>474</v>
      </c>
      <c r="I51" t="s">
        <v>71</v>
      </c>
      <c r="J51" t="b">
        <v>0</v>
      </c>
      <c r="K51" t="s">
        <v>821</v>
      </c>
      <c r="L51" t="str">
        <f>_xlfn.XLOOKUP(Transactions[[#This Row],[Account ID]],Accounts[Plaid Account ID],Accounts[Name],"Not Found",0)</f>
        <v>RBC Staff Banking</v>
      </c>
      <c r="M51" t="str">
        <f>_xlfn.XLOOKUP(Transactions[[#This Row],[Account ID]],Accounts[Plaid Account ID],Accounts[Institution Name],"Not Found",0)</f>
        <v>RBC Royal Bank</v>
      </c>
      <c r="N51" t="str">
        <f>IF(Transactions[[#This Row],[Amount]]&lt;0,"credit","debit")</f>
        <v>debit</v>
      </c>
      <c r="O51" t="str" cm="1">
        <f t="array" ref="O5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5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44724</v>
      </c>
      <c r="Q51" s="3">
        <f>DATE(YEAR(Transactions[[#This Row],[Datetime]]),MONTH(Transactions[[#This Row],[Datetime]]),1)</f>
        <v>44713</v>
      </c>
      <c r="R51" t="b">
        <f ca="1">AND(Transactions[[#This Row],[Datetime]]&gt;=EDATE(MAX(Transactions[Datetime]),-6),Transactions[[#This Row],[Datetime]]&lt;=TODAY())</f>
        <v>0</v>
      </c>
      <c r="S51" s="6">
        <f ca="1">AVERAGEIFS(Transactions[Month''s Total],Transactions[Recent],TRUE,Transactions[Custom Category],Transactions[[#This Row],[Custom Category]])</f>
        <v>14532.989714285719</v>
      </c>
      <c r="T51">
        <f>SUMIFS(Transactions[Amount],Transactions[Month],Transactions[[#This Row],[Month]],Transactions[Custom Category],Transactions[[#This Row],[Custom Category]])</f>
        <v>12786.17</v>
      </c>
      <c r="U5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51">
        <f>IF(Transactions[[#This Row],[Month]]=Sel_Month,Transactions[[#This Row],[Amount]],0)</f>
        <v>0</v>
      </c>
    </row>
    <row r="52" spans="1:22" x14ac:dyDescent="0.25">
      <c r="A52" t="s">
        <v>61</v>
      </c>
      <c r="B52" t="s">
        <v>66</v>
      </c>
      <c r="C52">
        <v>1482</v>
      </c>
      <c r="D52" t="s">
        <v>67</v>
      </c>
      <c r="E52" t="s">
        <v>820</v>
      </c>
      <c r="F52" t="s">
        <v>69</v>
      </c>
      <c r="H52" t="s">
        <v>474</v>
      </c>
      <c r="I52" t="s">
        <v>71</v>
      </c>
      <c r="J52" t="b">
        <v>0</v>
      </c>
      <c r="K52" t="s">
        <v>822</v>
      </c>
      <c r="L52" t="str">
        <f>_xlfn.XLOOKUP(Transactions[[#This Row],[Account ID]],Accounts[Plaid Account ID],Accounts[Name],"Not Found",0)</f>
        <v>RBC Staff Banking</v>
      </c>
      <c r="M52" t="str">
        <f>_xlfn.XLOOKUP(Transactions[[#This Row],[Account ID]],Accounts[Plaid Account ID],Accounts[Institution Name],"Not Found",0)</f>
        <v>RBC Royal Bank</v>
      </c>
      <c r="N52" t="str">
        <f>IF(Transactions[[#This Row],[Amount]]&lt;0,"credit","debit")</f>
        <v>debit</v>
      </c>
      <c r="O52" t="str" cm="1">
        <f t="array" ref="O5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5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44724</v>
      </c>
      <c r="Q52" s="3">
        <f>DATE(YEAR(Transactions[[#This Row],[Datetime]]),MONTH(Transactions[[#This Row],[Datetime]]),1)</f>
        <v>44713</v>
      </c>
      <c r="R52" t="b">
        <f ca="1">AND(Transactions[[#This Row],[Datetime]]&gt;=EDATE(MAX(Transactions[Datetime]),-6),Transactions[[#This Row],[Datetime]]&lt;=TODAY())</f>
        <v>0</v>
      </c>
      <c r="S52" s="6">
        <f ca="1">AVERAGEIFS(Transactions[Month''s Total],Transactions[Recent],TRUE,Transactions[Custom Category],Transactions[[#This Row],[Custom Category]])</f>
        <v>14532.989714285719</v>
      </c>
      <c r="T52">
        <f>SUMIFS(Transactions[Amount],Transactions[Month],Transactions[[#This Row],[Month]],Transactions[Custom Category],Transactions[[#This Row],[Custom Category]])</f>
        <v>12786.17</v>
      </c>
      <c r="U5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52">
        <f>IF(Transactions[[#This Row],[Month]]=Sel_Month,Transactions[[#This Row],[Amount]],0)</f>
        <v>0</v>
      </c>
    </row>
    <row r="53" spans="1:22" x14ac:dyDescent="0.25">
      <c r="A53" t="s">
        <v>61</v>
      </c>
      <c r="B53" t="s">
        <v>66</v>
      </c>
      <c r="C53">
        <v>518</v>
      </c>
      <c r="D53" t="s">
        <v>67</v>
      </c>
      <c r="E53" t="s">
        <v>820</v>
      </c>
      <c r="F53" t="s">
        <v>69</v>
      </c>
      <c r="H53" t="s">
        <v>720</v>
      </c>
      <c r="I53" t="s">
        <v>71</v>
      </c>
      <c r="J53" t="b">
        <v>0</v>
      </c>
      <c r="K53" t="s">
        <v>823</v>
      </c>
      <c r="L53" t="str">
        <f>_xlfn.XLOOKUP(Transactions[[#This Row],[Account ID]],Accounts[Plaid Account ID],Accounts[Name],"Not Found",0)</f>
        <v>RBC Staff Banking</v>
      </c>
      <c r="M53" t="str">
        <f>_xlfn.XLOOKUP(Transactions[[#This Row],[Account ID]],Accounts[Plaid Account ID],Accounts[Institution Name],"Not Found",0)</f>
        <v>RBC Royal Bank</v>
      </c>
      <c r="N53" t="str">
        <f>IF(Transactions[[#This Row],[Amount]]&lt;0,"credit","debit")</f>
        <v>debit</v>
      </c>
      <c r="O53" t="str" cm="1">
        <f t="array" ref="O5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5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44724</v>
      </c>
      <c r="Q53" s="3">
        <f>DATE(YEAR(Transactions[[#This Row],[Datetime]]),MONTH(Transactions[[#This Row],[Datetime]]),1)</f>
        <v>44713</v>
      </c>
      <c r="R53" t="b">
        <f ca="1">AND(Transactions[[#This Row],[Datetime]]&gt;=EDATE(MAX(Transactions[Datetime]),-6),Transactions[[#This Row],[Datetime]]&lt;=TODAY())</f>
        <v>0</v>
      </c>
      <c r="S53" s="6">
        <f ca="1">AVERAGEIFS(Transactions[Month''s Total],Transactions[Recent],TRUE,Transactions[Custom Category],Transactions[[#This Row],[Custom Category]])</f>
        <v>14532.989714285719</v>
      </c>
      <c r="T53">
        <f>SUMIFS(Transactions[Amount],Transactions[Month],Transactions[[#This Row],[Month]],Transactions[Custom Category],Transactions[[#This Row],[Custom Category]])</f>
        <v>12786.17</v>
      </c>
      <c r="U5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53">
        <f>IF(Transactions[[#This Row],[Month]]=Sel_Month,Transactions[[#This Row],[Amount]],0)</f>
        <v>0</v>
      </c>
    </row>
    <row r="54" spans="1:22" x14ac:dyDescent="0.25">
      <c r="A54" t="s">
        <v>61</v>
      </c>
      <c r="B54" t="s">
        <v>66</v>
      </c>
      <c r="C54">
        <v>478.38</v>
      </c>
      <c r="D54" t="s">
        <v>67</v>
      </c>
      <c r="E54" t="s">
        <v>820</v>
      </c>
      <c r="F54" t="s">
        <v>69</v>
      </c>
      <c r="H54" t="s">
        <v>474</v>
      </c>
      <c r="I54" t="s">
        <v>71</v>
      </c>
      <c r="J54" t="b">
        <v>0</v>
      </c>
      <c r="K54" t="s">
        <v>824</v>
      </c>
      <c r="L54" t="str">
        <f>_xlfn.XLOOKUP(Transactions[[#This Row],[Account ID]],Accounts[Plaid Account ID],Accounts[Name],"Not Found",0)</f>
        <v>RBC Staff Banking</v>
      </c>
      <c r="M54" t="str">
        <f>_xlfn.XLOOKUP(Transactions[[#This Row],[Account ID]],Accounts[Plaid Account ID],Accounts[Institution Name],"Not Found",0)</f>
        <v>RBC Royal Bank</v>
      </c>
      <c r="N54" t="str">
        <f>IF(Transactions[[#This Row],[Amount]]&lt;0,"credit","debit")</f>
        <v>debit</v>
      </c>
      <c r="O54" t="str" cm="1">
        <f t="array" ref="O5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5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44724</v>
      </c>
      <c r="Q54" s="3">
        <f>DATE(YEAR(Transactions[[#This Row],[Datetime]]),MONTH(Transactions[[#This Row],[Datetime]]),1)</f>
        <v>44713</v>
      </c>
      <c r="R54" t="b">
        <f ca="1">AND(Transactions[[#This Row],[Datetime]]&gt;=EDATE(MAX(Transactions[Datetime]),-6),Transactions[[#This Row],[Datetime]]&lt;=TODAY())</f>
        <v>0</v>
      </c>
      <c r="S54" s="6">
        <f ca="1">AVERAGEIFS(Transactions[Month''s Total],Transactions[Recent],TRUE,Transactions[Custom Category],Transactions[[#This Row],[Custom Category]])</f>
        <v>14532.989714285719</v>
      </c>
      <c r="T54">
        <f>SUMIFS(Transactions[Amount],Transactions[Month],Transactions[[#This Row],[Month]],Transactions[Custom Category],Transactions[[#This Row],[Custom Category]])</f>
        <v>12786.17</v>
      </c>
      <c r="U5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54">
        <f>IF(Transactions[[#This Row],[Month]]=Sel_Month,Transactions[[#This Row],[Amount]],0)</f>
        <v>0</v>
      </c>
    </row>
    <row r="55" spans="1:22" x14ac:dyDescent="0.25">
      <c r="A55" t="s">
        <v>61</v>
      </c>
      <c r="B55" t="s">
        <v>66</v>
      </c>
      <c r="C55">
        <v>-2000</v>
      </c>
      <c r="D55" t="s">
        <v>99</v>
      </c>
      <c r="E55" t="s">
        <v>820</v>
      </c>
      <c r="F55" t="s">
        <v>69</v>
      </c>
      <c r="H55" t="s">
        <v>825</v>
      </c>
      <c r="I55" t="s">
        <v>71</v>
      </c>
      <c r="J55" t="b">
        <v>0</v>
      </c>
      <c r="K55" t="s">
        <v>826</v>
      </c>
      <c r="L55" t="str">
        <f>_xlfn.XLOOKUP(Transactions[[#This Row],[Account ID]],Accounts[Plaid Account ID],Accounts[Name],"Not Found",0)</f>
        <v>RBC Staff Banking</v>
      </c>
      <c r="M55" t="str">
        <f>_xlfn.XLOOKUP(Transactions[[#This Row],[Account ID]],Accounts[Plaid Account ID],Accounts[Institution Name],"Not Found",0)</f>
        <v>RBC Royal Bank</v>
      </c>
      <c r="N55" t="str">
        <f>IF(Transactions[[#This Row],[Amount]]&lt;0,"credit","debit")</f>
        <v>credit</v>
      </c>
      <c r="O55" t="str" cm="1">
        <f t="array" ref="O5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5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44724</v>
      </c>
      <c r="Q55" s="3">
        <f>DATE(YEAR(Transactions[[#This Row],[Datetime]]),MONTH(Transactions[[#This Row],[Datetime]]),1)</f>
        <v>44713</v>
      </c>
      <c r="R55" t="b">
        <f ca="1">AND(Transactions[[#This Row],[Datetime]]&gt;=EDATE(MAX(Transactions[Datetime]),-6),Transactions[[#This Row],[Datetime]]&lt;=TODAY())</f>
        <v>0</v>
      </c>
      <c r="S55" s="6">
        <f ca="1">AVERAGEIFS(Transactions[Month''s Total],Transactions[Recent],TRUE,Transactions[Custom Category],Transactions[[#This Row],[Custom Category]])</f>
        <v>-18125.097037037034</v>
      </c>
      <c r="T55">
        <f>SUMIFS(Transactions[Amount],Transactions[Month],Transactions[[#This Row],[Month]],Transactions[Custom Category],Transactions[[#This Row],[Custom Category]])</f>
        <v>-16751.079999999998</v>
      </c>
      <c r="U5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55">
        <f>IF(Transactions[[#This Row],[Month]]=Sel_Month,Transactions[[#This Row],[Amount]],0)</f>
        <v>0</v>
      </c>
    </row>
    <row r="56" spans="1:22" x14ac:dyDescent="0.25">
      <c r="A56" t="s">
        <v>61</v>
      </c>
      <c r="B56" t="s">
        <v>66</v>
      </c>
      <c r="C56">
        <v>-2000</v>
      </c>
      <c r="D56" t="s">
        <v>99</v>
      </c>
      <c r="E56" t="s">
        <v>820</v>
      </c>
      <c r="F56" t="s">
        <v>69</v>
      </c>
      <c r="H56" t="s">
        <v>827</v>
      </c>
      <c r="I56" t="s">
        <v>71</v>
      </c>
      <c r="J56" t="b">
        <v>0</v>
      </c>
      <c r="K56" t="s">
        <v>828</v>
      </c>
      <c r="L56" t="str">
        <f>_xlfn.XLOOKUP(Transactions[[#This Row],[Account ID]],Accounts[Plaid Account ID],Accounts[Name],"Not Found",0)</f>
        <v>RBC Staff Banking</v>
      </c>
      <c r="M56" t="str">
        <f>_xlfn.XLOOKUP(Transactions[[#This Row],[Account ID]],Accounts[Plaid Account ID],Accounts[Institution Name],"Not Found",0)</f>
        <v>RBC Royal Bank</v>
      </c>
      <c r="N56" t="str">
        <f>IF(Transactions[[#This Row],[Amount]]&lt;0,"credit","debit")</f>
        <v>credit</v>
      </c>
      <c r="O56" t="str" cm="1">
        <f t="array" ref="O5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5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44724</v>
      </c>
      <c r="Q56" s="3">
        <f>DATE(YEAR(Transactions[[#This Row],[Datetime]]),MONTH(Transactions[[#This Row],[Datetime]]),1)</f>
        <v>44713</v>
      </c>
      <c r="R56" t="b">
        <f ca="1">AND(Transactions[[#This Row],[Datetime]]&gt;=EDATE(MAX(Transactions[Datetime]),-6),Transactions[[#This Row],[Datetime]]&lt;=TODAY())</f>
        <v>0</v>
      </c>
      <c r="S56" s="6">
        <f ca="1">AVERAGEIFS(Transactions[Month''s Total],Transactions[Recent],TRUE,Transactions[Custom Category],Transactions[[#This Row],[Custom Category]])</f>
        <v>-18125.097037037034</v>
      </c>
      <c r="T56">
        <f>SUMIFS(Transactions[Amount],Transactions[Month],Transactions[[#This Row],[Month]],Transactions[Custom Category],Transactions[[#This Row],[Custom Category]])</f>
        <v>-16751.079999999998</v>
      </c>
      <c r="U56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56">
        <f>IF(Transactions[[#This Row],[Month]]=Sel_Month,Transactions[[#This Row],[Amount]],0)</f>
        <v>0</v>
      </c>
    </row>
    <row r="57" spans="1:22" x14ac:dyDescent="0.25">
      <c r="A57" t="s">
        <v>61</v>
      </c>
      <c r="B57" t="s">
        <v>66</v>
      </c>
      <c r="C57">
        <v>-478.38</v>
      </c>
      <c r="D57" t="s">
        <v>99</v>
      </c>
      <c r="E57" t="s">
        <v>820</v>
      </c>
      <c r="F57" t="s">
        <v>69</v>
      </c>
      <c r="H57" t="s">
        <v>829</v>
      </c>
      <c r="I57" t="s">
        <v>71</v>
      </c>
      <c r="J57" t="b">
        <v>0</v>
      </c>
      <c r="K57" t="s">
        <v>830</v>
      </c>
      <c r="L57" t="str">
        <f>_xlfn.XLOOKUP(Transactions[[#This Row],[Account ID]],Accounts[Plaid Account ID],Accounts[Name],"Not Found",0)</f>
        <v>RBC Staff Banking</v>
      </c>
      <c r="M57" t="str">
        <f>_xlfn.XLOOKUP(Transactions[[#This Row],[Account ID]],Accounts[Plaid Account ID],Accounts[Institution Name],"Not Found",0)</f>
        <v>RBC Royal Bank</v>
      </c>
      <c r="N57" t="str">
        <f>IF(Transactions[[#This Row],[Amount]]&lt;0,"credit","debit")</f>
        <v>credit</v>
      </c>
      <c r="O57" t="str" cm="1">
        <f t="array" ref="O5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5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44724</v>
      </c>
      <c r="Q57" s="3">
        <f>DATE(YEAR(Transactions[[#This Row],[Datetime]]),MONTH(Transactions[[#This Row],[Datetime]]),1)</f>
        <v>44713</v>
      </c>
      <c r="R57" t="b">
        <f ca="1">AND(Transactions[[#This Row],[Datetime]]&gt;=EDATE(MAX(Transactions[Datetime]),-6),Transactions[[#This Row],[Datetime]]&lt;=TODAY())</f>
        <v>0</v>
      </c>
      <c r="S57" s="6">
        <f ca="1">AVERAGEIFS(Transactions[Month''s Total],Transactions[Recent],TRUE,Transactions[Custom Category],Transactions[[#This Row],[Custom Category]])</f>
        <v>-18125.097037037034</v>
      </c>
      <c r="T57">
        <f>SUMIFS(Transactions[Amount],Transactions[Month],Transactions[[#This Row],[Month]],Transactions[Custom Category],Transactions[[#This Row],[Custom Category]])</f>
        <v>-16751.079999999998</v>
      </c>
      <c r="U5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57">
        <f>IF(Transactions[[#This Row],[Month]]=Sel_Month,Transactions[[#This Row],[Amount]],0)</f>
        <v>0</v>
      </c>
    </row>
    <row r="58" spans="1:22" x14ac:dyDescent="0.25">
      <c r="A58" t="s">
        <v>61</v>
      </c>
      <c r="B58" t="s">
        <v>66</v>
      </c>
      <c r="C58">
        <v>1929.4</v>
      </c>
      <c r="D58" t="s">
        <v>67</v>
      </c>
      <c r="E58" t="s">
        <v>815</v>
      </c>
      <c r="F58" t="s">
        <v>69</v>
      </c>
      <c r="H58" t="s">
        <v>816</v>
      </c>
      <c r="I58" t="s">
        <v>71</v>
      </c>
      <c r="J58" t="b">
        <v>0</v>
      </c>
      <c r="K58" t="s">
        <v>817</v>
      </c>
      <c r="L58" t="str">
        <f>_xlfn.XLOOKUP(Transactions[[#This Row],[Account ID]],Accounts[Plaid Account ID],Accounts[Name],"Not Found",0)</f>
        <v>RBC Staff Banking</v>
      </c>
      <c r="M58" t="str">
        <f>_xlfn.XLOOKUP(Transactions[[#This Row],[Account ID]],Accounts[Plaid Account ID],Accounts[Institution Name],"Not Found",0)</f>
        <v>RBC Royal Bank</v>
      </c>
      <c r="N58" t="str">
        <f>IF(Transactions[[#This Row],[Amount]]&lt;0,"credit","debit")</f>
        <v>debit</v>
      </c>
      <c r="O58" t="str" cm="1">
        <f t="array" ref="O5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5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44735</v>
      </c>
      <c r="Q58" s="3">
        <f>DATE(YEAR(Transactions[[#This Row],[Datetime]]),MONTH(Transactions[[#This Row],[Datetime]]),1)</f>
        <v>44713</v>
      </c>
      <c r="R58" t="b">
        <f ca="1">AND(Transactions[[#This Row],[Datetime]]&gt;=EDATE(MAX(Transactions[Datetime]),-6),Transactions[[#This Row],[Datetime]]&lt;=TODAY())</f>
        <v>0</v>
      </c>
      <c r="S58" s="6">
        <f ca="1">AVERAGEIFS(Transactions[Month''s Total],Transactions[Recent],TRUE,Transactions[Custom Category],Transactions[[#This Row],[Custom Category]])</f>
        <v>12758.461333333335</v>
      </c>
      <c r="T58">
        <f>SUMIFS(Transactions[Amount],Transactions[Month],Transactions[[#This Row],[Month]],Transactions[Custom Category],Transactions[[#This Row],[Custom Category]])</f>
        <v>3965.91</v>
      </c>
      <c r="U5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58">
        <f>IF(Transactions[[#This Row],[Month]]=Sel_Month,Transactions[[#This Row],[Amount]],0)</f>
        <v>0</v>
      </c>
    </row>
    <row r="59" spans="1:22" x14ac:dyDescent="0.25">
      <c r="A59" t="s">
        <v>61</v>
      </c>
      <c r="B59" t="s">
        <v>66</v>
      </c>
      <c r="C59">
        <v>-2000</v>
      </c>
      <c r="D59" t="s">
        <v>99</v>
      </c>
      <c r="E59" t="s">
        <v>815</v>
      </c>
      <c r="F59" t="s">
        <v>69</v>
      </c>
      <c r="H59" t="s">
        <v>818</v>
      </c>
      <c r="I59" t="s">
        <v>71</v>
      </c>
      <c r="J59" t="b">
        <v>0</v>
      </c>
      <c r="K59" t="s">
        <v>819</v>
      </c>
      <c r="L59" t="str">
        <f>_xlfn.XLOOKUP(Transactions[[#This Row],[Account ID]],Accounts[Plaid Account ID],Accounts[Name],"Not Found",0)</f>
        <v>RBC Staff Banking</v>
      </c>
      <c r="M59" t="str">
        <f>_xlfn.XLOOKUP(Transactions[[#This Row],[Account ID]],Accounts[Plaid Account ID],Accounts[Institution Name],"Not Found",0)</f>
        <v>RBC Royal Bank</v>
      </c>
      <c r="N59" t="str">
        <f>IF(Transactions[[#This Row],[Amount]]&lt;0,"credit","debit")</f>
        <v>credit</v>
      </c>
      <c r="O59" t="str" cm="1">
        <f t="array" ref="O5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5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44735</v>
      </c>
      <c r="Q59" s="3">
        <f>DATE(YEAR(Transactions[[#This Row],[Datetime]]),MONTH(Transactions[[#This Row],[Datetime]]),1)</f>
        <v>44713</v>
      </c>
      <c r="R59" t="b">
        <f ca="1">AND(Transactions[[#This Row],[Datetime]]&gt;=EDATE(MAX(Transactions[Datetime]),-6),Transactions[[#This Row],[Datetime]]&lt;=TODAY())</f>
        <v>0</v>
      </c>
      <c r="S59" s="6">
        <f ca="1">AVERAGEIFS(Transactions[Month''s Total],Transactions[Recent],TRUE,Transactions[Custom Category],Transactions[[#This Row],[Custom Category]])</f>
        <v>-18125.097037037034</v>
      </c>
      <c r="T59">
        <f>SUMIFS(Transactions[Amount],Transactions[Month],Transactions[[#This Row],[Month]],Transactions[Custom Category],Transactions[[#This Row],[Custom Category]])</f>
        <v>-16751.079999999998</v>
      </c>
      <c r="U59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59">
        <f>IF(Transactions[[#This Row],[Month]]=Sel_Month,Transactions[[#This Row],[Amount]],0)</f>
        <v>0</v>
      </c>
    </row>
    <row r="60" spans="1:22" x14ac:dyDescent="0.25">
      <c r="A60" t="s">
        <v>61</v>
      </c>
      <c r="B60" t="s">
        <v>66</v>
      </c>
      <c r="C60">
        <v>2070.6</v>
      </c>
      <c r="D60" t="s">
        <v>67</v>
      </c>
      <c r="E60" t="s">
        <v>805</v>
      </c>
      <c r="F60" t="s">
        <v>69</v>
      </c>
      <c r="H60" t="s">
        <v>474</v>
      </c>
      <c r="I60" t="s">
        <v>71</v>
      </c>
      <c r="J60" t="b">
        <v>0</v>
      </c>
      <c r="K60" t="s">
        <v>806</v>
      </c>
      <c r="L60" t="str">
        <f>_xlfn.XLOOKUP(Transactions[[#This Row],[Account ID]],Accounts[Plaid Account ID],Accounts[Name],"Not Found",0)</f>
        <v>RBC Staff Banking</v>
      </c>
      <c r="M60" t="str">
        <f>_xlfn.XLOOKUP(Transactions[[#This Row],[Account ID]],Accounts[Plaid Account ID],Accounts[Institution Name],"Not Found",0)</f>
        <v>RBC Royal Bank</v>
      </c>
      <c r="N60" t="str">
        <f>IF(Transactions[[#This Row],[Amount]]&lt;0,"credit","debit")</f>
        <v>debit</v>
      </c>
      <c r="O60" t="str" cm="1">
        <f t="array" ref="O6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6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44738</v>
      </c>
      <c r="Q60" s="3">
        <f>DATE(YEAR(Transactions[[#This Row],[Datetime]]),MONTH(Transactions[[#This Row],[Datetime]]),1)</f>
        <v>44713</v>
      </c>
      <c r="R60" t="b">
        <f ca="1">AND(Transactions[[#This Row],[Datetime]]&gt;=EDATE(MAX(Transactions[Datetime]),-6),Transactions[[#This Row],[Datetime]]&lt;=TODAY())</f>
        <v>0</v>
      </c>
      <c r="S60" s="6">
        <f ca="1">AVERAGEIFS(Transactions[Month''s Total],Transactions[Recent],TRUE,Transactions[Custom Category],Transactions[[#This Row],[Custom Category]])</f>
        <v>14532.989714285719</v>
      </c>
      <c r="T60">
        <f>SUMIFS(Transactions[Amount],Transactions[Month],Transactions[[#This Row],[Month]],Transactions[Custom Category],Transactions[[#This Row],[Custom Category]])</f>
        <v>12786.17</v>
      </c>
      <c r="U6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60">
        <f>IF(Transactions[[#This Row],[Month]]=Sel_Month,Transactions[[#This Row],[Amount]],0)</f>
        <v>0</v>
      </c>
    </row>
    <row r="61" spans="1:22" x14ac:dyDescent="0.25">
      <c r="A61" t="s">
        <v>61</v>
      </c>
      <c r="B61" t="s">
        <v>66</v>
      </c>
      <c r="C61">
        <v>2000</v>
      </c>
      <c r="D61" t="s">
        <v>67</v>
      </c>
      <c r="E61" t="s">
        <v>805</v>
      </c>
      <c r="F61" t="s">
        <v>69</v>
      </c>
      <c r="H61" t="s">
        <v>474</v>
      </c>
      <c r="I61" t="s">
        <v>71</v>
      </c>
      <c r="J61" t="b">
        <v>0</v>
      </c>
      <c r="K61" t="s">
        <v>807</v>
      </c>
      <c r="L61" t="str">
        <f>_xlfn.XLOOKUP(Transactions[[#This Row],[Account ID]],Accounts[Plaid Account ID],Accounts[Name],"Not Found",0)</f>
        <v>RBC Staff Banking</v>
      </c>
      <c r="M61" t="str">
        <f>_xlfn.XLOOKUP(Transactions[[#This Row],[Account ID]],Accounts[Plaid Account ID],Accounts[Institution Name],"Not Found",0)</f>
        <v>RBC Royal Bank</v>
      </c>
      <c r="N61" t="str">
        <f>IF(Transactions[[#This Row],[Amount]]&lt;0,"credit","debit")</f>
        <v>debit</v>
      </c>
      <c r="O61" t="str" cm="1">
        <f t="array" ref="O6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6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44738</v>
      </c>
      <c r="Q61" s="3">
        <f>DATE(YEAR(Transactions[[#This Row],[Datetime]]),MONTH(Transactions[[#This Row],[Datetime]]),1)</f>
        <v>44713</v>
      </c>
      <c r="R61" t="b">
        <f ca="1">AND(Transactions[[#This Row],[Datetime]]&gt;=EDATE(MAX(Transactions[Datetime]),-6),Transactions[[#This Row],[Datetime]]&lt;=TODAY())</f>
        <v>0</v>
      </c>
      <c r="S61" s="6">
        <f ca="1">AVERAGEIFS(Transactions[Month''s Total],Transactions[Recent],TRUE,Transactions[Custom Category],Transactions[[#This Row],[Custom Category]])</f>
        <v>14532.989714285719</v>
      </c>
      <c r="T61">
        <f>SUMIFS(Transactions[Amount],Transactions[Month],Transactions[[#This Row],[Month]],Transactions[Custom Category],Transactions[[#This Row],[Custom Category]])</f>
        <v>12786.17</v>
      </c>
      <c r="U6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61">
        <f>IF(Transactions[[#This Row],[Month]]=Sel_Month,Transactions[[#This Row],[Amount]],0)</f>
        <v>0</v>
      </c>
    </row>
    <row r="62" spans="1:22" x14ac:dyDescent="0.25">
      <c r="A62" t="s">
        <v>61</v>
      </c>
      <c r="B62" t="s">
        <v>66</v>
      </c>
      <c r="C62">
        <v>483.37</v>
      </c>
      <c r="D62" t="s">
        <v>67</v>
      </c>
      <c r="E62" t="s">
        <v>805</v>
      </c>
      <c r="F62" t="s">
        <v>69</v>
      </c>
      <c r="H62" t="s">
        <v>474</v>
      </c>
      <c r="I62" t="s">
        <v>71</v>
      </c>
      <c r="J62" t="b">
        <v>0</v>
      </c>
      <c r="K62" t="s">
        <v>808</v>
      </c>
      <c r="L62" t="str">
        <f>_xlfn.XLOOKUP(Transactions[[#This Row],[Account ID]],Accounts[Plaid Account ID],Accounts[Name],"Not Found",0)</f>
        <v>RBC Staff Banking</v>
      </c>
      <c r="M62" t="str">
        <f>_xlfn.XLOOKUP(Transactions[[#This Row],[Account ID]],Accounts[Plaid Account ID],Accounts[Institution Name],"Not Found",0)</f>
        <v>RBC Royal Bank</v>
      </c>
      <c r="N62" t="str">
        <f>IF(Transactions[[#This Row],[Amount]]&lt;0,"credit","debit")</f>
        <v>debit</v>
      </c>
      <c r="O62" t="str" cm="1">
        <f t="array" ref="O6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6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44738</v>
      </c>
      <c r="Q62" s="3">
        <f>DATE(YEAR(Transactions[[#This Row],[Datetime]]),MONTH(Transactions[[#This Row],[Datetime]]),1)</f>
        <v>44713</v>
      </c>
      <c r="R62" t="b">
        <f ca="1">AND(Transactions[[#This Row],[Datetime]]&gt;=EDATE(MAX(Transactions[Datetime]),-6),Transactions[[#This Row],[Datetime]]&lt;=TODAY())</f>
        <v>0</v>
      </c>
      <c r="S62" s="6">
        <f ca="1">AVERAGEIFS(Transactions[Month''s Total],Transactions[Recent],TRUE,Transactions[Custom Category],Transactions[[#This Row],[Custom Category]])</f>
        <v>14532.989714285719</v>
      </c>
      <c r="T62">
        <f>SUMIFS(Transactions[Amount],Transactions[Month],Transactions[[#This Row],[Month]],Transactions[Custom Category],Transactions[[#This Row],[Custom Category]])</f>
        <v>12786.17</v>
      </c>
      <c r="U6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62">
        <f>IF(Transactions[[#This Row],[Month]]=Sel_Month,Transactions[[#This Row],[Amount]],0)</f>
        <v>0</v>
      </c>
    </row>
    <row r="63" spans="1:22" x14ac:dyDescent="0.25">
      <c r="A63" t="s">
        <v>61</v>
      </c>
      <c r="B63" t="s">
        <v>66</v>
      </c>
      <c r="C63">
        <v>-2000</v>
      </c>
      <c r="D63" t="s">
        <v>99</v>
      </c>
      <c r="E63" t="s">
        <v>805</v>
      </c>
      <c r="F63" t="s">
        <v>69</v>
      </c>
      <c r="H63" t="s">
        <v>809</v>
      </c>
      <c r="I63" t="s">
        <v>71</v>
      </c>
      <c r="J63" t="b">
        <v>0</v>
      </c>
      <c r="K63" t="s">
        <v>810</v>
      </c>
      <c r="L63" t="str">
        <f>_xlfn.XLOOKUP(Transactions[[#This Row],[Account ID]],Accounts[Plaid Account ID],Accounts[Name],"Not Found",0)</f>
        <v>RBC Staff Banking</v>
      </c>
      <c r="M63" t="str">
        <f>_xlfn.XLOOKUP(Transactions[[#This Row],[Account ID]],Accounts[Plaid Account ID],Accounts[Institution Name],"Not Found",0)</f>
        <v>RBC Royal Bank</v>
      </c>
      <c r="N63" t="str">
        <f>IF(Transactions[[#This Row],[Amount]]&lt;0,"credit","debit")</f>
        <v>credit</v>
      </c>
      <c r="O63" t="str" cm="1">
        <f t="array" ref="O6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6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44738</v>
      </c>
      <c r="Q63" s="3">
        <f>DATE(YEAR(Transactions[[#This Row],[Datetime]]),MONTH(Transactions[[#This Row],[Datetime]]),1)</f>
        <v>44713</v>
      </c>
      <c r="R63" t="b">
        <f ca="1">AND(Transactions[[#This Row],[Datetime]]&gt;=EDATE(MAX(Transactions[Datetime]),-6),Transactions[[#This Row],[Datetime]]&lt;=TODAY())</f>
        <v>0</v>
      </c>
      <c r="S63" s="6">
        <f ca="1">AVERAGEIFS(Transactions[Month''s Total],Transactions[Recent],TRUE,Transactions[Custom Category],Transactions[[#This Row],[Custom Category]])</f>
        <v>-18125.097037037034</v>
      </c>
      <c r="T63">
        <f>SUMIFS(Transactions[Amount],Transactions[Month],Transactions[[#This Row],[Month]],Transactions[Custom Category],Transactions[[#This Row],[Custom Category]])</f>
        <v>-16751.079999999998</v>
      </c>
      <c r="U6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63">
        <f>IF(Transactions[[#This Row],[Month]]=Sel_Month,Transactions[[#This Row],[Amount]],0)</f>
        <v>0</v>
      </c>
    </row>
    <row r="64" spans="1:22" x14ac:dyDescent="0.25">
      <c r="A64" t="s">
        <v>61</v>
      </c>
      <c r="B64" t="s">
        <v>66</v>
      </c>
      <c r="C64">
        <v>-2000</v>
      </c>
      <c r="D64" t="s">
        <v>99</v>
      </c>
      <c r="E64" t="s">
        <v>805</v>
      </c>
      <c r="F64" t="s">
        <v>69</v>
      </c>
      <c r="H64" t="s">
        <v>811</v>
      </c>
      <c r="I64" t="s">
        <v>71</v>
      </c>
      <c r="J64" t="b">
        <v>0</v>
      </c>
      <c r="K64" t="s">
        <v>812</v>
      </c>
      <c r="L64" t="str">
        <f>_xlfn.XLOOKUP(Transactions[[#This Row],[Account ID]],Accounts[Plaid Account ID],Accounts[Name],"Not Found",0)</f>
        <v>RBC Staff Banking</v>
      </c>
      <c r="M64" t="str">
        <f>_xlfn.XLOOKUP(Transactions[[#This Row],[Account ID]],Accounts[Plaid Account ID],Accounts[Institution Name],"Not Found",0)</f>
        <v>RBC Royal Bank</v>
      </c>
      <c r="N64" t="str">
        <f>IF(Transactions[[#This Row],[Amount]]&lt;0,"credit","debit")</f>
        <v>credit</v>
      </c>
      <c r="O64" t="str" cm="1">
        <f t="array" ref="O6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6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44738</v>
      </c>
      <c r="Q64" s="3">
        <f>DATE(YEAR(Transactions[[#This Row],[Datetime]]),MONTH(Transactions[[#This Row],[Datetime]]),1)</f>
        <v>44713</v>
      </c>
      <c r="R64" t="b">
        <f ca="1">AND(Transactions[[#This Row],[Datetime]]&gt;=EDATE(MAX(Transactions[Datetime]),-6),Transactions[[#This Row],[Datetime]]&lt;=TODAY())</f>
        <v>0</v>
      </c>
      <c r="S64" s="6">
        <f ca="1">AVERAGEIFS(Transactions[Month''s Total],Transactions[Recent],TRUE,Transactions[Custom Category],Transactions[[#This Row],[Custom Category]])</f>
        <v>-18125.097037037034</v>
      </c>
      <c r="T64">
        <f>SUMIFS(Transactions[Amount],Transactions[Month],Transactions[[#This Row],[Month]],Transactions[Custom Category],Transactions[[#This Row],[Custom Category]])</f>
        <v>-16751.079999999998</v>
      </c>
      <c r="U64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64">
        <f>IF(Transactions[[#This Row],[Month]]=Sel_Month,Transactions[[#This Row],[Amount]],0)</f>
        <v>0</v>
      </c>
    </row>
    <row r="65" spans="1:22" x14ac:dyDescent="0.25">
      <c r="A65" t="s">
        <v>61</v>
      </c>
      <c r="B65" t="s">
        <v>66</v>
      </c>
      <c r="C65">
        <v>-483.37</v>
      </c>
      <c r="D65" t="s">
        <v>99</v>
      </c>
      <c r="E65" t="s">
        <v>805</v>
      </c>
      <c r="F65" t="s">
        <v>69</v>
      </c>
      <c r="H65" t="s">
        <v>813</v>
      </c>
      <c r="I65" t="s">
        <v>71</v>
      </c>
      <c r="J65" t="b">
        <v>0</v>
      </c>
      <c r="K65" t="s">
        <v>814</v>
      </c>
      <c r="L65" t="str">
        <f>_xlfn.XLOOKUP(Transactions[[#This Row],[Account ID]],Accounts[Plaid Account ID],Accounts[Name],"Not Found",0)</f>
        <v>RBC Staff Banking</v>
      </c>
      <c r="M65" t="str">
        <f>_xlfn.XLOOKUP(Transactions[[#This Row],[Account ID]],Accounts[Plaid Account ID],Accounts[Institution Name],"Not Found",0)</f>
        <v>RBC Royal Bank</v>
      </c>
      <c r="N65" t="str">
        <f>IF(Transactions[[#This Row],[Amount]]&lt;0,"credit","debit")</f>
        <v>credit</v>
      </c>
      <c r="O65" t="str" cm="1">
        <f t="array" ref="O6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6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44738</v>
      </c>
      <c r="Q65" s="3">
        <f>DATE(YEAR(Transactions[[#This Row],[Datetime]]),MONTH(Transactions[[#This Row],[Datetime]]),1)</f>
        <v>44713</v>
      </c>
      <c r="R65" t="b">
        <f ca="1">AND(Transactions[[#This Row],[Datetime]]&gt;=EDATE(MAX(Transactions[Datetime]),-6),Transactions[[#This Row],[Datetime]]&lt;=TODAY())</f>
        <v>0</v>
      </c>
      <c r="S65" s="6">
        <f ca="1">AVERAGEIFS(Transactions[Month''s Total],Transactions[Recent],TRUE,Transactions[Custom Category],Transactions[[#This Row],[Custom Category]])</f>
        <v>-18125.097037037034</v>
      </c>
      <c r="T65">
        <f>SUMIFS(Transactions[Amount],Transactions[Month],Transactions[[#This Row],[Month]],Transactions[Custom Category],Transactions[[#This Row],[Custom Category]])</f>
        <v>-16751.079999999998</v>
      </c>
      <c r="U6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65">
        <f>IF(Transactions[[#This Row],[Month]]=Sel_Month,Transactions[[#This Row],[Amount]],0)</f>
        <v>0</v>
      </c>
    </row>
    <row r="66" spans="1:22" x14ac:dyDescent="0.25">
      <c r="A66" t="s">
        <v>61</v>
      </c>
      <c r="B66" t="s">
        <v>66</v>
      </c>
      <c r="C66">
        <v>2000</v>
      </c>
      <c r="D66" t="s">
        <v>67</v>
      </c>
      <c r="E66" t="s">
        <v>788</v>
      </c>
      <c r="F66" t="s">
        <v>69</v>
      </c>
      <c r="H66" t="s">
        <v>789</v>
      </c>
      <c r="I66" t="s">
        <v>71</v>
      </c>
      <c r="J66" t="b">
        <v>0</v>
      </c>
      <c r="K66" t="s">
        <v>790</v>
      </c>
      <c r="L66" t="str">
        <f>_xlfn.XLOOKUP(Transactions[[#This Row],[Account ID]],Accounts[Plaid Account ID],Accounts[Name],"Not Found",0)</f>
        <v>RBC Staff Banking</v>
      </c>
      <c r="M66" t="str">
        <f>_xlfn.XLOOKUP(Transactions[[#This Row],[Account ID]],Accounts[Plaid Account ID],Accounts[Institution Name],"Not Found",0)</f>
        <v>RBC Royal Bank</v>
      </c>
      <c r="N66" t="str">
        <f>IF(Transactions[[#This Row],[Amount]]&lt;0,"credit","debit")</f>
        <v>debit</v>
      </c>
      <c r="O66" t="str" cm="1">
        <f t="array" ref="O6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6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66" s="3">
        <f>DATE(YEAR(Transactions[[#This Row],[Datetime]]),MONTH(Transactions[[#This Row],[Datetime]]),1)</f>
        <v>44743</v>
      </c>
      <c r="R66" t="b">
        <f ca="1">AND(Transactions[[#This Row],[Datetime]]&gt;=EDATE(MAX(Transactions[Datetime]),-6),Transactions[[#This Row],[Datetime]]&lt;=TODAY())</f>
        <v>0</v>
      </c>
      <c r="S66" s="6">
        <f ca="1">AVERAGEIFS(Transactions[Month''s Total],Transactions[Recent],TRUE,Transactions[Custom Category],Transactions[[#This Row],[Custom Category]])</f>
        <v>12758.461333333335</v>
      </c>
      <c r="T66">
        <f>SUMIFS(Transactions[Amount],Transactions[Month],Transactions[[#This Row],[Month]],Transactions[Custom Category],Transactions[[#This Row],[Custom Category]])</f>
        <v>7958.3099999999995</v>
      </c>
      <c r="U6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66">
        <f>IF(Transactions[[#This Row],[Month]]=Sel_Month,Transactions[[#This Row],[Amount]],0)</f>
        <v>0</v>
      </c>
    </row>
    <row r="67" spans="1:22" x14ac:dyDescent="0.25">
      <c r="A67" t="s">
        <v>61</v>
      </c>
      <c r="B67" t="s">
        <v>66</v>
      </c>
      <c r="C67">
        <v>198.75</v>
      </c>
      <c r="D67" t="s">
        <v>67</v>
      </c>
      <c r="E67" t="s">
        <v>788</v>
      </c>
      <c r="F67" t="s">
        <v>69</v>
      </c>
      <c r="H67" t="s">
        <v>791</v>
      </c>
      <c r="I67" t="s">
        <v>71</v>
      </c>
      <c r="J67" t="b">
        <v>0</v>
      </c>
      <c r="K67" t="s">
        <v>792</v>
      </c>
      <c r="L67" t="str">
        <f>_xlfn.XLOOKUP(Transactions[[#This Row],[Account ID]],Accounts[Plaid Account ID],Accounts[Name],"Not Found",0)</f>
        <v>RBC Staff Banking</v>
      </c>
      <c r="M67" t="str">
        <f>_xlfn.XLOOKUP(Transactions[[#This Row],[Account ID]],Accounts[Plaid Account ID],Accounts[Institution Name],"Not Found",0)</f>
        <v>RBC Royal Bank</v>
      </c>
      <c r="N67" t="str">
        <f>IF(Transactions[[#This Row],[Amount]]&lt;0,"credit","debit")</f>
        <v>debit</v>
      </c>
      <c r="O67" t="str" cm="1">
        <f t="array" ref="O6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6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67" s="3">
        <f>DATE(YEAR(Transactions[[#This Row],[Datetime]]),MONTH(Transactions[[#This Row],[Datetime]]),1)</f>
        <v>44743</v>
      </c>
      <c r="R67" t="b">
        <f ca="1">AND(Transactions[[#This Row],[Datetime]]&gt;=EDATE(MAX(Transactions[Datetime]),-6),Transactions[[#This Row],[Datetime]]&lt;=TODAY())</f>
        <v>0</v>
      </c>
      <c r="S67" s="6">
        <f ca="1">AVERAGEIFS(Transactions[Month''s Total],Transactions[Recent],TRUE,Transactions[Custom Category],Transactions[[#This Row],[Custom Category]])</f>
        <v>12758.461333333335</v>
      </c>
      <c r="T67">
        <f>SUMIFS(Transactions[Amount],Transactions[Month],Transactions[[#This Row],[Month]],Transactions[Custom Category],Transactions[[#This Row],[Custom Category]])</f>
        <v>7958.3099999999995</v>
      </c>
      <c r="U6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67">
        <f>IF(Transactions[[#This Row],[Month]]=Sel_Month,Transactions[[#This Row],[Amount]],0)</f>
        <v>0</v>
      </c>
    </row>
    <row r="68" spans="1:22" x14ac:dyDescent="0.25">
      <c r="A68" t="s">
        <v>61</v>
      </c>
      <c r="B68" t="s">
        <v>66</v>
      </c>
      <c r="C68">
        <v>2000</v>
      </c>
      <c r="D68" t="s">
        <v>67</v>
      </c>
      <c r="E68" t="s">
        <v>788</v>
      </c>
      <c r="F68" t="s">
        <v>69</v>
      </c>
      <c r="H68" t="s">
        <v>474</v>
      </c>
      <c r="I68" t="s">
        <v>71</v>
      </c>
      <c r="J68" t="b">
        <v>0</v>
      </c>
      <c r="K68" t="s">
        <v>793</v>
      </c>
      <c r="L68" t="str">
        <f>_xlfn.XLOOKUP(Transactions[[#This Row],[Account ID]],Accounts[Plaid Account ID],Accounts[Name],"Not Found",0)</f>
        <v>RBC Staff Banking</v>
      </c>
      <c r="M68" t="str">
        <f>_xlfn.XLOOKUP(Transactions[[#This Row],[Account ID]],Accounts[Plaid Account ID],Accounts[Institution Name],"Not Found",0)</f>
        <v>RBC Royal Bank</v>
      </c>
      <c r="N68" t="str">
        <f>IF(Transactions[[#This Row],[Amount]]&lt;0,"credit","debit")</f>
        <v>debit</v>
      </c>
      <c r="O68" t="str" cm="1">
        <f t="array" ref="O6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6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68" s="3">
        <f>DATE(YEAR(Transactions[[#This Row],[Datetime]]),MONTH(Transactions[[#This Row],[Datetime]]),1)</f>
        <v>44743</v>
      </c>
      <c r="R68" t="b">
        <f ca="1">AND(Transactions[[#This Row],[Datetime]]&gt;=EDATE(MAX(Transactions[Datetime]),-6),Transactions[[#This Row],[Datetime]]&lt;=TODAY())</f>
        <v>0</v>
      </c>
      <c r="S68" s="6">
        <f ca="1">AVERAGEIFS(Transactions[Month''s Total],Transactions[Recent],TRUE,Transactions[Custom Category],Transactions[[#This Row],[Custom Category]])</f>
        <v>14532.989714285719</v>
      </c>
      <c r="T68">
        <f>SUMIFS(Transactions[Amount],Transactions[Month],Transactions[[#This Row],[Month]],Transactions[Custom Category],Transactions[[#This Row],[Custom Category]])</f>
        <v>6070</v>
      </c>
      <c r="U6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68">
        <f>IF(Transactions[[#This Row],[Month]]=Sel_Month,Transactions[[#This Row],[Amount]],0)</f>
        <v>0</v>
      </c>
    </row>
    <row r="69" spans="1:22" x14ac:dyDescent="0.25">
      <c r="A69" t="s">
        <v>61</v>
      </c>
      <c r="B69" t="s">
        <v>66</v>
      </c>
      <c r="C69">
        <v>1000</v>
      </c>
      <c r="D69" t="s">
        <v>67</v>
      </c>
      <c r="E69" t="s">
        <v>788</v>
      </c>
      <c r="F69" t="s">
        <v>69</v>
      </c>
      <c r="H69" t="s">
        <v>720</v>
      </c>
      <c r="I69" t="s">
        <v>71</v>
      </c>
      <c r="J69" t="b">
        <v>0</v>
      </c>
      <c r="K69" t="s">
        <v>794</v>
      </c>
      <c r="L69" t="str">
        <f>_xlfn.XLOOKUP(Transactions[[#This Row],[Account ID]],Accounts[Plaid Account ID],Accounts[Name],"Not Found",0)</f>
        <v>RBC Staff Banking</v>
      </c>
      <c r="M69" t="str">
        <f>_xlfn.XLOOKUP(Transactions[[#This Row],[Account ID]],Accounts[Plaid Account ID],Accounts[Institution Name],"Not Found",0)</f>
        <v>RBC Royal Bank</v>
      </c>
      <c r="N69" t="str">
        <f>IF(Transactions[[#This Row],[Amount]]&lt;0,"credit","debit")</f>
        <v>debit</v>
      </c>
      <c r="O69" t="str" cm="1">
        <f t="array" ref="O6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6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69" s="3">
        <f>DATE(YEAR(Transactions[[#This Row],[Datetime]]),MONTH(Transactions[[#This Row],[Datetime]]),1)</f>
        <v>44743</v>
      </c>
      <c r="R69" t="b">
        <f ca="1">AND(Transactions[[#This Row],[Datetime]]&gt;=EDATE(MAX(Transactions[Datetime]),-6),Transactions[[#This Row],[Datetime]]&lt;=TODAY())</f>
        <v>0</v>
      </c>
      <c r="S69" s="6">
        <f ca="1">AVERAGEIFS(Transactions[Month''s Total],Transactions[Recent],TRUE,Transactions[Custom Category],Transactions[[#This Row],[Custom Category]])</f>
        <v>14532.989714285719</v>
      </c>
      <c r="T69">
        <f>SUMIFS(Transactions[Amount],Transactions[Month],Transactions[[#This Row],[Month]],Transactions[Custom Category],Transactions[[#This Row],[Custom Category]])</f>
        <v>6070</v>
      </c>
      <c r="U6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69">
        <f>IF(Transactions[[#This Row],[Month]]=Sel_Month,Transactions[[#This Row],[Amount]],0)</f>
        <v>0</v>
      </c>
    </row>
    <row r="70" spans="1:22" x14ac:dyDescent="0.25">
      <c r="A70" t="s">
        <v>61</v>
      </c>
      <c r="B70" t="s">
        <v>66</v>
      </c>
      <c r="C70">
        <v>1000</v>
      </c>
      <c r="D70" t="s">
        <v>67</v>
      </c>
      <c r="E70" t="s">
        <v>788</v>
      </c>
      <c r="F70" t="s">
        <v>69</v>
      </c>
      <c r="H70" t="s">
        <v>474</v>
      </c>
      <c r="I70" t="s">
        <v>71</v>
      </c>
      <c r="J70" t="b">
        <v>0</v>
      </c>
      <c r="K70" t="s">
        <v>795</v>
      </c>
      <c r="L70" t="str">
        <f>_xlfn.XLOOKUP(Transactions[[#This Row],[Account ID]],Accounts[Plaid Account ID],Accounts[Name],"Not Found",0)</f>
        <v>RBC Staff Banking</v>
      </c>
      <c r="M70" t="str">
        <f>_xlfn.XLOOKUP(Transactions[[#This Row],[Account ID]],Accounts[Plaid Account ID],Accounts[Institution Name],"Not Found",0)</f>
        <v>RBC Royal Bank</v>
      </c>
      <c r="N70" t="str">
        <f>IF(Transactions[[#This Row],[Amount]]&lt;0,"credit","debit")</f>
        <v>debit</v>
      </c>
      <c r="O70" t="str" cm="1">
        <f t="array" ref="O7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7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70" s="3">
        <f>DATE(YEAR(Transactions[[#This Row],[Datetime]]),MONTH(Transactions[[#This Row],[Datetime]]),1)</f>
        <v>44743</v>
      </c>
      <c r="R70" t="b">
        <f ca="1">AND(Transactions[[#This Row],[Datetime]]&gt;=EDATE(MAX(Transactions[Datetime]),-6),Transactions[[#This Row],[Datetime]]&lt;=TODAY())</f>
        <v>0</v>
      </c>
      <c r="S70" s="6">
        <f ca="1">AVERAGEIFS(Transactions[Month''s Total],Transactions[Recent],TRUE,Transactions[Custom Category],Transactions[[#This Row],[Custom Category]])</f>
        <v>14532.989714285719</v>
      </c>
      <c r="T70">
        <f>SUMIFS(Transactions[Amount],Transactions[Month],Transactions[[#This Row],[Month]],Transactions[Custom Category],Transactions[[#This Row],[Custom Category]])</f>
        <v>6070</v>
      </c>
      <c r="U7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70">
        <f>IF(Transactions[[#This Row],[Month]]=Sel_Month,Transactions[[#This Row],[Amount]],0)</f>
        <v>0</v>
      </c>
    </row>
    <row r="71" spans="1:22" x14ac:dyDescent="0.25">
      <c r="A71" t="s">
        <v>61</v>
      </c>
      <c r="B71" t="s">
        <v>66</v>
      </c>
      <c r="C71">
        <v>1000</v>
      </c>
      <c r="D71" t="s">
        <v>67</v>
      </c>
      <c r="E71" t="s">
        <v>788</v>
      </c>
      <c r="F71" t="s">
        <v>69</v>
      </c>
      <c r="H71" t="s">
        <v>474</v>
      </c>
      <c r="I71" t="s">
        <v>71</v>
      </c>
      <c r="J71" t="b">
        <v>0</v>
      </c>
      <c r="K71" t="s">
        <v>796</v>
      </c>
      <c r="L71" t="str">
        <f>_xlfn.XLOOKUP(Transactions[[#This Row],[Account ID]],Accounts[Plaid Account ID],Accounts[Name],"Not Found",0)</f>
        <v>RBC Staff Banking</v>
      </c>
      <c r="M71" t="str">
        <f>_xlfn.XLOOKUP(Transactions[[#This Row],[Account ID]],Accounts[Plaid Account ID],Accounts[Institution Name],"Not Found",0)</f>
        <v>RBC Royal Bank</v>
      </c>
      <c r="N71" t="str">
        <f>IF(Transactions[[#This Row],[Amount]]&lt;0,"credit","debit")</f>
        <v>debit</v>
      </c>
      <c r="O71" t="str" cm="1">
        <f t="array" ref="O7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7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71" s="3">
        <f>DATE(YEAR(Transactions[[#This Row],[Datetime]]),MONTH(Transactions[[#This Row],[Datetime]]),1)</f>
        <v>44743</v>
      </c>
      <c r="R71" t="b">
        <f ca="1">AND(Transactions[[#This Row],[Datetime]]&gt;=EDATE(MAX(Transactions[Datetime]),-6),Transactions[[#This Row],[Datetime]]&lt;=TODAY())</f>
        <v>0</v>
      </c>
      <c r="S71" s="6">
        <f ca="1">AVERAGEIFS(Transactions[Month''s Total],Transactions[Recent],TRUE,Transactions[Custom Category],Transactions[[#This Row],[Custom Category]])</f>
        <v>14532.989714285719</v>
      </c>
      <c r="T71">
        <f>SUMIFS(Transactions[Amount],Transactions[Month],Transactions[[#This Row],[Month]],Transactions[Custom Category],Transactions[[#This Row],[Custom Category]])</f>
        <v>6070</v>
      </c>
      <c r="U7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71">
        <f>IF(Transactions[[#This Row],[Month]]=Sel_Month,Transactions[[#This Row],[Amount]],0)</f>
        <v>0</v>
      </c>
    </row>
    <row r="72" spans="1:22" x14ac:dyDescent="0.25">
      <c r="A72" t="s">
        <v>61</v>
      </c>
      <c r="B72" t="s">
        <v>66</v>
      </c>
      <c r="C72">
        <v>-2000</v>
      </c>
      <c r="D72" t="s">
        <v>99</v>
      </c>
      <c r="E72" t="s">
        <v>788</v>
      </c>
      <c r="F72" t="s">
        <v>69</v>
      </c>
      <c r="H72" t="s">
        <v>797</v>
      </c>
      <c r="I72" t="s">
        <v>71</v>
      </c>
      <c r="J72" t="b">
        <v>0</v>
      </c>
      <c r="K72" t="s">
        <v>798</v>
      </c>
      <c r="L72" t="str">
        <f>_xlfn.XLOOKUP(Transactions[[#This Row],[Account ID]],Accounts[Plaid Account ID],Accounts[Name],"Not Found",0)</f>
        <v>RBC Staff Banking</v>
      </c>
      <c r="M72" t="str">
        <f>_xlfn.XLOOKUP(Transactions[[#This Row],[Account ID]],Accounts[Plaid Account ID],Accounts[Institution Name],"Not Found",0)</f>
        <v>RBC Royal Bank</v>
      </c>
      <c r="N72" t="str">
        <f>IF(Transactions[[#This Row],[Amount]]&lt;0,"credit","debit")</f>
        <v>credit</v>
      </c>
      <c r="O72" t="str" cm="1">
        <f t="array" ref="O7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7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72" s="3">
        <f>DATE(YEAR(Transactions[[#This Row],[Datetime]]),MONTH(Transactions[[#This Row],[Datetime]]),1)</f>
        <v>44743</v>
      </c>
      <c r="R72" t="b">
        <f ca="1">AND(Transactions[[#This Row],[Datetime]]&gt;=EDATE(MAX(Transactions[Datetime]),-6),Transactions[[#This Row],[Datetime]]&lt;=TODAY())</f>
        <v>0</v>
      </c>
      <c r="S72" s="6">
        <f ca="1">AVERAGEIFS(Transactions[Month''s Total],Transactions[Recent],TRUE,Transactions[Custom Category],Transactions[[#This Row],[Custom Category]])</f>
        <v>-18125.097037037034</v>
      </c>
      <c r="T72">
        <f>SUMIFS(Transactions[Amount],Transactions[Month],Transactions[[#This Row],[Month]],Transactions[Custom Category],Transactions[[#This Row],[Custom Category]])</f>
        <v>-11682.13</v>
      </c>
      <c r="U72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72">
        <f>IF(Transactions[[#This Row],[Month]]=Sel_Month,Transactions[[#This Row],[Amount]],0)</f>
        <v>0</v>
      </c>
    </row>
    <row r="73" spans="1:22" x14ac:dyDescent="0.25">
      <c r="A73" t="s">
        <v>61</v>
      </c>
      <c r="B73" t="s">
        <v>66</v>
      </c>
      <c r="C73">
        <v>-2000</v>
      </c>
      <c r="D73" t="s">
        <v>99</v>
      </c>
      <c r="E73" t="s">
        <v>788</v>
      </c>
      <c r="F73" t="s">
        <v>69</v>
      </c>
      <c r="H73" t="s">
        <v>799</v>
      </c>
      <c r="I73" t="s">
        <v>71</v>
      </c>
      <c r="J73" t="b">
        <v>0</v>
      </c>
      <c r="K73" t="s">
        <v>800</v>
      </c>
      <c r="L73" t="str">
        <f>_xlfn.XLOOKUP(Transactions[[#This Row],[Account ID]],Accounts[Plaid Account ID],Accounts[Name],"Not Found",0)</f>
        <v>RBC Staff Banking</v>
      </c>
      <c r="M73" t="str">
        <f>_xlfn.XLOOKUP(Transactions[[#This Row],[Account ID]],Accounts[Plaid Account ID],Accounts[Institution Name],"Not Found",0)</f>
        <v>RBC Royal Bank</v>
      </c>
      <c r="N73" t="str">
        <f>IF(Transactions[[#This Row],[Amount]]&lt;0,"credit","debit")</f>
        <v>credit</v>
      </c>
      <c r="O73" t="str" cm="1">
        <f t="array" ref="O7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7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73" s="3">
        <f>DATE(YEAR(Transactions[[#This Row],[Datetime]]),MONTH(Transactions[[#This Row],[Datetime]]),1)</f>
        <v>44743</v>
      </c>
      <c r="R73" t="b">
        <f ca="1">AND(Transactions[[#This Row],[Datetime]]&gt;=EDATE(MAX(Transactions[Datetime]),-6),Transactions[[#This Row],[Datetime]]&lt;=TODAY())</f>
        <v>0</v>
      </c>
      <c r="S73" s="6">
        <f ca="1">AVERAGEIFS(Transactions[Month''s Total],Transactions[Recent],TRUE,Transactions[Custom Category],Transactions[[#This Row],[Custom Category]])</f>
        <v>-18125.097037037034</v>
      </c>
      <c r="T73">
        <f>SUMIFS(Transactions[Amount],Transactions[Month],Transactions[[#This Row],[Month]],Transactions[Custom Category],Transactions[[#This Row],[Custom Category]])</f>
        <v>-11682.13</v>
      </c>
      <c r="U7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73">
        <f>IF(Transactions[[#This Row],[Month]]=Sel_Month,Transactions[[#This Row],[Amount]],0)</f>
        <v>0</v>
      </c>
    </row>
    <row r="74" spans="1:22" x14ac:dyDescent="0.25">
      <c r="A74" t="s">
        <v>61</v>
      </c>
      <c r="B74" t="s">
        <v>66</v>
      </c>
      <c r="C74">
        <v>-2000</v>
      </c>
      <c r="D74" t="s">
        <v>99</v>
      </c>
      <c r="E74" t="s">
        <v>788</v>
      </c>
      <c r="F74" t="s">
        <v>69</v>
      </c>
      <c r="H74" t="s">
        <v>801</v>
      </c>
      <c r="I74" t="s">
        <v>71</v>
      </c>
      <c r="J74" t="b">
        <v>0</v>
      </c>
      <c r="K74" t="s">
        <v>802</v>
      </c>
      <c r="L74" t="str">
        <f>_xlfn.XLOOKUP(Transactions[[#This Row],[Account ID]],Accounts[Plaid Account ID],Accounts[Name],"Not Found",0)</f>
        <v>RBC Staff Banking</v>
      </c>
      <c r="M74" t="str">
        <f>_xlfn.XLOOKUP(Transactions[[#This Row],[Account ID]],Accounts[Plaid Account ID],Accounts[Institution Name],"Not Found",0)</f>
        <v>RBC Royal Bank</v>
      </c>
      <c r="N74" t="str">
        <f>IF(Transactions[[#This Row],[Amount]]&lt;0,"credit","debit")</f>
        <v>credit</v>
      </c>
      <c r="O74" t="str" cm="1">
        <f t="array" ref="O7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7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74" s="3">
        <f>DATE(YEAR(Transactions[[#This Row],[Datetime]]),MONTH(Transactions[[#This Row],[Datetime]]),1)</f>
        <v>44743</v>
      </c>
      <c r="R74" t="b">
        <f ca="1">AND(Transactions[[#This Row],[Datetime]]&gt;=EDATE(MAX(Transactions[Datetime]),-6),Transactions[[#This Row],[Datetime]]&lt;=TODAY())</f>
        <v>0</v>
      </c>
      <c r="S74" s="6">
        <f ca="1">AVERAGEIFS(Transactions[Month''s Total],Transactions[Recent],TRUE,Transactions[Custom Category],Transactions[[#This Row],[Custom Category]])</f>
        <v>-333.34666666666664</v>
      </c>
      <c r="T74">
        <f>SUMIFS(Transactions[Amount],Transactions[Month],Transactions[[#This Row],[Month]],Transactions[Custom Category],Transactions[[#This Row],[Custom Category]])</f>
        <v>-2354.5099999999998</v>
      </c>
      <c r="U74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74">
        <f>IF(Transactions[[#This Row],[Month]]=Sel_Month,Transactions[[#This Row],[Amount]],0)</f>
        <v>0</v>
      </c>
    </row>
    <row r="75" spans="1:22" x14ac:dyDescent="0.25">
      <c r="A75" t="s">
        <v>61</v>
      </c>
      <c r="B75" t="s">
        <v>66</v>
      </c>
      <c r="C75">
        <v>-1198.75</v>
      </c>
      <c r="D75" t="s">
        <v>99</v>
      </c>
      <c r="E75" t="s">
        <v>788</v>
      </c>
      <c r="F75" t="s">
        <v>69</v>
      </c>
      <c r="H75" t="s">
        <v>803</v>
      </c>
      <c r="I75" t="s">
        <v>71</v>
      </c>
      <c r="J75" t="b">
        <v>0</v>
      </c>
      <c r="K75" t="s">
        <v>804</v>
      </c>
      <c r="L75" t="str">
        <f>_xlfn.XLOOKUP(Transactions[[#This Row],[Account ID]],Accounts[Plaid Account ID],Accounts[Name],"Not Found",0)</f>
        <v>RBC Staff Banking</v>
      </c>
      <c r="M75" t="str">
        <f>_xlfn.XLOOKUP(Transactions[[#This Row],[Account ID]],Accounts[Plaid Account ID],Accounts[Institution Name],"Not Found",0)</f>
        <v>RBC Royal Bank</v>
      </c>
      <c r="N75" t="str">
        <f>IF(Transactions[[#This Row],[Amount]]&lt;0,"credit","debit")</f>
        <v>credit</v>
      </c>
      <c r="O75" t="str" cm="1">
        <f t="array" ref="O7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7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44752</v>
      </c>
      <c r="Q75" s="3">
        <f>DATE(YEAR(Transactions[[#This Row],[Datetime]]),MONTH(Transactions[[#This Row],[Datetime]]),1)</f>
        <v>44743</v>
      </c>
      <c r="R75" t="b">
        <f ca="1">AND(Transactions[[#This Row],[Datetime]]&gt;=EDATE(MAX(Transactions[Datetime]),-6),Transactions[[#This Row],[Datetime]]&lt;=TODAY())</f>
        <v>0</v>
      </c>
      <c r="S75" s="6">
        <f ca="1">AVERAGEIFS(Transactions[Month''s Total],Transactions[Recent],TRUE,Transactions[Custom Category],Transactions[[#This Row],[Custom Category]])</f>
        <v>-18125.097037037034</v>
      </c>
      <c r="T75">
        <f>SUMIFS(Transactions[Amount],Transactions[Month],Transactions[[#This Row],[Month]],Transactions[Custom Category],Transactions[[#This Row],[Custom Category]])</f>
        <v>-11682.13</v>
      </c>
      <c r="U7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75">
        <f>IF(Transactions[[#This Row],[Month]]=Sel_Month,Transactions[[#This Row],[Amount]],0)</f>
        <v>0</v>
      </c>
    </row>
    <row r="76" spans="1:22" x14ac:dyDescent="0.25">
      <c r="A76" t="s">
        <v>61</v>
      </c>
      <c r="B76" t="s">
        <v>66</v>
      </c>
      <c r="C76">
        <v>-1000</v>
      </c>
      <c r="D76" t="s">
        <v>99</v>
      </c>
      <c r="E76" t="s">
        <v>786</v>
      </c>
      <c r="F76" t="s">
        <v>69</v>
      </c>
      <c r="H76" t="s">
        <v>655</v>
      </c>
      <c r="I76" t="s">
        <v>71</v>
      </c>
      <c r="J76" t="b">
        <v>0</v>
      </c>
      <c r="K76" t="s">
        <v>787</v>
      </c>
      <c r="L76" t="str">
        <f>_xlfn.XLOOKUP(Transactions[[#This Row],[Account ID]],Accounts[Plaid Account ID],Accounts[Name],"Not Found",0)</f>
        <v>RBC Staff Banking</v>
      </c>
      <c r="M76" t="str">
        <f>_xlfn.XLOOKUP(Transactions[[#This Row],[Account ID]],Accounts[Plaid Account ID],Accounts[Institution Name],"Not Found",0)</f>
        <v>RBC Royal Bank</v>
      </c>
      <c r="N76" t="str">
        <f>IF(Transactions[[#This Row],[Amount]]&lt;0,"credit","debit")</f>
        <v>credit</v>
      </c>
      <c r="O76" t="str" cm="1">
        <f t="array" ref="O7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7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44755</v>
      </c>
      <c r="Q76" s="3">
        <f>DATE(YEAR(Transactions[[#This Row],[Datetime]]),MONTH(Transactions[[#This Row],[Datetime]]),1)</f>
        <v>44743</v>
      </c>
      <c r="R76" t="b">
        <f ca="1">AND(Transactions[[#This Row],[Datetime]]&gt;=EDATE(MAX(Transactions[Datetime]),-6),Transactions[[#This Row],[Datetime]]&lt;=TODAY())</f>
        <v>0</v>
      </c>
      <c r="S76" s="6">
        <f ca="1">AVERAGEIFS(Transactions[Month''s Total],Transactions[Recent],TRUE,Transactions[Custom Category],Transactions[[#This Row],[Custom Category]])</f>
        <v>14532.989714285719</v>
      </c>
      <c r="T76">
        <f>SUMIFS(Transactions[Amount],Transactions[Month],Transactions[[#This Row],[Month]],Transactions[Custom Category],Transactions[[#This Row],[Custom Category]])</f>
        <v>6070</v>
      </c>
      <c r="U7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76">
        <f>IF(Transactions[[#This Row],[Month]]=Sel_Month,Transactions[[#This Row],[Amount]],0)</f>
        <v>0</v>
      </c>
    </row>
    <row r="77" spans="1:22" x14ac:dyDescent="0.25">
      <c r="A77" t="s">
        <v>61</v>
      </c>
      <c r="B77" t="s">
        <v>66</v>
      </c>
      <c r="C77">
        <v>1000</v>
      </c>
      <c r="D77" t="s">
        <v>67</v>
      </c>
      <c r="E77" t="s">
        <v>783</v>
      </c>
      <c r="F77" t="s">
        <v>69</v>
      </c>
      <c r="H77" t="s">
        <v>784</v>
      </c>
      <c r="I77" t="s">
        <v>71</v>
      </c>
      <c r="J77" t="b">
        <v>0</v>
      </c>
      <c r="K77" t="s">
        <v>785</v>
      </c>
      <c r="L77" t="str">
        <f>_xlfn.XLOOKUP(Transactions[[#This Row],[Account ID]],Accounts[Plaid Account ID],Accounts[Name],"Not Found",0)</f>
        <v>RBC Staff Banking</v>
      </c>
      <c r="M77" t="str">
        <f>_xlfn.XLOOKUP(Transactions[[#This Row],[Account ID]],Accounts[Plaid Account ID],Accounts[Institution Name],"Not Found",0)</f>
        <v>RBC Royal Bank</v>
      </c>
      <c r="N77" t="str">
        <f>IF(Transactions[[#This Row],[Amount]]&lt;0,"credit","debit")</f>
        <v>debit</v>
      </c>
      <c r="O77" t="str" cm="1">
        <f t="array" ref="O7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7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44756</v>
      </c>
      <c r="Q77" s="3">
        <f>DATE(YEAR(Transactions[[#This Row],[Datetime]]),MONTH(Transactions[[#This Row],[Datetime]]),1)</f>
        <v>44743</v>
      </c>
      <c r="R77" t="b">
        <f ca="1">AND(Transactions[[#This Row],[Datetime]]&gt;=EDATE(MAX(Transactions[Datetime]),-6),Transactions[[#This Row],[Datetime]]&lt;=TODAY())</f>
        <v>0</v>
      </c>
      <c r="S77" s="6">
        <f ca="1">AVERAGEIFS(Transactions[Month''s Total],Transactions[Recent],TRUE,Transactions[Custom Category],Transactions[[#This Row],[Custom Category]])</f>
        <v>12758.461333333335</v>
      </c>
      <c r="T77">
        <f>SUMIFS(Transactions[Amount],Transactions[Month],Transactions[[#This Row],[Month]],Transactions[Custom Category],Transactions[[#This Row],[Custom Category]])</f>
        <v>7958.3099999999995</v>
      </c>
      <c r="U7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77">
        <f>IF(Transactions[[#This Row],[Month]]=Sel_Month,Transactions[[#This Row],[Amount]],0)</f>
        <v>0</v>
      </c>
    </row>
    <row r="78" spans="1:22" x14ac:dyDescent="0.25">
      <c r="A78" t="s">
        <v>61</v>
      </c>
      <c r="B78" t="s">
        <v>66</v>
      </c>
      <c r="C78">
        <v>159.56</v>
      </c>
      <c r="D78" t="s">
        <v>67</v>
      </c>
      <c r="E78" t="s">
        <v>779</v>
      </c>
      <c r="F78" t="s">
        <v>69</v>
      </c>
      <c r="H78" t="s">
        <v>780</v>
      </c>
      <c r="I78" t="s">
        <v>71</v>
      </c>
      <c r="J78" t="b">
        <v>0</v>
      </c>
      <c r="K78" t="s">
        <v>781</v>
      </c>
      <c r="L78" t="str">
        <f>_xlfn.XLOOKUP(Transactions[[#This Row],[Account ID]],Accounts[Plaid Account ID],Accounts[Name],"Not Found",0)</f>
        <v>RBC Staff Banking</v>
      </c>
      <c r="M78" t="str">
        <f>_xlfn.XLOOKUP(Transactions[[#This Row],[Account ID]],Accounts[Plaid Account ID],Accounts[Institution Name],"Not Found",0)</f>
        <v>RBC Royal Bank</v>
      </c>
      <c r="N78" t="str">
        <f>IF(Transactions[[#This Row],[Amount]]&lt;0,"credit","debit")</f>
        <v>debit</v>
      </c>
      <c r="O78" t="str" cm="1">
        <f t="array" ref="O7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7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44759</v>
      </c>
      <c r="Q78" s="3">
        <f>DATE(YEAR(Transactions[[#This Row],[Datetime]]),MONTH(Transactions[[#This Row],[Datetime]]),1)</f>
        <v>44743</v>
      </c>
      <c r="R78" t="b">
        <f ca="1">AND(Transactions[[#This Row],[Datetime]]&gt;=EDATE(MAX(Transactions[Datetime]),-6),Transactions[[#This Row],[Datetime]]&lt;=TODAY())</f>
        <v>0</v>
      </c>
      <c r="S78" s="6">
        <f ca="1">AVERAGEIFS(Transactions[Month''s Total],Transactions[Recent],TRUE,Transactions[Custom Category],Transactions[[#This Row],[Custom Category]])</f>
        <v>12758.461333333335</v>
      </c>
      <c r="T78">
        <f>SUMIFS(Transactions[Amount],Transactions[Month],Transactions[[#This Row],[Month]],Transactions[Custom Category],Transactions[[#This Row],[Custom Category]])</f>
        <v>7958.3099999999995</v>
      </c>
      <c r="U7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78">
        <f>IF(Transactions[[#This Row],[Month]]=Sel_Month,Transactions[[#This Row],[Amount]],0)</f>
        <v>0</v>
      </c>
    </row>
    <row r="79" spans="1:22" x14ac:dyDescent="0.25">
      <c r="A79" t="s">
        <v>61</v>
      </c>
      <c r="B79" t="s">
        <v>66</v>
      </c>
      <c r="C79">
        <v>-159.56</v>
      </c>
      <c r="D79" t="s">
        <v>99</v>
      </c>
      <c r="E79" t="s">
        <v>779</v>
      </c>
      <c r="F79" t="s">
        <v>69</v>
      </c>
      <c r="H79" t="s">
        <v>759</v>
      </c>
      <c r="I79" t="s">
        <v>71</v>
      </c>
      <c r="J79" t="b">
        <v>0</v>
      </c>
      <c r="K79" t="s">
        <v>782</v>
      </c>
      <c r="L79" t="str">
        <f>_xlfn.XLOOKUP(Transactions[[#This Row],[Account ID]],Accounts[Plaid Account ID],Accounts[Name],"Not Found",0)</f>
        <v>RBC Staff Banking</v>
      </c>
      <c r="M79" t="str">
        <f>_xlfn.XLOOKUP(Transactions[[#This Row],[Account ID]],Accounts[Plaid Account ID],Accounts[Institution Name],"Not Found",0)</f>
        <v>RBC Royal Bank</v>
      </c>
      <c r="N79" t="str">
        <f>IF(Transactions[[#This Row],[Amount]]&lt;0,"credit","debit")</f>
        <v>credit</v>
      </c>
      <c r="O79" t="str" cm="1">
        <f t="array" ref="O7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7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44759</v>
      </c>
      <c r="Q79" s="3">
        <f>DATE(YEAR(Transactions[[#This Row],[Datetime]]),MONTH(Transactions[[#This Row],[Datetime]]),1)</f>
        <v>44743</v>
      </c>
      <c r="R79" t="b">
        <f ca="1">AND(Transactions[[#This Row],[Datetime]]&gt;=EDATE(MAX(Transactions[Datetime]),-6),Transactions[[#This Row],[Datetime]]&lt;=TODAY())</f>
        <v>0</v>
      </c>
      <c r="S79" s="6">
        <f ca="1">AVERAGEIFS(Transactions[Month''s Total],Transactions[Recent],TRUE,Transactions[Custom Category],Transactions[[#This Row],[Custom Category]])</f>
        <v>-333.34666666666664</v>
      </c>
      <c r="T79">
        <f>SUMIFS(Transactions[Amount],Transactions[Month],Transactions[[#This Row],[Month]],Transactions[Custom Category],Transactions[[#This Row],[Custom Category]])</f>
        <v>-2354.5099999999998</v>
      </c>
      <c r="U79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79">
        <f>IF(Transactions[[#This Row],[Month]]=Sel_Month,Transactions[[#This Row],[Amount]],0)</f>
        <v>0</v>
      </c>
    </row>
    <row r="80" spans="1:22" x14ac:dyDescent="0.25">
      <c r="A80" t="s">
        <v>61</v>
      </c>
      <c r="B80" t="s">
        <v>66</v>
      </c>
      <c r="C80">
        <v>2000</v>
      </c>
      <c r="D80" t="s">
        <v>67</v>
      </c>
      <c r="E80" t="s">
        <v>774</v>
      </c>
      <c r="F80" t="s">
        <v>69</v>
      </c>
      <c r="H80" t="s">
        <v>775</v>
      </c>
      <c r="I80" t="s">
        <v>71</v>
      </c>
      <c r="J80" t="b">
        <v>0</v>
      </c>
      <c r="K80" t="s">
        <v>776</v>
      </c>
      <c r="L80" t="str">
        <f>_xlfn.XLOOKUP(Transactions[[#This Row],[Account ID]],Accounts[Plaid Account ID],Accounts[Name],"Not Found",0)</f>
        <v>RBC Staff Banking</v>
      </c>
      <c r="M80" t="str">
        <f>_xlfn.XLOOKUP(Transactions[[#This Row],[Account ID]],Accounts[Plaid Account ID],Accounts[Institution Name],"Not Found",0)</f>
        <v>RBC Royal Bank</v>
      </c>
      <c r="N80" t="str">
        <f>IF(Transactions[[#This Row],[Amount]]&lt;0,"credit","debit")</f>
        <v>debit</v>
      </c>
      <c r="O80" t="str" cm="1">
        <f t="array" ref="O8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8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44763</v>
      </c>
      <c r="Q80" s="3">
        <f>DATE(YEAR(Transactions[[#This Row],[Datetime]]),MONTH(Transactions[[#This Row],[Datetime]]),1)</f>
        <v>44743</v>
      </c>
      <c r="R80" t="b">
        <f ca="1">AND(Transactions[[#This Row],[Datetime]]&gt;=EDATE(MAX(Transactions[Datetime]),-6),Transactions[[#This Row],[Datetime]]&lt;=TODAY())</f>
        <v>0</v>
      </c>
      <c r="S80" s="6">
        <f ca="1">AVERAGEIFS(Transactions[Month''s Total],Transactions[Recent],TRUE,Transactions[Custom Category],Transactions[[#This Row],[Custom Category]])</f>
        <v>12758.461333333335</v>
      </c>
      <c r="T80">
        <f>SUMIFS(Transactions[Amount],Transactions[Month],Transactions[[#This Row],[Month]],Transactions[Custom Category],Transactions[[#This Row],[Custom Category]])</f>
        <v>7958.3099999999995</v>
      </c>
      <c r="U8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80">
        <f>IF(Transactions[[#This Row],[Month]]=Sel_Month,Transactions[[#This Row],[Amount]],0)</f>
        <v>0</v>
      </c>
    </row>
    <row r="81" spans="1:22" x14ac:dyDescent="0.25">
      <c r="A81" t="s">
        <v>61</v>
      </c>
      <c r="B81" t="s">
        <v>66</v>
      </c>
      <c r="C81">
        <v>-2000</v>
      </c>
      <c r="D81" t="s">
        <v>99</v>
      </c>
      <c r="E81" t="s">
        <v>774</v>
      </c>
      <c r="F81" t="s">
        <v>69</v>
      </c>
      <c r="H81" t="s">
        <v>777</v>
      </c>
      <c r="I81" t="s">
        <v>71</v>
      </c>
      <c r="J81" t="b">
        <v>0</v>
      </c>
      <c r="K81" t="s">
        <v>778</v>
      </c>
      <c r="L81" t="str">
        <f>_xlfn.XLOOKUP(Transactions[[#This Row],[Account ID]],Accounts[Plaid Account ID],Accounts[Name],"Not Found",0)</f>
        <v>RBC Staff Banking</v>
      </c>
      <c r="M81" t="str">
        <f>_xlfn.XLOOKUP(Transactions[[#This Row],[Account ID]],Accounts[Plaid Account ID],Accounts[Institution Name],"Not Found",0)</f>
        <v>RBC Royal Bank</v>
      </c>
      <c r="N81" t="str">
        <f>IF(Transactions[[#This Row],[Amount]]&lt;0,"credit","debit")</f>
        <v>credit</v>
      </c>
      <c r="O81" t="str" cm="1">
        <f t="array" ref="O8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8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44763</v>
      </c>
      <c r="Q81" s="3">
        <f>DATE(YEAR(Transactions[[#This Row],[Datetime]]),MONTH(Transactions[[#This Row],[Datetime]]),1)</f>
        <v>44743</v>
      </c>
      <c r="R81" t="b">
        <f ca="1">AND(Transactions[[#This Row],[Datetime]]&gt;=EDATE(MAX(Transactions[Datetime]),-6),Transactions[[#This Row],[Datetime]]&lt;=TODAY())</f>
        <v>0</v>
      </c>
      <c r="S81" s="6">
        <f ca="1">AVERAGEIFS(Transactions[Month''s Total],Transactions[Recent],TRUE,Transactions[Custom Category],Transactions[[#This Row],[Custom Category]])</f>
        <v>-18125.097037037034</v>
      </c>
      <c r="T81">
        <f>SUMIFS(Transactions[Amount],Transactions[Month],Transactions[[#This Row],[Month]],Transactions[Custom Category],Transactions[[#This Row],[Custom Category]])</f>
        <v>-11682.13</v>
      </c>
      <c r="U81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81">
        <f>IF(Transactions[[#This Row],[Month]]=Sel_Month,Transactions[[#This Row],[Amount]],0)</f>
        <v>0</v>
      </c>
    </row>
    <row r="82" spans="1:22" x14ac:dyDescent="0.25">
      <c r="A82" t="s">
        <v>61</v>
      </c>
      <c r="B82" t="s">
        <v>66</v>
      </c>
      <c r="C82">
        <v>500</v>
      </c>
      <c r="D82" t="s">
        <v>67</v>
      </c>
      <c r="E82" t="s">
        <v>764</v>
      </c>
      <c r="F82" t="s">
        <v>69</v>
      </c>
      <c r="H82" t="s">
        <v>765</v>
      </c>
      <c r="I82" t="s">
        <v>71</v>
      </c>
      <c r="J82" t="b">
        <v>0</v>
      </c>
      <c r="K82" t="s">
        <v>766</v>
      </c>
      <c r="L82" t="str">
        <f>_xlfn.XLOOKUP(Transactions[[#This Row],[Account ID]],Accounts[Plaid Account ID],Accounts[Name],"Not Found",0)</f>
        <v>RBC Staff Banking</v>
      </c>
      <c r="M82" t="str">
        <f>_xlfn.XLOOKUP(Transactions[[#This Row],[Account ID]],Accounts[Plaid Account ID],Accounts[Institution Name],"Not Found",0)</f>
        <v>RBC Royal Bank</v>
      </c>
      <c r="N82" t="str">
        <f>IF(Transactions[[#This Row],[Amount]]&lt;0,"credit","debit")</f>
        <v>debit</v>
      </c>
      <c r="O82" t="str" cm="1">
        <f t="array" ref="O8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8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44766</v>
      </c>
      <c r="Q82" s="3">
        <f>DATE(YEAR(Transactions[[#This Row],[Datetime]]),MONTH(Transactions[[#This Row],[Datetime]]),1)</f>
        <v>44743</v>
      </c>
      <c r="R82" t="b">
        <f ca="1">AND(Transactions[[#This Row],[Datetime]]&gt;=EDATE(MAX(Transactions[Datetime]),-6),Transactions[[#This Row],[Datetime]]&lt;=TODAY())</f>
        <v>0</v>
      </c>
      <c r="S82" s="6">
        <f ca="1">AVERAGEIFS(Transactions[Month''s Total],Transactions[Recent],TRUE,Transactions[Custom Category],Transactions[[#This Row],[Custom Category]])</f>
        <v>12758.461333333335</v>
      </c>
      <c r="T82">
        <f>SUMIFS(Transactions[Amount],Transactions[Month],Transactions[[#This Row],[Month]],Transactions[Custom Category],Transactions[[#This Row],[Custom Category]])</f>
        <v>7958.3099999999995</v>
      </c>
      <c r="U82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82">
        <f>IF(Transactions[[#This Row],[Month]]=Sel_Month,Transactions[[#This Row],[Amount]],0)</f>
        <v>0</v>
      </c>
    </row>
    <row r="83" spans="1:22" x14ac:dyDescent="0.25">
      <c r="A83" t="s">
        <v>61</v>
      </c>
      <c r="B83" t="s">
        <v>66</v>
      </c>
      <c r="C83">
        <v>1500</v>
      </c>
      <c r="D83" t="s">
        <v>67</v>
      </c>
      <c r="E83" t="s">
        <v>764</v>
      </c>
      <c r="F83" t="s">
        <v>69</v>
      </c>
      <c r="H83" t="s">
        <v>474</v>
      </c>
      <c r="I83" t="s">
        <v>71</v>
      </c>
      <c r="J83" t="b">
        <v>0</v>
      </c>
      <c r="K83" t="s">
        <v>767</v>
      </c>
      <c r="L83" t="str">
        <f>_xlfn.XLOOKUP(Transactions[[#This Row],[Account ID]],Accounts[Plaid Account ID],Accounts[Name],"Not Found",0)</f>
        <v>RBC Staff Banking</v>
      </c>
      <c r="M83" t="str">
        <f>_xlfn.XLOOKUP(Transactions[[#This Row],[Account ID]],Accounts[Plaid Account ID],Accounts[Institution Name],"Not Found",0)</f>
        <v>RBC Royal Bank</v>
      </c>
      <c r="N83" t="str">
        <f>IF(Transactions[[#This Row],[Amount]]&lt;0,"credit","debit")</f>
        <v>debit</v>
      </c>
      <c r="O83" t="str" cm="1">
        <f t="array" ref="O8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8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44766</v>
      </c>
      <c r="Q83" s="3">
        <f>DATE(YEAR(Transactions[[#This Row],[Datetime]]),MONTH(Transactions[[#This Row],[Datetime]]),1)</f>
        <v>44743</v>
      </c>
      <c r="R83" t="b">
        <f ca="1">AND(Transactions[[#This Row],[Datetime]]&gt;=EDATE(MAX(Transactions[Datetime]),-6),Transactions[[#This Row],[Datetime]]&lt;=TODAY())</f>
        <v>0</v>
      </c>
      <c r="S83" s="6">
        <f ca="1">AVERAGEIFS(Transactions[Month''s Total],Transactions[Recent],TRUE,Transactions[Custom Category],Transactions[[#This Row],[Custom Category]])</f>
        <v>14532.989714285719</v>
      </c>
      <c r="T83">
        <f>SUMIFS(Transactions[Amount],Transactions[Month],Transactions[[#This Row],[Month]],Transactions[Custom Category],Transactions[[#This Row],[Custom Category]])</f>
        <v>6070</v>
      </c>
      <c r="U8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83">
        <f>IF(Transactions[[#This Row],[Month]]=Sel_Month,Transactions[[#This Row],[Amount]],0)</f>
        <v>0</v>
      </c>
    </row>
    <row r="84" spans="1:22" x14ac:dyDescent="0.25">
      <c r="A84" t="s">
        <v>61</v>
      </c>
      <c r="B84" t="s">
        <v>66</v>
      </c>
      <c r="C84">
        <v>310</v>
      </c>
      <c r="D84" t="s">
        <v>67</v>
      </c>
      <c r="E84" t="s">
        <v>764</v>
      </c>
      <c r="F84" t="s">
        <v>69</v>
      </c>
      <c r="H84" t="s">
        <v>474</v>
      </c>
      <c r="I84" t="s">
        <v>71</v>
      </c>
      <c r="J84" t="b">
        <v>0</v>
      </c>
      <c r="K84" t="s">
        <v>768</v>
      </c>
      <c r="L84" t="str">
        <f>_xlfn.XLOOKUP(Transactions[[#This Row],[Account ID]],Accounts[Plaid Account ID],Accounts[Name],"Not Found",0)</f>
        <v>RBC Staff Banking</v>
      </c>
      <c r="M84" t="str">
        <f>_xlfn.XLOOKUP(Transactions[[#This Row],[Account ID]],Accounts[Plaid Account ID],Accounts[Institution Name],"Not Found",0)</f>
        <v>RBC Royal Bank</v>
      </c>
      <c r="N84" t="str">
        <f>IF(Transactions[[#This Row],[Amount]]&lt;0,"credit","debit")</f>
        <v>debit</v>
      </c>
      <c r="O84" t="str" cm="1">
        <f t="array" ref="O8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8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44766</v>
      </c>
      <c r="Q84" s="3">
        <f>DATE(YEAR(Transactions[[#This Row],[Datetime]]),MONTH(Transactions[[#This Row],[Datetime]]),1)</f>
        <v>44743</v>
      </c>
      <c r="R84" t="b">
        <f ca="1">AND(Transactions[[#This Row],[Datetime]]&gt;=EDATE(MAX(Transactions[Datetime]),-6),Transactions[[#This Row],[Datetime]]&lt;=TODAY())</f>
        <v>0</v>
      </c>
      <c r="S84" s="6">
        <f ca="1">AVERAGEIFS(Transactions[Month''s Total],Transactions[Recent],TRUE,Transactions[Custom Category],Transactions[[#This Row],[Custom Category]])</f>
        <v>14532.989714285719</v>
      </c>
      <c r="T84">
        <f>SUMIFS(Transactions[Amount],Transactions[Month],Transactions[[#This Row],[Month]],Transactions[Custom Category],Transactions[[#This Row],[Custom Category]])</f>
        <v>6070</v>
      </c>
      <c r="U8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84">
        <f>IF(Transactions[[#This Row],[Month]]=Sel_Month,Transactions[[#This Row],[Amount]],0)</f>
        <v>0</v>
      </c>
    </row>
    <row r="85" spans="1:22" x14ac:dyDescent="0.25">
      <c r="A85" t="s">
        <v>61</v>
      </c>
      <c r="B85" t="s">
        <v>66</v>
      </c>
      <c r="C85">
        <v>260</v>
      </c>
      <c r="D85" t="s">
        <v>67</v>
      </c>
      <c r="E85" t="s">
        <v>764</v>
      </c>
      <c r="F85" t="s">
        <v>69</v>
      </c>
      <c r="H85" t="s">
        <v>720</v>
      </c>
      <c r="I85" t="s">
        <v>71</v>
      </c>
      <c r="J85" t="b">
        <v>0</v>
      </c>
      <c r="K85" t="s">
        <v>769</v>
      </c>
      <c r="L85" t="str">
        <f>_xlfn.XLOOKUP(Transactions[[#This Row],[Account ID]],Accounts[Plaid Account ID],Accounts[Name],"Not Found",0)</f>
        <v>RBC Staff Banking</v>
      </c>
      <c r="M85" t="str">
        <f>_xlfn.XLOOKUP(Transactions[[#This Row],[Account ID]],Accounts[Plaid Account ID],Accounts[Institution Name],"Not Found",0)</f>
        <v>RBC Royal Bank</v>
      </c>
      <c r="N85" t="str">
        <f>IF(Transactions[[#This Row],[Amount]]&lt;0,"credit","debit")</f>
        <v>debit</v>
      </c>
      <c r="O85" t="str" cm="1">
        <f t="array" ref="O8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8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44766</v>
      </c>
      <c r="Q85" s="3">
        <f>DATE(YEAR(Transactions[[#This Row],[Datetime]]),MONTH(Transactions[[#This Row],[Datetime]]),1)</f>
        <v>44743</v>
      </c>
      <c r="R85" t="b">
        <f ca="1">AND(Transactions[[#This Row],[Datetime]]&gt;=EDATE(MAX(Transactions[Datetime]),-6),Transactions[[#This Row],[Datetime]]&lt;=TODAY())</f>
        <v>0</v>
      </c>
      <c r="S85" s="6">
        <f ca="1">AVERAGEIFS(Transactions[Month''s Total],Transactions[Recent],TRUE,Transactions[Custom Category],Transactions[[#This Row],[Custom Category]])</f>
        <v>14532.989714285719</v>
      </c>
      <c r="T85">
        <f>SUMIFS(Transactions[Amount],Transactions[Month],Transactions[[#This Row],[Month]],Transactions[Custom Category],Transactions[[#This Row],[Custom Category]])</f>
        <v>6070</v>
      </c>
      <c r="U8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85">
        <f>IF(Transactions[[#This Row],[Month]]=Sel_Month,Transactions[[#This Row],[Amount]],0)</f>
        <v>0</v>
      </c>
    </row>
    <row r="86" spans="1:22" x14ac:dyDescent="0.25">
      <c r="A86" t="s">
        <v>61</v>
      </c>
      <c r="B86" t="s">
        <v>66</v>
      </c>
      <c r="C86">
        <v>-2000</v>
      </c>
      <c r="D86" t="s">
        <v>99</v>
      </c>
      <c r="E86" t="s">
        <v>764</v>
      </c>
      <c r="F86" t="s">
        <v>69</v>
      </c>
      <c r="H86" t="s">
        <v>770</v>
      </c>
      <c r="I86" t="s">
        <v>71</v>
      </c>
      <c r="J86" t="b">
        <v>0</v>
      </c>
      <c r="K86" t="s">
        <v>771</v>
      </c>
      <c r="L86" t="str">
        <f>_xlfn.XLOOKUP(Transactions[[#This Row],[Account ID]],Accounts[Plaid Account ID],Accounts[Name],"Not Found",0)</f>
        <v>RBC Staff Banking</v>
      </c>
      <c r="M86" t="str">
        <f>_xlfn.XLOOKUP(Transactions[[#This Row],[Account ID]],Accounts[Plaid Account ID],Accounts[Institution Name],"Not Found",0)</f>
        <v>RBC Royal Bank</v>
      </c>
      <c r="N86" t="str">
        <f>IF(Transactions[[#This Row],[Amount]]&lt;0,"credit","debit")</f>
        <v>credit</v>
      </c>
      <c r="O86" t="str" cm="1">
        <f t="array" ref="O8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8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44766</v>
      </c>
      <c r="Q86" s="3">
        <f>DATE(YEAR(Transactions[[#This Row],[Datetime]]),MONTH(Transactions[[#This Row],[Datetime]]),1)</f>
        <v>44743</v>
      </c>
      <c r="R86" t="b">
        <f ca="1">AND(Transactions[[#This Row],[Datetime]]&gt;=EDATE(MAX(Transactions[Datetime]),-6),Transactions[[#This Row],[Datetime]]&lt;=TODAY())</f>
        <v>0</v>
      </c>
      <c r="S86" s="6">
        <f ca="1">AVERAGEIFS(Transactions[Month''s Total],Transactions[Recent],TRUE,Transactions[Custom Category],Transactions[[#This Row],[Custom Category]])</f>
        <v>-18125.097037037034</v>
      </c>
      <c r="T86">
        <f>SUMIFS(Transactions[Amount],Transactions[Month],Transactions[[#This Row],[Month]],Transactions[Custom Category],Transactions[[#This Row],[Custom Category]])</f>
        <v>-11682.13</v>
      </c>
      <c r="U86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86">
        <f>IF(Transactions[[#This Row],[Month]]=Sel_Month,Transactions[[#This Row],[Amount]],0)</f>
        <v>0</v>
      </c>
    </row>
    <row r="87" spans="1:22" x14ac:dyDescent="0.25">
      <c r="A87" t="s">
        <v>61</v>
      </c>
      <c r="B87" t="s">
        <v>66</v>
      </c>
      <c r="C87">
        <v>-2000</v>
      </c>
      <c r="D87" t="s">
        <v>99</v>
      </c>
      <c r="E87" t="s">
        <v>764</v>
      </c>
      <c r="F87" t="s">
        <v>69</v>
      </c>
      <c r="H87" t="s">
        <v>772</v>
      </c>
      <c r="I87" t="s">
        <v>71</v>
      </c>
      <c r="J87" t="b">
        <v>0</v>
      </c>
      <c r="K87" t="s">
        <v>773</v>
      </c>
      <c r="L87" t="str">
        <f>_xlfn.XLOOKUP(Transactions[[#This Row],[Account ID]],Accounts[Plaid Account ID],Accounts[Name],"Not Found",0)</f>
        <v>RBC Staff Banking</v>
      </c>
      <c r="M87" t="str">
        <f>_xlfn.XLOOKUP(Transactions[[#This Row],[Account ID]],Accounts[Plaid Account ID],Accounts[Institution Name],"Not Found",0)</f>
        <v>RBC Royal Bank</v>
      </c>
      <c r="N87" t="str">
        <f>IF(Transactions[[#This Row],[Amount]]&lt;0,"credit","debit")</f>
        <v>credit</v>
      </c>
      <c r="O87" t="str" cm="1">
        <f t="array" ref="O8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8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44766</v>
      </c>
      <c r="Q87" s="3">
        <f>DATE(YEAR(Transactions[[#This Row],[Datetime]]),MONTH(Transactions[[#This Row],[Datetime]]),1)</f>
        <v>44743</v>
      </c>
      <c r="R87" t="b">
        <f ca="1">AND(Transactions[[#This Row],[Datetime]]&gt;=EDATE(MAX(Transactions[Datetime]),-6),Transactions[[#This Row],[Datetime]]&lt;=TODAY())</f>
        <v>0</v>
      </c>
      <c r="S87" s="6">
        <f ca="1">AVERAGEIFS(Transactions[Month''s Total],Transactions[Recent],TRUE,Transactions[Custom Category],Transactions[[#This Row],[Custom Category]])</f>
        <v>-18125.097037037034</v>
      </c>
      <c r="T87">
        <f>SUMIFS(Transactions[Amount],Transactions[Month],Transactions[[#This Row],[Month]],Transactions[Custom Category],Transactions[[#This Row],[Custom Category]])</f>
        <v>-11682.13</v>
      </c>
      <c r="U8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87">
        <f>IF(Transactions[[#This Row],[Month]]=Sel_Month,Transactions[[#This Row],[Amount]],0)</f>
        <v>0</v>
      </c>
    </row>
    <row r="88" spans="1:22" x14ac:dyDescent="0.25">
      <c r="A88" t="s">
        <v>61</v>
      </c>
      <c r="B88" t="s">
        <v>66</v>
      </c>
      <c r="C88">
        <v>-483.38</v>
      </c>
      <c r="D88" t="s">
        <v>99</v>
      </c>
      <c r="E88" t="s">
        <v>761</v>
      </c>
      <c r="F88" t="s">
        <v>69</v>
      </c>
      <c r="H88" t="s">
        <v>762</v>
      </c>
      <c r="I88" t="s">
        <v>71</v>
      </c>
      <c r="J88" t="b">
        <v>0</v>
      </c>
      <c r="K88" t="s">
        <v>763</v>
      </c>
      <c r="L88" t="str">
        <f>_xlfn.XLOOKUP(Transactions[[#This Row],[Account ID]],Accounts[Plaid Account ID],Accounts[Name],"Not Found",0)</f>
        <v>RBC Staff Banking</v>
      </c>
      <c r="M88" t="str">
        <f>_xlfn.XLOOKUP(Transactions[[#This Row],[Account ID]],Accounts[Plaid Account ID],Accounts[Institution Name],"Not Found",0)</f>
        <v>RBC Royal Bank</v>
      </c>
      <c r="N88" t="str">
        <f>IF(Transactions[[#This Row],[Amount]]&lt;0,"credit","debit")</f>
        <v>credit</v>
      </c>
      <c r="O88" t="str" cm="1">
        <f t="array" ref="O8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8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44767</v>
      </c>
      <c r="Q88" s="3">
        <f>DATE(YEAR(Transactions[[#This Row],[Datetime]]),MONTH(Transactions[[#This Row],[Datetime]]),1)</f>
        <v>44743</v>
      </c>
      <c r="R88" t="b">
        <f ca="1">AND(Transactions[[#This Row],[Datetime]]&gt;=EDATE(MAX(Transactions[Datetime]),-6),Transactions[[#This Row],[Datetime]]&lt;=TODAY())</f>
        <v>0</v>
      </c>
      <c r="S88" s="6">
        <f ca="1">AVERAGEIFS(Transactions[Month''s Total],Transactions[Recent],TRUE,Transactions[Custom Category],Transactions[[#This Row],[Custom Category]])</f>
        <v>-18125.097037037034</v>
      </c>
      <c r="T88">
        <f>SUMIFS(Transactions[Amount],Transactions[Month],Transactions[[#This Row],[Month]],Transactions[Custom Category],Transactions[[#This Row],[Custom Category]])</f>
        <v>-11682.13</v>
      </c>
      <c r="U8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88">
        <f>IF(Transactions[[#This Row],[Month]]=Sel_Month,Transactions[[#This Row],[Amount]],0)</f>
        <v>0</v>
      </c>
    </row>
    <row r="89" spans="1:22" x14ac:dyDescent="0.25">
      <c r="A89" t="s">
        <v>61</v>
      </c>
      <c r="B89" t="s">
        <v>66</v>
      </c>
      <c r="C89">
        <v>-194.95</v>
      </c>
      <c r="D89" t="s">
        <v>99</v>
      </c>
      <c r="E89" t="s">
        <v>758</v>
      </c>
      <c r="F89" t="s">
        <v>69</v>
      </c>
      <c r="H89" t="s">
        <v>759</v>
      </c>
      <c r="I89" t="s">
        <v>71</v>
      </c>
      <c r="J89" t="b">
        <v>0</v>
      </c>
      <c r="K89" t="s">
        <v>760</v>
      </c>
      <c r="L89" t="str">
        <f>_xlfn.XLOOKUP(Transactions[[#This Row],[Account ID]],Accounts[Plaid Account ID],Accounts[Name],"Not Found",0)</f>
        <v>RBC Staff Banking</v>
      </c>
      <c r="M89" t="str">
        <f>_xlfn.XLOOKUP(Transactions[[#This Row],[Account ID]],Accounts[Plaid Account ID],Accounts[Institution Name],"Not Found",0)</f>
        <v>RBC Royal Bank</v>
      </c>
      <c r="N89" t="str">
        <f>IF(Transactions[[#This Row],[Amount]]&lt;0,"credit","debit")</f>
        <v>credit</v>
      </c>
      <c r="O89" t="str" cm="1">
        <f t="array" ref="O8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8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44770</v>
      </c>
      <c r="Q89" s="3">
        <f>DATE(YEAR(Transactions[[#This Row],[Datetime]]),MONTH(Transactions[[#This Row],[Datetime]]),1)</f>
        <v>44743</v>
      </c>
      <c r="R89" t="b">
        <f ca="1">AND(Transactions[[#This Row],[Datetime]]&gt;=EDATE(MAX(Transactions[Datetime]),-6),Transactions[[#This Row],[Datetime]]&lt;=TODAY())</f>
        <v>0</v>
      </c>
      <c r="S89" s="6">
        <f ca="1">AVERAGEIFS(Transactions[Month''s Total],Transactions[Recent],TRUE,Transactions[Custom Category],Transactions[[#This Row],[Custom Category]])</f>
        <v>-333.34666666666664</v>
      </c>
      <c r="T89">
        <f>SUMIFS(Transactions[Amount],Transactions[Month],Transactions[[#This Row],[Month]],Transactions[Custom Category],Transactions[[#This Row],[Custom Category]])</f>
        <v>-2354.5099999999998</v>
      </c>
      <c r="U89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89">
        <f>IF(Transactions[[#This Row],[Month]]=Sel_Month,Transactions[[#This Row],[Amount]],0)</f>
        <v>0</v>
      </c>
    </row>
    <row r="90" spans="1:22" x14ac:dyDescent="0.25">
      <c r="A90" t="s">
        <v>61</v>
      </c>
      <c r="B90" t="s">
        <v>66</v>
      </c>
      <c r="C90">
        <v>2100</v>
      </c>
      <c r="D90" t="s">
        <v>67</v>
      </c>
      <c r="E90" t="s">
        <v>755</v>
      </c>
      <c r="F90" t="s">
        <v>69</v>
      </c>
      <c r="H90" t="s">
        <v>756</v>
      </c>
      <c r="I90" t="s">
        <v>71</v>
      </c>
      <c r="J90" t="b">
        <v>0</v>
      </c>
      <c r="K90" t="s">
        <v>757</v>
      </c>
      <c r="L90" t="str">
        <f>_xlfn.XLOOKUP(Transactions[[#This Row],[Account ID]],Accounts[Plaid Account ID],Accounts[Name],"Not Found",0)</f>
        <v>RBC Staff Banking</v>
      </c>
      <c r="M90" t="str">
        <f>_xlfn.XLOOKUP(Transactions[[#This Row],[Account ID]],Accounts[Plaid Account ID],Accounts[Institution Name],"Not Found",0)</f>
        <v>RBC Royal Bank</v>
      </c>
      <c r="N90" t="str">
        <f>IF(Transactions[[#This Row],[Amount]]&lt;0,"credit","debit")</f>
        <v>debit</v>
      </c>
      <c r="O90" t="str" cm="1">
        <f t="array" ref="O9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9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44773</v>
      </c>
      <c r="Q90" s="3">
        <f>DATE(YEAR(Transactions[[#This Row],[Datetime]]),MONTH(Transactions[[#This Row],[Datetime]]),1)</f>
        <v>44743</v>
      </c>
      <c r="R90" t="b">
        <f ca="1">AND(Transactions[[#This Row],[Datetime]]&gt;=EDATE(MAX(Transactions[Datetime]),-6),Transactions[[#This Row],[Datetime]]&lt;=TODAY())</f>
        <v>0</v>
      </c>
      <c r="S90" s="6">
        <f ca="1">AVERAGEIFS(Transactions[Month''s Total],Transactions[Recent],TRUE,Transactions[Custom Category],Transactions[[#This Row],[Custom Category]])</f>
        <v>12758.461333333335</v>
      </c>
      <c r="T90">
        <f>SUMIFS(Transactions[Amount],Transactions[Month],Transactions[[#This Row],[Month]],Transactions[Custom Category],Transactions[[#This Row],[Custom Category]])</f>
        <v>7958.3099999999995</v>
      </c>
      <c r="U9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90">
        <f>IF(Transactions[[#This Row],[Month]]=Sel_Month,Transactions[[#This Row],[Amount]],0)</f>
        <v>0</v>
      </c>
    </row>
    <row r="91" spans="1:22" x14ac:dyDescent="0.25">
      <c r="A91" t="s">
        <v>61</v>
      </c>
      <c r="B91" t="s">
        <v>66</v>
      </c>
      <c r="C91">
        <v>2008.33</v>
      </c>
      <c r="D91" t="s">
        <v>67</v>
      </c>
      <c r="E91" t="s">
        <v>741</v>
      </c>
      <c r="F91" t="s">
        <v>69</v>
      </c>
      <c r="H91" t="s">
        <v>742</v>
      </c>
      <c r="I91" t="s">
        <v>71</v>
      </c>
      <c r="J91" t="b">
        <v>0</v>
      </c>
      <c r="K91" t="s">
        <v>743</v>
      </c>
      <c r="L91" t="str">
        <f>_xlfn.XLOOKUP(Transactions[[#This Row],[Account ID]],Accounts[Plaid Account ID],Accounts[Name],"Not Found",0)</f>
        <v>RBC Staff Banking</v>
      </c>
      <c r="M91" t="str">
        <f>_xlfn.XLOOKUP(Transactions[[#This Row],[Account ID]],Accounts[Plaid Account ID],Accounts[Institution Name],"Not Found",0)</f>
        <v>RBC Royal Bank</v>
      </c>
      <c r="N91" t="str">
        <f>IF(Transactions[[#This Row],[Amount]]&lt;0,"credit","debit")</f>
        <v>debit</v>
      </c>
      <c r="O91" t="str" cm="1">
        <f t="array" ref="O9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9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44780</v>
      </c>
      <c r="Q91" s="3">
        <f>DATE(YEAR(Transactions[[#This Row],[Datetime]]),MONTH(Transactions[[#This Row],[Datetime]]),1)</f>
        <v>44774</v>
      </c>
      <c r="R91" t="b">
        <f ca="1">AND(Transactions[[#This Row],[Datetime]]&gt;=EDATE(MAX(Transactions[Datetime]),-6),Transactions[[#This Row],[Datetime]]&lt;=TODAY())</f>
        <v>0</v>
      </c>
      <c r="S91" s="6">
        <f ca="1">AVERAGEIFS(Transactions[Month''s Total],Transactions[Recent],TRUE,Transactions[Custom Category],Transactions[[#This Row],[Custom Category]])</f>
        <v>12758.461333333335</v>
      </c>
      <c r="T91">
        <f>SUMIFS(Transactions[Amount],Transactions[Month],Transactions[[#This Row],[Month]],Transactions[Custom Category],Transactions[[#This Row],[Custom Category]])</f>
        <v>6337.6099999999988</v>
      </c>
      <c r="U9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91">
        <f>IF(Transactions[[#This Row],[Month]]=Sel_Month,Transactions[[#This Row],[Amount]],0)</f>
        <v>0</v>
      </c>
    </row>
    <row r="92" spans="1:22" x14ac:dyDescent="0.25">
      <c r="A92" t="s">
        <v>61</v>
      </c>
      <c r="B92" t="s">
        <v>66</v>
      </c>
      <c r="C92">
        <v>1400</v>
      </c>
      <c r="D92" t="s">
        <v>67</v>
      </c>
      <c r="E92" t="s">
        <v>741</v>
      </c>
      <c r="F92" t="s">
        <v>69</v>
      </c>
      <c r="H92" t="s">
        <v>720</v>
      </c>
      <c r="I92" t="s">
        <v>71</v>
      </c>
      <c r="J92" t="b">
        <v>0</v>
      </c>
      <c r="K92" t="s">
        <v>744</v>
      </c>
      <c r="L92" t="str">
        <f>_xlfn.XLOOKUP(Transactions[[#This Row],[Account ID]],Accounts[Plaid Account ID],Accounts[Name],"Not Found",0)</f>
        <v>RBC Staff Banking</v>
      </c>
      <c r="M92" t="str">
        <f>_xlfn.XLOOKUP(Transactions[[#This Row],[Account ID]],Accounts[Plaid Account ID],Accounts[Institution Name],"Not Found",0)</f>
        <v>RBC Royal Bank</v>
      </c>
      <c r="N92" t="str">
        <f>IF(Transactions[[#This Row],[Amount]]&lt;0,"credit","debit")</f>
        <v>debit</v>
      </c>
      <c r="O92" t="str" cm="1">
        <f t="array" ref="O9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9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44780</v>
      </c>
      <c r="Q92" s="3">
        <f>DATE(YEAR(Transactions[[#This Row],[Datetime]]),MONTH(Transactions[[#This Row],[Datetime]]),1)</f>
        <v>44774</v>
      </c>
      <c r="R92" t="b">
        <f ca="1">AND(Transactions[[#This Row],[Datetime]]&gt;=EDATE(MAX(Transactions[Datetime]),-6),Transactions[[#This Row],[Datetime]]&lt;=TODAY())</f>
        <v>0</v>
      </c>
      <c r="S92" s="6">
        <f ca="1">AVERAGEIFS(Transactions[Month''s Total],Transactions[Recent],TRUE,Transactions[Custom Category],Transactions[[#This Row],[Custom Category]])</f>
        <v>14532.989714285719</v>
      </c>
      <c r="T92">
        <f>SUMIFS(Transactions[Amount],Transactions[Month],Transactions[[#This Row],[Month]],Transactions[Custom Category],Transactions[[#This Row],[Custom Category]])</f>
        <v>3646.9700000000003</v>
      </c>
      <c r="U9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92">
        <f>IF(Transactions[[#This Row],[Month]]=Sel_Month,Transactions[[#This Row],[Amount]],0)</f>
        <v>0</v>
      </c>
    </row>
    <row r="93" spans="1:22" x14ac:dyDescent="0.25">
      <c r="A93" t="s">
        <v>61</v>
      </c>
      <c r="B93" t="s">
        <v>66</v>
      </c>
      <c r="C93">
        <v>1100</v>
      </c>
      <c r="D93" t="s">
        <v>67</v>
      </c>
      <c r="E93" t="s">
        <v>741</v>
      </c>
      <c r="F93" t="s">
        <v>69</v>
      </c>
      <c r="H93" t="s">
        <v>745</v>
      </c>
      <c r="I93" t="s">
        <v>71</v>
      </c>
      <c r="J93" t="b">
        <v>0</v>
      </c>
      <c r="K93" t="s">
        <v>746</v>
      </c>
      <c r="L93" t="str">
        <f>_xlfn.XLOOKUP(Transactions[[#This Row],[Account ID]],Accounts[Plaid Account ID],Accounts[Name],"Not Found",0)</f>
        <v>RBC Staff Banking</v>
      </c>
      <c r="M93" t="str">
        <f>_xlfn.XLOOKUP(Transactions[[#This Row],[Account ID]],Accounts[Plaid Account ID],Accounts[Institution Name],"Not Found",0)</f>
        <v>RBC Royal Bank</v>
      </c>
      <c r="N93" t="str">
        <f>IF(Transactions[[#This Row],[Amount]]&lt;0,"credit","debit")</f>
        <v>debit</v>
      </c>
      <c r="O93" t="str" cm="1">
        <f t="array" ref="O9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9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44780</v>
      </c>
      <c r="Q93" s="3">
        <f>DATE(YEAR(Transactions[[#This Row],[Datetime]]),MONTH(Transactions[[#This Row],[Datetime]]),1)</f>
        <v>44774</v>
      </c>
      <c r="R93" t="b">
        <f ca="1">AND(Transactions[[#This Row],[Datetime]]&gt;=EDATE(MAX(Transactions[Datetime]),-6),Transactions[[#This Row],[Datetime]]&lt;=TODAY())</f>
        <v>0</v>
      </c>
      <c r="S93" s="6">
        <f ca="1">AVERAGEIFS(Transactions[Month''s Total],Transactions[Recent],TRUE,Transactions[Custom Category],Transactions[[#This Row],[Custom Category]])</f>
        <v>12758.461333333335</v>
      </c>
      <c r="T93">
        <f>SUMIFS(Transactions[Amount],Transactions[Month],Transactions[[#This Row],[Month]],Transactions[Custom Category],Transactions[[#This Row],[Custom Category]])</f>
        <v>6337.6099999999988</v>
      </c>
      <c r="U93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93">
        <f>IF(Transactions[[#This Row],[Month]]=Sel_Month,Transactions[[#This Row],[Amount]],0)</f>
        <v>0</v>
      </c>
    </row>
    <row r="94" spans="1:22" x14ac:dyDescent="0.25">
      <c r="A94" t="s">
        <v>61</v>
      </c>
      <c r="B94" t="s">
        <v>66</v>
      </c>
      <c r="C94">
        <v>900</v>
      </c>
      <c r="D94" t="s">
        <v>67</v>
      </c>
      <c r="E94" t="s">
        <v>741</v>
      </c>
      <c r="F94" t="s">
        <v>69</v>
      </c>
      <c r="H94" t="s">
        <v>474</v>
      </c>
      <c r="I94" t="s">
        <v>71</v>
      </c>
      <c r="J94" t="b">
        <v>0</v>
      </c>
      <c r="K94" t="s">
        <v>747</v>
      </c>
      <c r="L94" t="str">
        <f>_xlfn.XLOOKUP(Transactions[[#This Row],[Account ID]],Accounts[Plaid Account ID],Accounts[Name],"Not Found",0)</f>
        <v>RBC Staff Banking</v>
      </c>
      <c r="M94" t="str">
        <f>_xlfn.XLOOKUP(Transactions[[#This Row],[Account ID]],Accounts[Plaid Account ID],Accounts[Institution Name],"Not Found",0)</f>
        <v>RBC Royal Bank</v>
      </c>
      <c r="N94" t="str">
        <f>IF(Transactions[[#This Row],[Amount]]&lt;0,"credit","debit")</f>
        <v>debit</v>
      </c>
      <c r="O94" t="str" cm="1">
        <f t="array" ref="O9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9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44780</v>
      </c>
      <c r="Q94" s="3">
        <f>DATE(YEAR(Transactions[[#This Row],[Datetime]]),MONTH(Transactions[[#This Row],[Datetime]]),1)</f>
        <v>44774</v>
      </c>
      <c r="R94" t="b">
        <f ca="1">AND(Transactions[[#This Row],[Datetime]]&gt;=EDATE(MAX(Transactions[Datetime]),-6),Transactions[[#This Row],[Datetime]]&lt;=TODAY())</f>
        <v>0</v>
      </c>
      <c r="S94" s="6">
        <f ca="1">AVERAGEIFS(Transactions[Month''s Total],Transactions[Recent],TRUE,Transactions[Custom Category],Transactions[[#This Row],[Custom Category]])</f>
        <v>14532.989714285719</v>
      </c>
      <c r="T94">
        <f>SUMIFS(Transactions[Amount],Transactions[Month],Transactions[[#This Row],[Month]],Transactions[Custom Category],Transactions[[#This Row],[Custom Category]])</f>
        <v>3646.9700000000003</v>
      </c>
      <c r="U9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94">
        <f>IF(Transactions[[#This Row],[Month]]=Sel_Month,Transactions[[#This Row],[Amount]],0)</f>
        <v>0</v>
      </c>
    </row>
    <row r="95" spans="1:22" x14ac:dyDescent="0.25">
      <c r="A95" t="s">
        <v>61</v>
      </c>
      <c r="B95" t="s">
        <v>66</v>
      </c>
      <c r="C95">
        <v>600</v>
      </c>
      <c r="D95" t="s">
        <v>67</v>
      </c>
      <c r="E95" t="s">
        <v>741</v>
      </c>
      <c r="F95" t="s">
        <v>69</v>
      </c>
      <c r="H95" t="s">
        <v>474</v>
      </c>
      <c r="I95" t="s">
        <v>71</v>
      </c>
      <c r="J95" t="b">
        <v>0</v>
      </c>
      <c r="K95" t="s">
        <v>748</v>
      </c>
      <c r="L95" t="str">
        <f>_xlfn.XLOOKUP(Transactions[[#This Row],[Account ID]],Accounts[Plaid Account ID],Accounts[Name],"Not Found",0)</f>
        <v>RBC Staff Banking</v>
      </c>
      <c r="M95" t="str">
        <f>_xlfn.XLOOKUP(Transactions[[#This Row],[Account ID]],Accounts[Plaid Account ID],Accounts[Institution Name],"Not Found",0)</f>
        <v>RBC Royal Bank</v>
      </c>
      <c r="N95" t="str">
        <f>IF(Transactions[[#This Row],[Amount]]&lt;0,"credit","debit")</f>
        <v>debit</v>
      </c>
      <c r="O95" t="str" cm="1">
        <f t="array" ref="O9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9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44780</v>
      </c>
      <c r="Q95" s="3">
        <f>DATE(YEAR(Transactions[[#This Row],[Datetime]]),MONTH(Transactions[[#This Row],[Datetime]]),1)</f>
        <v>44774</v>
      </c>
      <c r="R95" t="b">
        <f ca="1">AND(Transactions[[#This Row],[Datetime]]&gt;=EDATE(MAX(Transactions[Datetime]),-6),Transactions[[#This Row],[Datetime]]&lt;=TODAY())</f>
        <v>0</v>
      </c>
      <c r="S95" s="6">
        <f ca="1">AVERAGEIFS(Transactions[Month''s Total],Transactions[Recent],TRUE,Transactions[Custom Category],Transactions[[#This Row],[Custom Category]])</f>
        <v>14532.989714285719</v>
      </c>
      <c r="T95">
        <f>SUMIFS(Transactions[Amount],Transactions[Month],Transactions[[#This Row],[Month]],Transactions[Custom Category],Transactions[[#This Row],[Custom Category]])</f>
        <v>3646.9700000000003</v>
      </c>
      <c r="U9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95">
        <f>IF(Transactions[[#This Row],[Month]]=Sel_Month,Transactions[[#This Row],[Amount]],0)</f>
        <v>0</v>
      </c>
    </row>
    <row r="96" spans="1:22" x14ac:dyDescent="0.25">
      <c r="A96" t="s">
        <v>61</v>
      </c>
      <c r="B96" t="s">
        <v>66</v>
      </c>
      <c r="C96">
        <v>-2000</v>
      </c>
      <c r="D96" t="s">
        <v>99</v>
      </c>
      <c r="E96" t="s">
        <v>741</v>
      </c>
      <c r="F96" t="s">
        <v>69</v>
      </c>
      <c r="H96" t="s">
        <v>749</v>
      </c>
      <c r="I96" t="s">
        <v>71</v>
      </c>
      <c r="J96" t="b">
        <v>0</v>
      </c>
      <c r="K96" t="s">
        <v>750</v>
      </c>
      <c r="L96" t="str">
        <f>_xlfn.XLOOKUP(Transactions[[#This Row],[Account ID]],Accounts[Plaid Account ID],Accounts[Name],"Not Found",0)</f>
        <v>RBC Staff Banking</v>
      </c>
      <c r="M96" t="str">
        <f>_xlfn.XLOOKUP(Transactions[[#This Row],[Account ID]],Accounts[Plaid Account ID],Accounts[Institution Name],"Not Found",0)</f>
        <v>RBC Royal Bank</v>
      </c>
      <c r="N96" t="str">
        <f>IF(Transactions[[#This Row],[Amount]]&lt;0,"credit","debit")</f>
        <v>credit</v>
      </c>
      <c r="O96" t="str" cm="1">
        <f t="array" ref="O9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9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44780</v>
      </c>
      <c r="Q96" s="3">
        <f>DATE(YEAR(Transactions[[#This Row],[Datetime]]),MONTH(Transactions[[#This Row],[Datetime]]),1)</f>
        <v>44774</v>
      </c>
      <c r="R96" t="b">
        <f ca="1">AND(Transactions[[#This Row],[Datetime]]&gt;=EDATE(MAX(Transactions[Datetime]),-6),Transactions[[#This Row],[Datetime]]&lt;=TODAY())</f>
        <v>0</v>
      </c>
      <c r="S96" s="6">
        <f ca="1">AVERAGEIFS(Transactions[Month''s Total],Transactions[Recent],TRUE,Transactions[Custom Category],Transactions[[#This Row],[Custom Category]])</f>
        <v>-18125.097037037034</v>
      </c>
      <c r="T96">
        <f>SUMIFS(Transactions[Amount],Transactions[Month],Transactions[[#This Row],[Month]],Transactions[Custom Category],Transactions[[#This Row],[Custom Category]])</f>
        <v>-10080.25</v>
      </c>
      <c r="U96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96">
        <f>IF(Transactions[[#This Row],[Month]]=Sel_Month,Transactions[[#This Row],[Amount]],0)</f>
        <v>0</v>
      </c>
    </row>
    <row r="97" spans="1:22" x14ac:dyDescent="0.25">
      <c r="A97" t="s">
        <v>61</v>
      </c>
      <c r="B97" t="s">
        <v>66</v>
      </c>
      <c r="C97">
        <v>-2000</v>
      </c>
      <c r="D97" t="s">
        <v>99</v>
      </c>
      <c r="E97" t="s">
        <v>741</v>
      </c>
      <c r="F97" t="s">
        <v>69</v>
      </c>
      <c r="H97" t="s">
        <v>751</v>
      </c>
      <c r="I97" t="s">
        <v>71</v>
      </c>
      <c r="J97" t="b">
        <v>0</v>
      </c>
      <c r="K97" t="s">
        <v>752</v>
      </c>
      <c r="L97" t="str">
        <f>_xlfn.XLOOKUP(Transactions[[#This Row],[Account ID]],Accounts[Plaid Account ID],Accounts[Name],"Not Found",0)</f>
        <v>RBC Staff Banking</v>
      </c>
      <c r="M97" t="str">
        <f>_xlfn.XLOOKUP(Transactions[[#This Row],[Account ID]],Accounts[Plaid Account ID],Accounts[Institution Name],"Not Found",0)</f>
        <v>RBC Royal Bank</v>
      </c>
      <c r="N97" t="str">
        <f>IF(Transactions[[#This Row],[Amount]]&lt;0,"credit","debit")</f>
        <v>credit</v>
      </c>
      <c r="O97" t="str" cm="1">
        <f t="array" ref="O9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9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44780</v>
      </c>
      <c r="Q97" s="3">
        <f>DATE(YEAR(Transactions[[#This Row],[Datetime]]),MONTH(Transactions[[#This Row],[Datetime]]),1)</f>
        <v>44774</v>
      </c>
      <c r="R97" t="b">
        <f ca="1">AND(Transactions[[#This Row],[Datetime]]&gt;=EDATE(MAX(Transactions[Datetime]),-6),Transactions[[#This Row],[Datetime]]&lt;=TODAY())</f>
        <v>0</v>
      </c>
      <c r="S97" s="6">
        <f ca="1">AVERAGEIFS(Transactions[Month''s Total],Transactions[Recent],TRUE,Transactions[Custom Category],Transactions[[#This Row],[Custom Category]])</f>
        <v>-18125.097037037034</v>
      </c>
      <c r="T97">
        <f>SUMIFS(Transactions[Amount],Transactions[Month],Transactions[[#This Row],[Month]],Transactions[Custom Category],Transactions[[#This Row],[Custom Category]])</f>
        <v>-10080.25</v>
      </c>
      <c r="U9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97">
        <f>IF(Transactions[[#This Row],[Month]]=Sel_Month,Transactions[[#This Row],[Amount]],0)</f>
        <v>0</v>
      </c>
    </row>
    <row r="98" spans="1:22" x14ac:dyDescent="0.25">
      <c r="A98" t="s">
        <v>61</v>
      </c>
      <c r="B98" t="s">
        <v>66</v>
      </c>
      <c r="C98">
        <v>-2000</v>
      </c>
      <c r="D98" t="s">
        <v>99</v>
      </c>
      <c r="E98" t="s">
        <v>741</v>
      </c>
      <c r="F98" t="s">
        <v>69</v>
      </c>
      <c r="H98" t="s">
        <v>753</v>
      </c>
      <c r="I98" t="s">
        <v>71</v>
      </c>
      <c r="J98" t="b">
        <v>0</v>
      </c>
      <c r="K98" t="s">
        <v>754</v>
      </c>
      <c r="L98" t="str">
        <f>_xlfn.XLOOKUP(Transactions[[#This Row],[Account ID]],Accounts[Plaid Account ID],Accounts[Name],"Not Found",0)</f>
        <v>RBC Staff Banking</v>
      </c>
      <c r="M98" t="str">
        <f>_xlfn.XLOOKUP(Transactions[[#This Row],[Account ID]],Accounts[Plaid Account ID],Accounts[Institution Name],"Not Found",0)</f>
        <v>RBC Royal Bank</v>
      </c>
      <c r="N98" t="str">
        <f>IF(Transactions[[#This Row],[Amount]]&lt;0,"credit","debit")</f>
        <v>credit</v>
      </c>
      <c r="O98" t="str" cm="1">
        <f t="array" ref="O9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9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44780</v>
      </c>
      <c r="Q98" s="3">
        <f>DATE(YEAR(Transactions[[#This Row],[Datetime]]),MONTH(Transactions[[#This Row],[Datetime]]),1)</f>
        <v>44774</v>
      </c>
      <c r="R98" t="b">
        <f ca="1">AND(Transactions[[#This Row],[Datetime]]&gt;=EDATE(MAX(Transactions[Datetime]),-6),Transactions[[#This Row],[Datetime]]&lt;=TODAY())</f>
        <v>0</v>
      </c>
      <c r="S98" s="6">
        <f ca="1">AVERAGEIFS(Transactions[Month''s Total],Transactions[Recent],TRUE,Transactions[Custom Category],Transactions[[#This Row],[Custom Category]])</f>
        <v>-18125.097037037034</v>
      </c>
      <c r="T98">
        <f>SUMIFS(Transactions[Amount],Transactions[Month],Transactions[[#This Row],[Month]],Transactions[Custom Category],Transactions[[#This Row],[Custom Category]])</f>
        <v>-10080.25</v>
      </c>
      <c r="U9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98">
        <f>IF(Transactions[[#This Row],[Month]]=Sel_Month,Transactions[[#This Row],[Amount]],0)</f>
        <v>0</v>
      </c>
    </row>
    <row r="99" spans="1:22" x14ac:dyDescent="0.25">
      <c r="A99" t="s">
        <v>61</v>
      </c>
      <c r="B99" t="s">
        <v>66</v>
      </c>
      <c r="C99">
        <v>478.38</v>
      </c>
      <c r="D99" t="s">
        <v>67</v>
      </c>
      <c r="E99" t="s">
        <v>737</v>
      </c>
      <c r="F99" t="s">
        <v>69</v>
      </c>
      <c r="H99" t="s">
        <v>474</v>
      </c>
      <c r="I99" t="s">
        <v>71</v>
      </c>
      <c r="J99" t="b">
        <v>0</v>
      </c>
      <c r="K99" t="s">
        <v>738</v>
      </c>
      <c r="L99" t="str">
        <f>_xlfn.XLOOKUP(Transactions[[#This Row],[Account ID]],Accounts[Plaid Account ID],Accounts[Name],"Not Found",0)</f>
        <v>RBC Staff Banking</v>
      </c>
      <c r="M99" t="str">
        <f>_xlfn.XLOOKUP(Transactions[[#This Row],[Account ID]],Accounts[Plaid Account ID],Accounts[Institution Name],"Not Found",0)</f>
        <v>RBC Royal Bank</v>
      </c>
      <c r="N99" t="str">
        <f>IF(Transactions[[#This Row],[Amount]]&lt;0,"credit","debit")</f>
        <v>debit</v>
      </c>
      <c r="O99" t="str" cm="1">
        <f t="array" ref="O9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9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44781</v>
      </c>
      <c r="Q99" s="3">
        <f>DATE(YEAR(Transactions[[#This Row],[Datetime]]),MONTH(Transactions[[#This Row],[Datetime]]),1)</f>
        <v>44774</v>
      </c>
      <c r="R99" t="b">
        <f ca="1">AND(Transactions[[#This Row],[Datetime]]&gt;=EDATE(MAX(Transactions[Datetime]),-6),Transactions[[#This Row],[Datetime]]&lt;=TODAY())</f>
        <v>0</v>
      </c>
      <c r="S99" s="6">
        <f ca="1">AVERAGEIFS(Transactions[Month''s Total],Transactions[Recent],TRUE,Transactions[Custom Category],Transactions[[#This Row],[Custom Category]])</f>
        <v>14532.989714285719</v>
      </c>
      <c r="T99">
        <f>SUMIFS(Transactions[Amount],Transactions[Month],Transactions[[#This Row],[Month]],Transactions[Custom Category],Transactions[[#This Row],[Custom Category]])</f>
        <v>3646.9700000000003</v>
      </c>
      <c r="U9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99">
        <f>IF(Transactions[[#This Row],[Month]]=Sel_Month,Transactions[[#This Row],[Amount]],0)</f>
        <v>0</v>
      </c>
    </row>
    <row r="100" spans="1:22" x14ac:dyDescent="0.25">
      <c r="A100" t="s">
        <v>61</v>
      </c>
      <c r="B100" t="s">
        <v>66</v>
      </c>
      <c r="C100">
        <v>-478.38</v>
      </c>
      <c r="D100" t="s">
        <v>99</v>
      </c>
      <c r="E100" t="s">
        <v>737</v>
      </c>
      <c r="F100" t="s">
        <v>69</v>
      </c>
      <c r="H100" t="s">
        <v>739</v>
      </c>
      <c r="I100" t="s">
        <v>71</v>
      </c>
      <c r="J100" t="b">
        <v>0</v>
      </c>
      <c r="K100" t="s">
        <v>740</v>
      </c>
      <c r="L100" t="str">
        <f>_xlfn.XLOOKUP(Transactions[[#This Row],[Account ID]],Accounts[Plaid Account ID],Accounts[Name],"Not Found",0)</f>
        <v>RBC Staff Banking</v>
      </c>
      <c r="M100" t="str">
        <f>_xlfn.XLOOKUP(Transactions[[#This Row],[Account ID]],Accounts[Plaid Account ID],Accounts[Institution Name],"Not Found",0)</f>
        <v>RBC Royal Bank</v>
      </c>
      <c r="N100" t="str">
        <f>IF(Transactions[[#This Row],[Amount]]&lt;0,"credit","debit")</f>
        <v>credit</v>
      </c>
      <c r="O100" t="str" cm="1">
        <f t="array" ref="O10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0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44781</v>
      </c>
      <c r="Q100" s="3">
        <f>DATE(YEAR(Transactions[[#This Row],[Datetime]]),MONTH(Transactions[[#This Row],[Datetime]]),1)</f>
        <v>44774</v>
      </c>
      <c r="R100" t="b">
        <f ca="1">AND(Transactions[[#This Row],[Datetime]]&gt;=EDATE(MAX(Transactions[Datetime]),-6),Transactions[[#This Row],[Datetime]]&lt;=TODAY())</f>
        <v>0</v>
      </c>
      <c r="S100" s="6">
        <f ca="1">AVERAGEIFS(Transactions[Month''s Total],Transactions[Recent],TRUE,Transactions[Custom Category],Transactions[[#This Row],[Custom Category]])</f>
        <v>-18125.097037037034</v>
      </c>
      <c r="T100">
        <f>SUMIFS(Transactions[Amount],Transactions[Month],Transactions[[#This Row],[Month]],Transactions[Custom Category],Transactions[[#This Row],[Custom Category]])</f>
        <v>-10080.25</v>
      </c>
      <c r="U100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00">
        <f>IF(Transactions[[#This Row],[Month]]=Sel_Month,Transactions[[#This Row],[Amount]],0)</f>
        <v>0</v>
      </c>
    </row>
    <row r="101" spans="1:22" x14ac:dyDescent="0.25">
      <c r="A101" t="s">
        <v>61</v>
      </c>
      <c r="B101" t="s">
        <v>66</v>
      </c>
      <c r="C101">
        <v>1821.74</v>
      </c>
      <c r="D101" t="s">
        <v>67</v>
      </c>
      <c r="E101" t="s">
        <v>733</v>
      </c>
      <c r="F101" t="s">
        <v>69</v>
      </c>
      <c r="H101" t="s">
        <v>734</v>
      </c>
      <c r="I101" t="s">
        <v>71</v>
      </c>
      <c r="J101" t="b">
        <v>0</v>
      </c>
      <c r="K101" t="s">
        <v>735</v>
      </c>
      <c r="L101" t="str">
        <f>_xlfn.XLOOKUP(Transactions[[#This Row],[Account ID]],Accounts[Plaid Account ID],Accounts[Name],"Not Found",0)</f>
        <v>RBC Staff Banking</v>
      </c>
      <c r="M101" t="str">
        <f>_xlfn.XLOOKUP(Transactions[[#This Row],[Account ID]],Accounts[Plaid Account ID],Accounts[Institution Name],"Not Found",0)</f>
        <v>RBC Royal Bank</v>
      </c>
      <c r="N101" t="str">
        <f>IF(Transactions[[#This Row],[Amount]]&lt;0,"credit","debit")</f>
        <v>debit</v>
      </c>
      <c r="O101" t="str" cm="1">
        <f t="array" ref="O10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0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44787</v>
      </c>
      <c r="Q101" s="3">
        <f>DATE(YEAR(Transactions[[#This Row],[Datetime]]),MONTH(Transactions[[#This Row],[Datetime]]),1)</f>
        <v>44774</v>
      </c>
      <c r="R101" t="b">
        <f ca="1">AND(Transactions[[#This Row],[Datetime]]&gt;=EDATE(MAX(Transactions[Datetime]),-6),Transactions[[#This Row],[Datetime]]&lt;=TODAY())</f>
        <v>0</v>
      </c>
      <c r="S101" s="6">
        <f ca="1">AVERAGEIFS(Transactions[Month''s Total],Transactions[Recent],TRUE,Transactions[Custom Category],Transactions[[#This Row],[Custom Category]])</f>
        <v>12758.461333333335</v>
      </c>
      <c r="T101">
        <f>SUMIFS(Transactions[Amount],Transactions[Month],Transactions[[#This Row],[Month]],Transactions[Custom Category],Transactions[[#This Row],[Custom Category]])</f>
        <v>6337.6099999999988</v>
      </c>
      <c r="U10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01">
        <f>IF(Transactions[[#This Row],[Month]]=Sel_Month,Transactions[[#This Row],[Amount]],0)</f>
        <v>0</v>
      </c>
    </row>
    <row r="102" spans="1:22" x14ac:dyDescent="0.25">
      <c r="A102" t="s">
        <v>61</v>
      </c>
      <c r="B102" t="s">
        <v>66</v>
      </c>
      <c r="C102">
        <v>-1897.41</v>
      </c>
      <c r="D102" t="s">
        <v>99</v>
      </c>
      <c r="E102" t="s">
        <v>733</v>
      </c>
      <c r="F102" t="s">
        <v>69</v>
      </c>
      <c r="H102" t="s">
        <v>655</v>
      </c>
      <c r="I102" t="s">
        <v>71</v>
      </c>
      <c r="J102" t="b">
        <v>0</v>
      </c>
      <c r="K102" t="s">
        <v>736</v>
      </c>
      <c r="L102" t="str">
        <f>_xlfn.XLOOKUP(Transactions[[#This Row],[Account ID]],Accounts[Plaid Account ID],Accounts[Name],"Not Found",0)</f>
        <v>RBC Staff Banking</v>
      </c>
      <c r="M102" t="str">
        <f>_xlfn.XLOOKUP(Transactions[[#This Row],[Account ID]],Accounts[Plaid Account ID],Accounts[Institution Name],"Not Found",0)</f>
        <v>RBC Royal Bank</v>
      </c>
      <c r="N102" t="str">
        <f>IF(Transactions[[#This Row],[Amount]]&lt;0,"credit","debit")</f>
        <v>credit</v>
      </c>
      <c r="O102" t="str" cm="1">
        <f t="array" ref="O10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0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44787</v>
      </c>
      <c r="Q102" s="3">
        <f>DATE(YEAR(Transactions[[#This Row],[Datetime]]),MONTH(Transactions[[#This Row],[Datetime]]),1)</f>
        <v>44774</v>
      </c>
      <c r="R102" t="b">
        <f ca="1">AND(Transactions[[#This Row],[Datetime]]&gt;=EDATE(MAX(Transactions[Datetime]),-6),Transactions[[#This Row],[Datetime]]&lt;=TODAY())</f>
        <v>0</v>
      </c>
      <c r="S102" s="6">
        <f ca="1">AVERAGEIFS(Transactions[Month''s Total],Transactions[Recent],TRUE,Transactions[Custom Category],Transactions[[#This Row],[Custom Category]])</f>
        <v>14532.989714285719</v>
      </c>
      <c r="T102">
        <f>SUMIFS(Transactions[Amount],Transactions[Month],Transactions[[#This Row],[Month]],Transactions[Custom Category],Transactions[[#This Row],[Custom Category]])</f>
        <v>3646.9700000000003</v>
      </c>
      <c r="U10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02">
        <f>IF(Transactions[[#This Row],[Month]]=Sel_Month,Transactions[[#This Row],[Amount]],0)</f>
        <v>0</v>
      </c>
    </row>
    <row r="103" spans="1:22" x14ac:dyDescent="0.25">
      <c r="A103" t="s">
        <v>61</v>
      </c>
      <c r="B103" t="s">
        <v>66</v>
      </c>
      <c r="C103">
        <v>70.819999999999993</v>
      </c>
      <c r="D103" t="s">
        <v>67</v>
      </c>
      <c r="E103" t="s">
        <v>730</v>
      </c>
      <c r="F103" t="s">
        <v>69</v>
      </c>
      <c r="H103" t="s">
        <v>731</v>
      </c>
      <c r="I103" t="s">
        <v>71</v>
      </c>
      <c r="J103" t="b">
        <v>0</v>
      </c>
      <c r="K103" t="s">
        <v>732</v>
      </c>
      <c r="L103" t="str">
        <f>_xlfn.XLOOKUP(Transactions[[#This Row],[Account ID]],Accounts[Plaid Account ID],Accounts[Name],"Not Found",0)</f>
        <v>RBC Staff Banking</v>
      </c>
      <c r="M103" t="str">
        <f>_xlfn.XLOOKUP(Transactions[[#This Row],[Account ID]],Accounts[Plaid Account ID],Accounts[Institution Name],"Not Found",0)</f>
        <v>RBC Royal Bank</v>
      </c>
      <c r="N103" t="str">
        <f>IF(Transactions[[#This Row],[Amount]]&lt;0,"credit","debit")</f>
        <v>debit</v>
      </c>
      <c r="O103" t="str" cm="1">
        <f t="array" ref="O10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0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44788</v>
      </c>
      <c r="Q103" s="3">
        <f>DATE(YEAR(Transactions[[#This Row],[Datetime]]),MONTH(Transactions[[#This Row],[Datetime]]),1)</f>
        <v>44774</v>
      </c>
      <c r="R103" t="b">
        <f ca="1">AND(Transactions[[#This Row],[Datetime]]&gt;=EDATE(MAX(Transactions[Datetime]),-6),Transactions[[#This Row],[Datetime]]&lt;=TODAY())</f>
        <v>0</v>
      </c>
      <c r="S103" s="6">
        <f ca="1">AVERAGEIFS(Transactions[Month''s Total],Transactions[Recent],TRUE,Transactions[Custom Category],Transactions[[#This Row],[Custom Category]])</f>
        <v>12758.461333333335</v>
      </c>
      <c r="T103">
        <f>SUMIFS(Transactions[Amount],Transactions[Month],Transactions[[#This Row],[Month]],Transactions[Custom Category],Transactions[[#This Row],[Custom Category]])</f>
        <v>6337.6099999999988</v>
      </c>
      <c r="U103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03">
        <f>IF(Transactions[[#This Row],[Month]]=Sel_Month,Transactions[[#This Row],[Amount]],0)</f>
        <v>0</v>
      </c>
    </row>
    <row r="104" spans="1:22" x14ac:dyDescent="0.25">
      <c r="A104" t="s">
        <v>61</v>
      </c>
      <c r="B104" t="s">
        <v>66</v>
      </c>
      <c r="C104">
        <v>-280</v>
      </c>
      <c r="D104" t="s">
        <v>99</v>
      </c>
      <c r="E104" t="s">
        <v>726</v>
      </c>
      <c r="F104" t="s">
        <v>69</v>
      </c>
      <c r="H104" t="s">
        <v>659</v>
      </c>
      <c r="I104" t="s">
        <v>71</v>
      </c>
      <c r="J104" t="b">
        <v>0</v>
      </c>
      <c r="K104" t="s">
        <v>727</v>
      </c>
      <c r="L104" t="str">
        <f>_xlfn.XLOOKUP(Transactions[[#This Row],[Account ID]],Accounts[Plaid Account ID],Accounts[Name],"Not Found",0)</f>
        <v>RBC Staff Banking</v>
      </c>
      <c r="M104" t="str">
        <f>_xlfn.XLOOKUP(Transactions[[#This Row],[Account ID]],Accounts[Plaid Account ID],Accounts[Institution Name],"Not Found",0)</f>
        <v>RBC Royal Bank</v>
      </c>
      <c r="N104" t="str">
        <f>IF(Transactions[[#This Row],[Amount]]&lt;0,"credit","debit")</f>
        <v>credit</v>
      </c>
      <c r="O104" t="str" cm="1">
        <f t="array" ref="O10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0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44791</v>
      </c>
      <c r="Q104" s="3">
        <f>DATE(YEAR(Transactions[[#This Row],[Datetime]]),MONTH(Transactions[[#This Row],[Datetime]]),1)</f>
        <v>44774</v>
      </c>
      <c r="R104" t="b">
        <f ca="1">AND(Transactions[[#This Row],[Datetime]]&gt;=EDATE(MAX(Transactions[Datetime]),-6),Transactions[[#This Row],[Datetime]]&lt;=TODAY())</f>
        <v>0</v>
      </c>
      <c r="S104" s="6">
        <f ca="1">AVERAGEIFS(Transactions[Month''s Total],Transactions[Recent],TRUE,Transactions[Custom Category],Transactions[[#This Row],[Custom Category]])</f>
        <v>14532.989714285719</v>
      </c>
      <c r="T104">
        <f>SUMIFS(Transactions[Amount],Transactions[Month],Transactions[[#This Row],[Month]],Transactions[Custom Category],Transactions[[#This Row],[Custom Category]])</f>
        <v>3646.9700000000003</v>
      </c>
      <c r="U10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04">
        <f>IF(Transactions[[#This Row],[Month]]=Sel_Month,Transactions[[#This Row],[Amount]],0)</f>
        <v>0</v>
      </c>
    </row>
    <row r="105" spans="1:22" x14ac:dyDescent="0.25">
      <c r="A105" t="s">
        <v>61</v>
      </c>
      <c r="B105" t="s">
        <v>66</v>
      </c>
      <c r="C105">
        <v>-3601.87</v>
      </c>
      <c r="D105" t="s">
        <v>99</v>
      </c>
      <c r="E105" t="s">
        <v>726</v>
      </c>
      <c r="F105" t="s">
        <v>69</v>
      </c>
      <c r="H105" t="s">
        <v>728</v>
      </c>
      <c r="I105" t="s">
        <v>71</v>
      </c>
      <c r="J105" t="b">
        <v>0</v>
      </c>
      <c r="K105" t="s">
        <v>729</v>
      </c>
      <c r="L105" t="str">
        <f>_xlfn.XLOOKUP(Transactions[[#This Row],[Account ID]],Accounts[Plaid Account ID],Accounts[Name],"Not Found",0)</f>
        <v>RBC Staff Banking</v>
      </c>
      <c r="M105" t="str">
        <f>_xlfn.XLOOKUP(Transactions[[#This Row],[Account ID]],Accounts[Plaid Account ID],Accounts[Institution Name],"Not Found",0)</f>
        <v>RBC Royal Bank</v>
      </c>
      <c r="N105" t="str">
        <f>IF(Transactions[[#This Row],[Amount]]&lt;0,"credit","debit")</f>
        <v>credit</v>
      </c>
      <c r="O105" t="str" cm="1">
        <f t="array" ref="O10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0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44791</v>
      </c>
      <c r="Q105" s="3">
        <f>DATE(YEAR(Transactions[[#This Row],[Datetime]]),MONTH(Transactions[[#This Row],[Datetime]]),1)</f>
        <v>44774</v>
      </c>
      <c r="R105" t="b">
        <f ca="1">AND(Transactions[[#This Row],[Datetime]]&gt;=EDATE(MAX(Transactions[Datetime]),-6),Transactions[[#This Row],[Datetime]]&lt;=TODAY())</f>
        <v>0</v>
      </c>
      <c r="S105" s="6">
        <f ca="1">AVERAGEIFS(Transactions[Month''s Total],Transactions[Recent],TRUE,Transactions[Custom Category],Transactions[[#This Row],[Custom Category]])</f>
        <v>-18125.097037037034</v>
      </c>
      <c r="T105">
        <f>SUMIFS(Transactions[Amount],Transactions[Month],Transactions[[#This Row],[Month]],Transactions[Custom Category],Transactions[[#This Row],[Custom Category]])</f>
        <v>-10080.25</v>
      </c>
      <c r="U10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05">
        <f>IF(Transactions[[#This Row],[Month]]=Sel_Month,Transactions[[#This Row],[Amount]],0)</f>
        <v>0</v>
      </c>
    </row>
    <row r="106" spans="1:22" x14ac:dyDescent="0.25">
      <c r="A106" t="s">
        <v>61</v>
      </c>
      <c r="B106" t="s">
        <v>66</v>
      </c>
      <c r="C106">
        <v>427.69</v>
      </c>
      <c r="D106" t="s">
        <v>67</v>
      </c>
      <c r="E106" t="s">
        <v>722</v>
      </c>
      <c r="F106" t="s">
        <v>69</v>
      </c>
      <c r="H106" t="s">
        <v>723</v>
      </c>
      <c r="I106" t="s">
        <v>71</v>
      </c>
      <c r="J106" t="b">
        <v>0</v>
      </c>
      <c r="K106" t="s">
        <v>724</v>
      </c>
      <c r="L106" t="str">
        <f>_xlfn.XLOOKUP(Transactions[[#This Row],[Account ID]],Accounts[Plaid Account ID],Accounts[Name],"Not Found",0)</f>
        <v>RBC Staff Banking</v>
      </c>
      <c r="M106" t="str">
        <f>_xlfn.XLOOKUP(Transactions[[#This Row],[Account ID]],Accounts[Plaid Account ID],Accounts[Institution Name],"Not Found",0)</f>
        <v>RBC Royal Bank</v>
      </c>
      <c r="N106" t="str">
        <f>IF(Transactions[[#This Row],[Amount]]&lt;0,"credit","debit")</f>
        <v>debit</v>
      </c>
      <c r="O106" t="str" cm="1">
        <f t="array" ref="O10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0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44794</v>
      </c>
      <c r="Q106" s="3">
        <f>DATE(YEAR(Transactions[[#This Row],[Datetime]]),MONTH(Transactions[[#This Row],[Datetime]]),1)</f>
        <v>44774</v>
      </c>
      <c r="R106" t="b">
        <f ca="1">AND(Transactions[[#This Row],[Datetime]]&gt;=EDATE(MAX(Transactions[Datetime]),-6),Transactions[[#This Row],[Datetime]]&lt;=TODAY())</f>
        <v>0</v>
      </c>
      <c r="S106" s="6">
        <f ca="1">AVERAGEIFS(Transactions[Month''s Total],Transactions[Recent],TRUE,Transactions[Custom Category],Transactions[[#This Row],[Custom Category]])</f>
        <v>12758.461333333335</v>
      </c>
      <c r="T106">
        <f>SUMIFS(Transactions[Amount],Transactions[Month],Transactions[[#This Row],[Month]],Transactions[Custom Category],Transactions[[#This Row],[Custom Category]])</f>
        <v>6337.6099999999988</v>
      </c>
      <c r="U10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06">
        <f>IF(Transactions[[#This Row],[Month]]=Sel_Month,Transactions[[#This Row],[Amount]],0)</f>
        <v>0</v>
      </c>
    </row>
    <row r="107" spans="1:22" x14ac:dyDescent="0.25">
      <c r="A107" t="s">
        <v>61</v>
      </c>
      <c r="B107" t="s">
        <v>66</v>
      </c>
      <c r="C107">
        <v>2500</v>
      </c>
      <c r="D107" t="s">
        <v>67</v>
      </c>
      <c r="E107" t="s">
        <v>722</v>
      </c>
      <c r="F107" t="s">
        <v>69</v>
      </c>
      <c r="H107" t="s">
        <v>471</v>
      </c>
      <c r="I107" t="s">
        <v>71</v>
      </c>
      <c r="J107" t="b">
        <v>0</v>
      </c>
      <c r="K107" t="s">
        <v>725</v>
      </c>
      <c r="L107" t="str">
        <f>_xlfn.XLOOKUP(Transactions[[#This Row],[Account ID]],Accounts[Plaid Account ID],Accounts[Name],"Not Found",0)</f>
        <v>RBC Staff Banking</v>
      </c>
      <c r="M107" t="str">
        <f>_xlfn.XLOOKUP(Transactions[[#This Row],[Account ID]],Accounts[Plaid Account ID],Accounts[Institution Name],"Not Found",0)</f>
        <v>RBC Royal Bank</v>
      </c>
      <c r="N107" t="str">
        <f>IF(Transactions[[#This Row],[Amount]]&lt;0,"credit","debit")</f>
        <v>debit</v>
      </c>
      <c r="O107" t="str" cm="1">
        <f t="array" ref="O10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0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44794</v>
      </c>
      <c r="Q107" s="3">
        <f>DATE(YEAR(Transactions[[#This Row],[Datetime]]),MONTH(Transactions[[#This Row],[Datetime]]),1)</f>
        <v>44774</v>
      </c>
      <c r="R107" t="b">
        <f ca="1">AND(Transactions[[#This Row],[Datetime]]&gt;=EDATE(MAX(Transactions[Datetime]),-6),Transactions[[#This Row],[Datetime]]&lt;=TODAY())</f>
        <v>0</v>
      </c>
      <c r="S107" s="6">
        <f ca="1">AVERAGEIFS(Transactions[Month''s Total],Transactions[Recent],TRUE,Transactions[Custom Category],Transactions[[#This Row],[Custom Category]])</f>
        <v>14532.989714285719</v>
      </c>
      <c r="T107">
        <f>SUMIFS(Transactions[Amount],Transactions[Month],Transactions[[#This Row],[Month]],Transactions[Custom Category],Transactions[[#This Row],[Custom Category]])</f>
        <v>3646.9700000000003</v>
      </c>
      <c r="U10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07">
        <f>IF(Transactions[[#This Row],[Month]]=Sel_Month,Transactions[[#This Row],[Amount]],0)</f>
        <v>0</v>
      </c>
    </row>
    <row r="108" spans="1:22" x14ac:dyDescent="0.25">
      <c r="A108" t="s">
        <v>61</v>
      </c>
      <c r="B108" t="s">
        <v>66</v>
      </c>
      <c r="C108">
        <v>50</v>
      </c>
      <c r="D108" t="s">
        <v>67</v>
      </c>
      <c r="E108" t="s">
        <v>719</v>
      </c>
      <c r="F108" t="s">
        <v>69</v>
      </c>
      <c r="H108" t="s">
        <v>720</v>
      </c>
      <c r="I108" t="s">
        <v>71</v>
      </c>
      <c r="J108" t="b">
        <v>0</v>
      </c>
      <c r="K108" t="s">
        <v>721</v>
      </c>
      <c r="L108" t="str">
        <f>_xlfn.XLOOKUP(Transactions[[#This Row],[Account ID]],Accounts[Plaid Account ID],Accounts[Name],"Not Found",0)</f>
        <v>RBC Staff Banking</v>
      </c>
      <c r="M108" t="str">
        <f>_xlfn.XLOOKUP(Transactions[[#This Row],[Account ID]],Accounts[Plaid Account ID],Accounts[Institution Name],"Not Found",0)</f>
        <v>RBC Royal Bank</v>
      </c>
      <c r="N108" t="str">
        <f>IF(Transactions[[#This Row],[Amount]]&lt;0,"credit","debit")</f>
        <v>debit</v>
      </c>
      <c r="O108" t="str" cm="1">
        <f t="array" ref="O10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0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44797</v>
      </c>
      <c r="Q108" s="3">
        <f>DATE(YEAR(Transactions[[#This Row],[Datetime]]),MONTH(Transactions[[#This Row],[Datetime]]),1)</f>
        <v>44774</v>
      </c>
      <c r="R108" t="b">
        <f ca="1">AND(Transactions[[#This Row],[Datetime]]&gt;=EDATE(MAX(Transactions[Datetime]),-6),Transactions[[#This Row],[Datetime]]&lt;=TODAY())</f>
        <v>0</v>
      </c>
      <c r="S108" s="6">
        <f ca="1">AVERAGEIFS(Transactions[Month''s Total],Transactions[Recent],TRUE,Transactions[Custom Category],Transactions[[#This Row],[Custom Category]])</f>
        <v>14532.989714285719</v>
      </c>
      <c r="T108">
        <f>SUMIFS(Transactions[Amount],Transactions[Month],Transactions[[#This Row],[Month]],Transactions[Custom Category],Transactions[[#This Row],[Custom Category]])</f>
        <v>3646.9700000000003</v>
      </c>
      <c r="U10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08">
        <f>IF(Transactions[[#This Row],[Month]]=Sel_Month,Transactions[[#This Row],[Amount]],0)</f>
        <v>0</v>
      </c>
    </row>
    <row r="109" spans="1:22" x14ac:dyDescent="0.25">
      <c r="A109" t="s">
        <v>61</v>
      </c>
      <c r="B109" t="s">
        <v>66</v>
      </c>
      <c r="C109">
        <v>-0.01</v>
      </c>
      <c r="D109" t="s">
        <v>246</v>
      </c>
      <c r="E109" t="s">
        <v>714</v>
      </c>
      <c r="F109" t="s">
        <v>69</v>
      </c>
      <c r="H109" t="s">
        <v>247</v>
      </c>
      <c r="I109" t="s">
        <v>71</v>
      </c>
      <c r="J109" t="b">
        <v>0</v>
      </c>
      <c r="K109" t="s">
        <v>715</v>
      </c>
      <c r="L109" t="str">
        <f>_xlfn.XLOOKUP(Transactions[[#This Row],[Account ID]],Accounts[Plaid Account ID],Accounts[Name],"Not Found",0)</f>
        <v>RBC Staff Banking</v>
      </c>
      <c r="M109" t="str">
        <f>_xlfn.XLOOKUP(Transactions[[#This Row],[Account ID]],Accounts[Plaid Account ID],Accounts[Institution Name],"Not Found",0)</f>
        <v>RBC Royal Bank</v>
      </c>
      <c r="N109" t="str">
        <f>IF(Transactions[[#This Row],[Amount]]&lt;0,"credit","debit")</f>
        <v>credit</v>
      </c>
      <c r="O109" t="str" cm="1">
        <f t="array" ref="O10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Income,Interest</v>
      </c>
      <c r="P10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44804</v>
      </c>
      <c r="Q109" s="3">
        <f>DATE(YEAR(Transactions[[#This Row],[Datetime]]),MONTH(Transactions[[#This Row],[Datetime]]),1)</f>
        <v>44774</v>
      </c>
      <c r="R109" t="b">
        <f ca="1">AND(Transactions[[#This Row],[Datetime]]&gt;=EDATE(MAX(Transactions[Datetime]),-6),Transactions[[#This Row],[Datetime]]&lt;=TODAY())</f>
        <v>0</v>
      </c>
      <c r="S109" s="6">
        <f ca="1">AVERAGEIFS(Transactions[Month''s Total],Transactions[Recent],TRUE,Transactions[Custom Category],Transactions[[#This Row],[Custom Category]])</f>
        <v>-0.01</v>
      </c>
      <c r="T109">
        <f>SUMIFS(Transactions[Amount],Transactions[Month],Transactions[[#This Row],[Month]],Transactions[Custom Category],Transactions[[#This Row],[Custom Category]])</f>
        <v>-0.01</v>
      </c>
      <c r="U109">
        <f ca="1">IF(COUNTIF(Budgets[Custom Category],Transactions[[#This Row],[Custom Category]])=0,Transactions[[#This Row],[6M AVG]],_xlfn.XLOOKUP(Transactions[[#This Row],[Custom Category]],Budgets[Custom Category],Budgets[Monthly],0,0))</f>
        <v>-0.01</v>
      </c>
      <c r="V109">
        <f>IF(Transactions[[#This Row],[Month]]=Sel_Month,Transactions[[#This Row],[Amount]],0)</f>
        <v>0</v>
      </c>
    </row>
    <row r="110" spans="1:22" x14ac:dyDescent="0.25">
      <c r="A110" t="s">
        <v>61</v>
      </c>
      <c r="B110" t="s">
        <v>66</v>
      </c>
      <c r="C110">
        <v>909.03</v>
      </c>
      <c r="D110" t="s">
        <v>67</v>
      </c>
      <c r="E110" t="s">
        <v>714</v>
      </c>
      <c r="F110" t="s">
        <v>69</v>
      </c>
      <c r="H110" t="s">
        <v>716</v>
      </c>
      <c r="I110" t="s">
        <v>71</v>
      </c>
      <c r="J110" t="b">
        <v>0</v>
      </c>
      <c r="K110" t="s">
        <v>717</v>
      </c>
      <c r="L110" t="str">
        <f>_xlfn.XLOOKUP(Transactions[[#This Row],[Account ID]],Accounts[Plaid Account ID],Accounts[Name],"Not Found",0)</f>
        <v>RBC Staff Banking</v>
      </c>
      <c r="M110" t="str">
        <f>_xlfn.XLOOKUP(Transactions[[#This Row],[Account ID]],Accounts[Plaid Account ID],Accounts[Institution Name],"Not Found",0)</f>
        <v>RBC Royal Bank</v>
      </c>
      <c r="N110" t="str">
        <f>IF(Transactions[[#This Row],[Amount]]&lt;0,"credit","debit")</f>
        <v>debit</v>
      </c>
      <c r="O110" t="str" cm="1">
        <f t="array" ref="O11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1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44804</v>
      </c>
      <c r="Q110" s="3">
        <f>DATE(YEAR(Transactions[[#This Row],[Datetime]]),MONTH(Transactions[[#This Row],[Datetime]]),1)</f>
        <v>44774</v>
      </c>
      <c r="R110" t="b">
        <f ca="1">AND(Transactions[[#This Row],[Datetime]]&gt;=EDATE(MAX(Transactions[Datetime]),-6),Transactions[[#This Row],[Datetime]]&lt;=TODAY())</f>
        <v>0</v>
      </c>
      <c r="S110" s="6">
        <f ca="1">AVERAGEIFS(Transactions[Month''s Total],Transactions[Recent],TRUE,Transactions[Custom Category],Transactions[[#This Row],[Custom Category]])</f>
        <v>12758.461333333335</v>
      </c>
      <c r="T110">
        <f>SUMIFS(Transactions[Amount],Transactions[Month],Transactions[[#This Row],[Month]],Transactions[Custom Category],Transactions[[#This Row],[Custom Category]])</f>
        <v>6337.6099999999988</v>
      </c>
      <c r="U11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10">
        <f>IF(Transactions[[#This Row],[Month]]=Sel_Month,Transactions[[#This Row],[Amount]],0)</f>
        <v>0</v>
      </c>
    </row>
    <row r="111" spans="1:22" x14ac:dyDescent="0.25">
      <c r="A111" t="s">
        <v>61</v>
      </c>
      <c r="B111" t="s">
        <v>66</v>
      </c>
      <c r="C111">
        <v>-104</v>
      </c>
      <c r="D111" t="s">
        <v>99</v>
      </c>
      <c r="E111" t="s">
        <v>714</v>
      </c>
      <c r="F111" t="s">
        <v>69</v>
      </c>
      <c r="H111" t="s">
        <v>659</v>
      </c>
      <c r="I111" t="s">
        <v>71</v>
      </c>
      <c r="J111" t="b">
        <v>0</v>
      </c>
      <c r="K111" t="s">
        <v>718</v>
      </c>
      <c r="L111" t="str">
        <f>_xlfn.XLOOKUP(Transactions[[#This Row],[Account ID]],Accounts[Plaid Account ID],Accounts[Name],"Not Found",0)</f>
        <v>RBC Staff Banking</v>
      </c>
      <c r="M111" t="str">
        <f>_xlfn.XLOOKUP(Transactions[[#This Row],[Account ID]],Accounts[Plaid Account ID],Accounts[Institution Name],"Not Found",0)</f>
        <v>RBC Royal Bank</v>
      </c>
      <c r="N111" t="str">
        <f>IF(Transactions[[#This Row],[Amount]]&lt;0,"credit","debit")</f>
        <v>credit</v>
      </c>
      <c r="O111" t="str" cm="1">
        <f t="array" ref="O11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1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44804</v>
      </c>
      <c r="Q111" s="3">
        <f>DATE(YEAR(Transactions[[#This Row],[Datetime]]),MONTH(Transactions[[#This Row],[Datetime]]),1)</f>
        <v>44774</v>
      </c>
      <c r="R111" t="b">
        <f ca="1">AND(Transactions[[#This Row],[Datetime]]&gt;=EDATE(MAX(Transactions[Datetime]),-6),Transactions[[#This Row],[Datetime]]&lt;=TODAY())</f>
        <v>0</v>
      </c>
      <c r="S111" s="6">
        <f ca="1">AVERAGEIFS(Transactions[Month''s Total],Transactions[Recent],TRUE,Transactions[Custom Category],Transactions[[#This Row],[Custom Category]])</f>
        <v>14532.989714285719</v>
      </c>
      <c r="T111">
        <f>SUMIFS(Transactions[Amount],Transactions[Month],Transactions[[#This Row],[Month]],Transactions[Custom Category],Transactions[[#This Row],[Custom Category]])</f>
        <v>3646.9700000000003</v>
      </c>
      <c r="U11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11">
        <f>IF(Transactions[[#This Row],[Month]]=Sel_Month,Transactions[[#This Row],[Amount]],0)</f>
        <v>0</v>
      </c>
    </row>
    <row r="112" spans="1:22" x14ac:dyDescent="0.25">
      <c r="A112" t="s">
        <v>61</v>
      </c>
      <c r="B112" t="s">
        <v>66</v>
      </c>
      <c r="C112">
        <v>-2000</v>
      </c>
      <c r="D112" t="s">
        <v>99</v>
      </c>
      <c r="E112" t="s">
        <v>712</v>
      </c>
      <c r="F112" t="s">
        <v>69</v>
      </c>
      <c r="H112" t="s">
        <v>659</v>
      </c>
      <c r="I112" t="s">
        <v>71</v>
      </c>
      <c r="J112" t="b">
        <v>0</v>
      </c>
      <c r="K112" t="s">
        <v>713</v>
      </c>
      <c r="L112" t="str">
        <f>_xlfn.XLOOKUP(Transactions[[#This Row],[Account ID]],Accounts[Plaid Account ID],Accounts[Name],"Not Found",0)</f>
        <v>RBC Staff Banking</v>
      </c>
      <c r="M112" t="str">
        <f>_xlfn.XLOOKUP(Transactions[[#This Row],[Account ID]],Accounts[Plaid Account ID],Accounts[Institution Name],"Not Found",0)</f>
        <v>RBC Royal Bank</v>
      </c>
      <c r="N112" t="str">
        <f>IF(Transactions[[#This Row],[Amount]]&lt;0,"credit","debit")</f>
        <v>credit</v>
      </c>
      <c r="O112" t="str" cm="1">
        <f t="array" ref="O11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1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44809</v>
      </c>
      <c r="Q112" s="3">
        <f>DATE(YEAR(Transactions[[#This Row],[Datetime]]),MONTH(Transactions[[#This Row],[Datetime]]),1)</f>
        <v>44805</v>
      </c>
      <c r="R112" t="b">
        <f ca="1">AND(Transactions[[#This Row],[Datetime]]&gt;=EDATE(MAX(Transactions[Datetime]),-6),Transactions[[#This Row],[Datetime]]&lt;=TODAY())</f>
        <v>0</v>
      </c>
      <c r="S112" s="6">
        <f ca="1">AVERAGEIFS(Transactions[Month''s Total],Transactions[Recent],TRUE,Transactions[Custom Category],Transactions[[#This Row],[Custom Category]])</f>
        <v>14532.989714285719</v>
      </c>
      <c r="T112">
        <f>SUMIFS(Transactions[Amount],Transactions[Month],Transactions[[#This Row],[Month]],Transactions[Custom Category],Transactions[[#This Row],[Custom Category]])</f>
        <v>-2869</v>
      </c>
      <c r="U11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12">
        <f>IF(Transactions[[#This Row],[Month]]=Sel_Month,Transactions[[#This Row],[Amount]],0)</f>
        <v>0</v>
      </c>
    </row>
    <row r="113" spans="1:22" x14ac:dyDescent="0.25">
      <c r="A113" t="s">
        <v>61</v>
      </c>
      <c r="B113" t="s">
        <v>66</v>
      </c>
      <c r="C113">
        <v>-1800</v>
      </c>
      <c r="D113" t="s">
        <v>99</v>
      </c>
      <c r="E113" t="s">
        <v>710</v>
      </c>
      <c r="F113" t="s">
        <v>69</v>
      </c>
      <c r="H113" t="s">
        <v>659</v>
      </c>
      <c r="I113" t="s">
        <v>71</v>
      </c>
      <c r="J113" t="b">
        <v>0</v>
      </c>
      <c r="K113" t="s">
        <v>711</v>
      </c>
      <c r="L113" t="str">
        <f>_xlfn.XLOOKUP(Transactions[[#This Row],[Account ID]],Accounts[Plaid Account ID],Accounts[Name],"Not Found",0)</f>
        <v>RBC Staff Banking</v>
      </c>
      <c r="M113" t="str">
        <f>_xlfn.XLOOKUP(Transactions[[#This Row],[Account ID]],Accounts[Plaid Account ID],Accounts[Institution Name],"Not Found",0)</f>
        <v>RBC Royal Bank</v>
      </c>
      <c r="N113" t="str">
        <f>IF(Transactions[[#This Row],[Amount]]&lt;0,"credit","debit")</f>
        <v>credit</v>
      </c>
      <c r="O113" t="str" cm="1">
        <f t="array" ref="O11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1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44811</v>
      </c>
      <c r="Q113" s="3">
        <f>DATE(YEAR(Transactions[[#This Row],[Datetime]]),MONTH(Transactions[[#This Row],[Datetime]]),1)</f>
        <v>44805</v>
      </c>
      <c r="R113" t="b">
        <f ca="1">AND(Transactions[[#This Row],[Datetime]]&gt;=EDATE(MAX(Transactions[Datetime]),-6),Transactions[[#This Row],[Datetime]]&lt;=TODAY())</f>
        <v>0</v>
      </c>
      <c r="S113" s="6">
        <f ca="1">AVERAGEIFS(Transactions[Month''s Total],Transactions[Recent],TRUE,Transactions[Custom Category],Transactions[[#This Row],[Custom Category]])</f>
        <v>14532.989714285719</v>
      </c>
      <c r="T113">
        <f>SUMIFS(Transactions[Amount],Transactions[Month],Transactions[[#This Row],[Month]],Transactions[Custom Category],Transactions[[#This Row],[Custom Category]])</f>
        <v>-2869</v>
      </c>
      <c r="U11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13">
        <f>IF(Transactions[[#This Row],[Month]]=Sel_Month,Transactions[[#This Row],[Amount]],0)</f>
        <v>0</v>
      </c>
    </row>
    <row r="114" spans="1:22" x14ac:dyDescent="0.25">
      <c r="A114" t="s">
        <v>61</v>
      </c>
      <c r="B114" t="s">
        <v>66</v>
      </c>
      <c r="C114">
        <v>4035.93</v>
      </c>
      <c r="D114" t="s">
        <v>67</v>
      </c>
      <c r="E114" t="s">
        <v>706</v>
      </c>
      <c r="F114" t="s">
        <v>69</v>
      </c>
      <c r="H114" t="s">
        <v>707</v>
      </c>
      <c r="I114" t="s">
        <v>71</v>
      </c>
      <c r="J114" t="b">
        <v>0</v>
      </c>
      <c r="K114" t="s">
        <v>708</v>
      </c>
      <c r="L114" t="str">
        <f>_xlfn.XLOOKUP(Transactions[[#This Row],[Account ID]],Accounts[Plaid Account ID],Accounts[Name],"Not Found",0)</f>
        <v>RBC Staff Banking</v>
      </c>
      <c r="M114" t="str">
        <f>_xlfn.XLOOKUP(Transactions[[#This Row],[Account ID]],Accounts[Plaid Account ID],Accounts[Institution Name],"Not Found",0)</f>
        <v>RBC Royal Bank</v>
      </c>
      <c r="N114" t="str">
        <f>IF(Transactions[[#This Row],[Amount]]&lt;0,"credit","debit")</f>
        <v>debit</v>
      </c>
      <c r="O114" t="str" cm="1">
        <f t="array" ref="O11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1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44815</v>
      </c>
      <c r="Q114" s="3">
        <f>DATE(YEAR(Transactions[[#This Row],[Datetime]]),MONTH(Transactions[[#This Row],[Datetime]]),1)</f>
        <v>44805</v>
      </c>
      <c r="R114" t="b">
        <f ca="1">AND(Transactions[[#This Row],[Datetime]]&gt;=EDATE(MAX(Transactions[Datetime]),-6),Transactions[[#This Row],[Datetime]]&lt;=TODAY())</f>
        <v>0</v>
      </c>
      <c r="S114" s="6">
        <f ca="1">AVERAGEIFS(Transactions[Month''s Total],Transactions[Recent],TRUE,Transactions[Custom Category],Transactions[[#This Row],[Custom Category]])</f>
        <v>12758.461333333335</v>
      </c>
      <c r="T114">
        <f>SUMIFS(Transactions[Amount],Transactions[Month],Transactions[[#This Row],[Month]],Transactions[Custom Category],Transactions[[#This Row],[Custom Category]])</f>
        <v>7356.01</v>
      </c>
      <c r="U11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14">
        <f>IF(Transactions[[#This Row],[Month]]=Sel_Month,Transactions[[#This Row],[Amount]],0)</f>
        <v>0</v>
      </c>
    </row>
    <row r="115" spans="1:22" x14ac:dyDescent="0.25">
      <c r="A115" t="s">
        <v>61</v>
      </c>
      <c r="B115" t="s">
        <v>66</v>
      </c>
      <c r="C115">
        <v>-155</v>
      </c>
      <c r="D115" t="s">
        <v>99</v>
      </c>
      <c r="E115" t="s">
        <v>706</v>
      </c>
      <c r="F115" t="s">
        <v>69</v>
      </c>
      <c r="H115" t="s">
        <v>659</v>
      </c>
      <c r="I115" t="s">
        <v>71</v>
      </c>
      <c r="J115" t="b">
        <v>0</v>
      </c>
      <c r="K115" t="s">
        <v>709</v>
      </c>
      <c r="L115" t="str">
        <f>_xlfn.XLOOKUP(Transactions[[#This Row],[Account ID]],Accounts[Plaid Account ID],Accounts[Name],"Not Found",0)</f>
        <v>RBC Staff Banking</v>
      </c>
      <c r="M115" t="str">
        <f>_xlfn.XLOOKUP(Transactions[[#This Row],[Account ID]],Accounts[Plaid Account ID],Accounts[Institution Name],"Not Found",0)</f>
        <v>RBC Royal Bank</v>
      </c>
      <c r="N115" t="str">
        <f>IF(Transactions[[#This Row],[Amount]]&lt;0,"credit","debit")</f>
        <v>credit</v>
      </c>
      <c r="O115" t="str" cm="1">
        <f t="array" ref="O11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1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44815</v>
      </c>
      <c r="Q115" s="3">
        <f>DATE(YEAR(Transactions[[#This Row],[Datetime]]),MONTH(Transactions[[#This Row],[Datetime]]),1)</f>
        <v>44805</v>
      </c>
      <c r="R115" t="b">
        <f ca="1">AND(Transactions[[#This Row],[Datetime]]&gt;=EDATE(MAX(Transactions[Datetime]),-6),Transactions[[#This Row],[Datetime]]&lt;=TODAY())</f>
        <v>0</v>
      </c>
      <c r="S115" s="6">
        <f ca="1">AVERAGEIFS(Transactions[Month''s Total],Transactions[Recent],TRUE,Transactions[Custom Category],Transactions[[#This Row],[Custom Category]])</f>
        <v>14532.989714285719</v>
      </c>
      <c r="T115">
        <f>SUMIFS(Transactions[Amount],Transactions[Month],Transactions[[#This Row],[Month]],Transactions[Custom Category],Transactions[[#This Row],[Custom Category]])</f>
        <v>-2869</v>
      </c>
      <c r="U11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15">
        <f>IF(Transactions[[#This Row],[Month]]=Sel_Month,Transactions[[#This Row],[Amount]],0)</f>
        <v>0</v>
      </c>
    </row>
    <row r="116" spans="1:22" x14ac:dyDescent="0.25">
      <c r="A116" t="s">
        <v>61</v>
      </c>
      <c r="B116" t="s">
        <v>66</v>
      </c>
      <c r="C116">
        <v>-64</v>
      </c>
      <c r="D116" t="s">
        <v>99</v>
      </c>
      <c r="E116" t="s">
        <v>704</v>
      </c>
      <c r="F116" t="s">
        <v>69</v>
      </c>
      <c r="H116" t="s">
        <v>659</v>
      </c>
      <c r="I116" t="s">
        <v>71</v>
      </c>
      <c r="J116" t="b">
        <v>0</v>
      </c>
      <c r="K116" t="s">
        <v>705</v>
      </c>
      <c r="L116" t="str">
        <f>_xlfn.XLOOKUP(Transactions[[#This Row],[Account ID]],Accounts[Plaid Account ID],Accounts[Name],"Not Found",0)</f>
        <v>RBC Staff Banking</v>
      </c>
      <c r="M116" t="str">
        <f>_xlfn.XLOOKUP(Transactions[[#This Row],[Account ID]],Accounts[Plaid Account ID],Accounts[Institution Name],"Not Found",0)</f>
        <v>RBC Royal Bank</v>
      </c>
      <c r="N116" t="str">
        <f>IF(Transactions[[#This Row],[Amount]]&lt;0,"credit","debit")</f>
        <v>credit</v>
      </c>
      <c r="O116" t="str" cm="1">
        <f t="array" ref="O11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1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44818</v>
      </c>
      <c r="Q116" s="3">
        <f>DATE(YEAR(Transactions[[#This Row],[Datetime]]),MONTH(Transactions[[#This Row],[Datetime]]),1)</f>
        <v>44805</v>
      </c>
      <c r="R116" t="b">
        <f ca="1">AND(Transactions[[#This Row],[Datetime]]&gt;=EDATE(MAX(Transactions[Datetime]),-6),Transactions[[#This Row],[Datetime]]&lt;=TODAY())</f>
        <v>0</v>
      </c>
      <c r="S116" s="6">
        <f ca="1">AVERAGEIFS(Transactions[Month''s Total],Transactions[Recent],TRUE,Transactions[Custom Category],Transactions[[#This Row],[Custom Category]])</f>
        <v>14532.989714285719</v>
      </c>
      <c r="T116">
        <f>SUMIFS(Transactions[Amount],Transactions[Month],Transactions[[#This Row],[Month]],Transactions[Custom Category],Transactions[[#This Row],[Custom Category]])</f>
        <v>-2869</v>
      </c>
      <c r="U11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16">
        <f>IF(Transactions[[#This Row],[Month]]=Sel_Month,Transactions[[#This Row],[Amount]],0)</f>
        <v>0</v>
      </c>
    </row>
    <row r="117" spans="1:22" x14ac:dyDescent="0.25">
      <c r="A117" t="s">
        <v>61</v>
      </c>
      <c r="B117" t="s">
        <v>66</v>
      </c>
      <c r="C117">
        <v>-2000</v>
      </c>
      <c r="D117" t="s">
        <v>99</v>
      </c>
      <c r="E117" t="s">
        <v>702</v>
      </c>
      <c r="F117" t="s">
        <v>69</v>
      </c>
      <c r="H117" t="s">
        <v>650</v>
      </c>
      <c r="I117" t="s">
        <v>71</v>
      </c>
      <c r="J117" t="b">
        <v>0</v>
      </c>
      <c r="K117" t="s">
        <v>703</v>
      </c>
      <c r="L117" t="str">
        <f>_xlfn.XLOOKUP(Transactions[[#This Row],[Account ID]],Accounts[Plaid Account ID],Accounts[Name],"Not Found",0)</f>
        <v>RBC Staff Banking</v>
      </c>
      <c r="M117" t="str">
        <f>_xlfn.XLOOKUP(Transactions[[#This Row],[Account ID]],Accounts[Plaid Account ID],Accounts[Institution Name],"Not Found",0)</f>
        <v>RBC Royal Bank</v>
      </c>
      <c r="N117" t="str">
        <f>IF(Transactions[[#This Row],[Amount]]&lt;0,"credit","debit")</f>
        <v>credit</v>
      </c>
      <c r="O117" t="str" cm="1">
        <f t="array" ref="O11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1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44822</v>
      </c>
      <c r="Q117" s="3">
        <f>DATE(YEAR(Transactions[[#This Row],[Datetime]]),MONTH(Transactions[[#This Row],[Datetime]]),1)</f>
        <v>44805</v>
      </c>
      <c r="R117" t="b">
        <f ca="1">AND(Transactions[[#This Row],[Datetime]]&gt;=EDATE(MAX(Transactions[Datetime]),-6),Transactions[[#This Row],[Datetime]]&lt;=TODAY())</f>
        <v>0</v>
      </c>
      <c r="S117" s="6">
        <f ca="1">AVERAGEIFS(Transactions[Month''s Total],Transactions[Recent],TRUE,Transactions[Custom Category],Transactions[[#This Row],[Custom Category]])</f>
        <v>-3209.0714285714284</v>
      </c>
      <c r="T117">
        <f>SUMIFS(Transactions[Amount],Transactions[Month],Transactions[[#This Row],[Month]],Transactions[Custom Category],Transactions[[#This Row],[Custom Category]])</f>
        <v>-4733</v>
      </c>
      <c r="U117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17">
        <f>IF(Transactions[[#This Row],[Month]]=Sel_Month,Transactions[[#This Row],[Amount]],0)</f>
        <v>0</v>
      </c>
    </row>
    <row r="118" spans="1:22" x14ac:dyDescent="0.25">
      <c r="A118" t="s">
        <v>61</v>
      </c>
      <c r="B118" t="s">
        <v>66</v>
      </c>
      <c r="C118">
        <v>1198.1500000000001</v>
      </c>
      <c r="D118" t="s">
        <v>67</v>
      </c>
      <c r="E118" t="s">
        <v>696</v>
      </c>
      <c r="F118" t="s">
        <v>69</v>
      </c>
      <c r="H118" t="s">
        <v>697</v>
      </c>
      <c r="I118" t="s">
        <v>71</v>
      </c>
      <c r="J118" t="b">
        <v>0</v>
      </c>
      <c r="K118" t="s">
        <v>698</v>
      </c>
      <c r="L118" t="str">
        <f>_xlfn.XLOOKUP(Transactions[[#This Row],[Account ID]],Accounts[Plaid Account ID],Accounts[Name],"Not Found",0)</f>
        <v>RBC Staff Banking</v>
      </c>
      <c r="M118" t="str">
        <f>_xlfn.XLOOKUP(Transactions[[#This Row],[Account ID]],Accounts[Plaid Account ID],Accounts[Institution Name],"Not Found",0)</f>
        <v>RBC Royal Bank</v>
      </c>
      <c r="N118" t="str">
        <f>IF(Transactions[[#This Row],[Amount]]&lt;0,"credit","debit")</f>
        <v>debit</v>
      </c>
      <c r="O118" t="str" cm="1">
        <f t="array" ref="O11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1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44823</v>
      </c>
      <c r="Q118" s="3">
        <f>DATE(YEAR(Transactions[[#This Row],[Datetime]]),MONTH(Transactions[[#This Row],[Datetime]]),1)</f>
        <v>44805</v>
      </c>
      <c r="R118" t="b">
        <f ca="1">AND(Transactions[[#This Row],[Datetime]]&gt;=EDATE(MAX(Transactions[Datetime]),-6),Transactions[[#This Row],[Datetime]]&lt;=TODAY())</f>
        <v>0</v>
      </c>
      <c r="S118" s="6">
        <f ca="1">AVERAGEIFS(Transactions[Month''s Total],Transactions[Recent],TRUE,Transactions[Custom Category],Transactions[[#This Row],[Custom Category]])</f>
        <v>12758.461333333335</v>
      </c>
      <c r="T118">
        <f>SUMIFS(Transactions[Amount],Transactions[Month],Transactions[[#This Row],[Month]],Transactions[Custom Category],Transactions[[#This Row],[Custom Category]])</f>
        <v>7356.01</v>
      </c>
      <c r="U11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18">
        <f>IF(Transactions[[#This Row],[Month]]=Sel_Month,Transactions[[#This Row],[Amount]],0)</f>
        <v>0</v>
      </c>
    </row>
    <row r="119" spans="1:22" x14ac:dyDescent="0.25">
      <c r="A119" t="s">
        <v>61</v>
      </c>
      <c r="B119" t="s">
        <v>66</v>
      </c>
      <c r="C119">
        <v>1500</v>
      </c>
      <c r="D119" t="s">
        <v>67</v>
      </c>
      <c r="E119" t="s">
        <v>696</v>
      </c>
      <c r="F119" t="s">
        <v>69</v>
      </c>
      <c r="H119" t="s">
        <v>471</v>
      </c>
      <c r="I119" t="s">
        <v>71</v>
      </c>
      <c r="J119" t="b">
        <v>0</v>
      </c>
      <c r="K119" t="s">
        <v>699</v>
      </c>
      <c r="L119" t="str">
        <f>_xlfn.XLOOKUP(Transactions[[#This Row],[Account ID]],Accounts[Plaid Account ID],Accounts[Name],"Not Found",0)</f>
        <v>RBC Staff Banking</v>
      </c>
      <c r="M119" t="str">
        <f>_xlfn.XLOOKUP(Transactions[[#This Row],[Account ID]],Accounts[Plaid Account ID],Accounts[Institution Name],"Not Found",0)</f>
        <v>RBC Royal Bank</v>
      </c>
      <c r="N119" t="str">
        <f>IF(Transactions[[#This Row],[Amount]]&lt;0,"credit","debit")</f>
        <v>debit</v>
      </c>
      <c r="O119" t="str" cm="1">
        <f t="array" ref="O11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1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44823</v>
      </c>
      <c r="Q119" s="3">
        <f>DATE(YEAR(Transactions[[#This Row],[Datetime]]),MONTH(Transactions[[#This Row],[Datetime]]),1)</f>
        <v>44805</v>
      </c>
      <c r="R119" t="b">
        <f ca="1">AND(Transactions[[#This Row],[Datetime]]&gt;=EDATE(MAX(Transactions[Datetime]),-6),Transactions[[#This Row],[Datetime]]&lt;=TODAY())</f>
        <v>0</v>
      </c>
      <c r="S119" s="6">
        <f ca="1">AVERAGEIFS(Transactions[Month''s Total],Transactions[Recent],TRUE,Transactions[Custom Category],Transactions[[#This Row],[Custom Category]])</f>
        <v>14532.989714285719</v>
      </c>
      <c r="T119">
        <f>SUMIFS(Transactions[Amount],Transactions[Month],Transactions[[#This Row],[Month]],Transactions[Custom Category],Transactions[[#This Row],[Custom Category]])</f>
        <v>-2869</v>
      </c>
      <c r="U11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19">
        <f>IF(Transactions[[#This Row],[Month]]=Sel_Month,Transactions[[#This Row],[Amount]],0)</f>
        <v>0</v>
      </c>
    </row>
    <row r="120" spans="1:22" x14ac:dyDescent="0.25">
      <c r="A120" t="s">
        <v>61</v>
      </c>
      <c r="B120" t="s">
        <v>66</v>
      </c>
      <c r="C120">
        <v>-2000</v>
      </c>
      <c r="D120" t="s">
        <v>99</v>
      </c>
      <c r="E120" t="s">
        <v>696</v>
      </c>
      <c r="F120" t="s">
        <v>69</v>
      </c>
      <c r="H120" t="s">
        <v>650</v>
      </c>
      <c r="I120" t="s">
        <v>71</v>
      </c>
      <c r="J120" t="b">
        <v>0</v>
      </c>
      <c r="K120" t="s">
        <v>700</v>
      </c>
      <c r="L120" t="str">
        <f>_xlfn.XLOOKUP(Transactions[[#This Row],[Account ID]],Accounts[Plaid Account ID],Accounts[Name],"Not Found",0)</f>
        <v>RBC Staff Banking</v>
      </c>
      <c r="M120" t="str">
        <f>_xlfn.XLOOKUP(Transactions[[#This Row],[Account ID]],Accounts[Plaid Account ID],Accounts[Institution Name],"Not Found",0)</f>
        <v>RBC Royal Bank</v>
      </c>
      <c r="N120" t="str">
        <f>IF(Transactions[[#This Row],[Amount]]&lt;0,"credit","debit")</f>
        <v>credit</v>
      </c>
      <c r="O120" t="str" cm="1">
        <f t="array" ref="O12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2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44823</v>
      </c>
      <c r="Q120" s="3">
        <f>DATE(YEAR(Transactions[[#This Row],[Datetime]]),MONTH(Transactions[[#This Row],[Datetime]]),1)</f>
        <v>44805</v>
      </c>
      <c r="R120" t="b">
        <f ca="1">AND(Transactions[[#This Row],[Datetime]]&gt;=EDATE(MAX(Transactions[Datetime]),-6),Transactions[[#This Row],[Datetime]]&lt;=TODAY())</f>
        <v>0</v>
      </c>
      <c r="S120" s="6">
        <f ca="1">AVERAGEIFS(Transactions[Month''s Total],Transactions[Recent],TRUE,Transactions[Custom Category],Transactions[[#This Row],[Custom Category]])</f>
        <v>-3209.0714285714284</v>
      </c>
      <c r="T120">
        <f>SUMIFS(Transactions[Amount],Transactions[Month],Transactions[[#This Row],[Month]],Transactions[Custom Category],Transactions[[#This Row],[Custom Category]])</f>
        <v>-4733</v>
      </c>
      <c r="U120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20">
        <f>IF(Transactions[[#This Row],[Month]]=Sel_Month,Transactions[[#This Row],[Amount]],0)</f>
        <v>0</v>
      </c>
    </row>
    <row r="121" spans="1:22" x14ac:dyDescent="0.25">
      <c r="A121" t="s">
        <v>61</v>
      </c>
      <c r="B121" t="s">
        <v>66</v>
      </c>
      <c r="C121">
        <v>-733</v>
      </c>
      <c r="D121" t="s">
        <v>99</v>
      </c>
      <c r="E121" t="s">
        <v>696</v>
      </c>
      <c r="F121" t="s">
        <v>69</v>
      </c>
      <c r="H121" t="s">
        <v>650</v>
      </c>
      <c r="I121" t="s">
        <v>71</v>
      </c>
      <c r="J121" t="b">
        <v>0</v>
      </c>
      <c r="K121" t="s">
        <v>701</v>
      </c>
      <c r="L121" t="str">
        <f>_xlfn.XLOOKUP(Transactions[[#This Row],[Account ID]],Accounts[Plaid Account ID],Accounts[Name],"Not Found",0)</f>
        <v>RBC Staff Banking</v>
      </c>
      <c r="M121" t="str">
        <f>_xlfn.XLOOKUP(Transactions[[#This Row],[Account ID]],Accounts[Plaid Account ID],Accounts[Institution Name],"Not Found",0)</f>
        <v>RBC Royal Bank</v>
      </c>
      <c r="N121" t="str">
        <f>IF(Transactions[[#This Row],[Amount]]&lt;0,"credit","debit")</f>
        <v>credit</v>
      </c>
      <c r="O121" t="str" cm="1">
        <f t="array" ref="O12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2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44823</v>
      </c>
      <c r="Q121" s="3">
        <f>DATE(YEAR(Transactions[[#This Row],[Datetime]]),MONTH(Transactions[[#This Row],[Datetime]]),1)</f>
        <v>44805</v>
      </c>
      <c r="R121" t="b">
        <f ca="1">AND(Transactions[[#This Row],[Datetime]]&gt;=EDATE(MAX(Transactions[Datetime]),-6),Transactions[[#This Row],[Datetime]]&lt;=TODAY())</f>
        <v>0</v>
      </c>
      <c r="S121" s="6">
        <f ca="1">AVERAGEIFS(Transactions[Month''s Total],Transactions[Recent],TRUE,Transactions[Custom Category],Transactions[[#This Row],[Custom Category]])</f>
        <v>-3209.0714285714284</v>
      </c>
      <c r="T121">
        <f>SUMIFS(Transactions[Amount],Transactions[Month],Transactions[[#This Row],[Month]],Transactions[Custom Category],Transactions[[#This Row],[Custom Category]])</f>
        <v>-4733</v>
      </c>
      <c r="U121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21">
        <f>IF(Transactions[[#This Row],[Month]]=Sel_Month,Transactions[[#This Row],[Amount]],0)</f>
        <v>0</v>
      </c>
    </row>
    <row r="122" spans="1:22" x14ac:dyDescent="0.25">
      <c r="A122" t="s">
        <v>61</v>
      </c>
      <c r="B122" t="s">
        <v>66</v>
      </c>
      <c r="C122">
        <v>2121.9299999999998</v>
      </c>
      <c r="D122" t="s">
        <v>67</v>
      </c>
      <c r="E122" t="s">
        <v>693</v>
      </c>
      <c r="F122" t="s">
        <v>69</v>
      </c>
      <c r="H122" t="s">
        <v>694</v>
      </c>
      <c r="I122" t="s">
        <v>71</v>
      </c>
      <c r="J122" t="b">
        <v>0</v>
      </c>
      <c r="K122" t="s">
        <v>695</v>
      </c>
      <c r="L122" t="str">
        <f>_xlfn.XLOOKUP(Transactions[[#This Row],[Account ID]],Accounts[Plaid Account ID],Accounts[Name],"Not Found",0)</f>
        <v>RBC Staff Banking</v>
      </c>
      <c r="M122" t="str">
        <f>_xlfn.XLOOKUP(Transactions[[#This Row],[Account ID]],Accounts[Plaid Account ID],Accounts[Institution Name],"Not Found",0)</f>
        <v>RBC Royal Bank</v>
      </c>
      <c r="N122" t="str">
        <f>IF(Transactions[[#This Row],[Amount]]&lt;0,"credit","debit")</f>
        <v>debit</v>
      </c>
      <c r="O122" t="str" cm="1">
        <f t="array" ref="O12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2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44826</v>
      </c>
      <c r="Q122" s="3">
        <f>DATE(YEAR(Transactions[[#This Row],[Datetime]]),MONTH(Transactions[[#This Row],[Datetime]]),1)</f>
        <v>44805</v>
      </c>
      <c r="R122" t="b">
        <f ca="1">AND(Transactions[[#This Row],[Datetime]]&gt;=EDATE(MAX(Transactions[Datetime]),-6),Transactions[[#This Row],[Datetime]]&lt;=TODAY())</f>
        <v>0</v>
      </c>
      <c r="S122" s="6">
        <f ca="1">AVERAGEIFS(Transactions[Month''s Total],Transactions[Recent],TRUE,Transactions[Custom Category],Transactions[[#This Row],[Custom Category]])</f>
        <v>12758.461333333335</v>
      </c>
      <c r="T122">
        <f>SUMIFS(Transactions[Amount],Transactions[Month],Transactions[[#This Row],[Month]],Transactions[Custom Category],Transactions[[#This Row],[Custom Category]])</f>
        <v>7356.01</v>
      </c>
      <c r="U122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22">
        <f>IF(Transactions[[#This Row],[Month]]=Sel_Month,Transactions[[#This Row],[Amount]],0)</f>
        <v>0</v>
      </c>
    </row>
    <row r="123" spans="1:22" x14ac:dyDescent="0.25">
      <c r="A123" t="s">
        <v>61</v>
      </c>
      <c r="B123" t="s">
        <v>66</v>
      </c>
      <c r="C123">
        <v>-350</v>
      </c>
      <c r="D123" t="s">
        <v>99</v>
      </c>
      <c r="E123" t="s">
        <v>691</v>
      </c>
      <c r="F123" t="s">
        <v>69</v>
      </c>
      <c r="H123" t="s">
        <v>659</v>
      </c>
      <c r="I123" t="s">
        <v>71</v>
      </c>
      <c r="J123" t="b">
        <v>0</v>
      </c>
      <c r="K123" t="s">
        <v>692</v>
      </c>
      <c r="L123" t="str">
        <f>_xlfn.XLOOKUP(Transactions[[#This Row],[Account ID]],Accounts[Plaid Account ID],Accounts[Name],"Not Found",0)</f>
        <v>RBC Staff Banking</v>
      </c>
      <c r="M123" t="str">
        <f>_xlfn.XLOOKUP(Transactions[[#This Row],[Account ID]],Accounts[Plaid Account ID],Accounts[Institution Name],"Not Found",0)</f>
        <v>RBC Royal Bank</v>
      </c>
      <c r="N123" t="str">
        <f>IF(Transactions[[#This Row],[Amount]]&lt;0,"credit","debit")</f>
        <v>credit</v>
      </c>
      <c r="O123" t="str" cm="1">
        <f t="array" ref="O12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2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44832</v>
      </c>
      <c r="Q123" s="3">
        <f>DATE(YEAR(Transactions[[#This Row],[Datetime]]),MONTH(Transactions[[#This Row],[Datetime]]),1)</f>
        <v>44805</v>
      </c>
      <c r="R123" t="b">
        <f ca="1">AND(Transactions[[#This Row],[Datetime]]&gt;=EDATE(MAX(Transactions[Datetime]),-6),Transactions[[#This Row],[Datetime]]&lt;=TODAY())</f>
        <v>0</v>
      </c>
      <c r="S123" s="6">
        <f ca="1">AVERAGEIFS(Transactions[Month''s Total],Transactions[Recent],TRUE,Transactions[Custom Category],Transactions[[#This Row],[Custom Category]])</f>
        <v>14532.989714285719</v>
      </c>
      <c r="T123">
        <f>SUMIFS(Transactions[Amount],Transactions[Month],Transactions[[#This Row],[Month]],Transactions[Custom Category],Transactions[[#This Row],[Custom Category]])</f>
        <v>-2869</v>
      </c>
      <c r="U12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23">
        <f>IF(Transactions[[#This Row],[Month]]=Sel_Month,Transactions[[#This Row],[Amount]],0)</f>
        <v>0</v>
      </c>
    </row>
    <row r="124" spans="1:22" x14ac:dyDescent="0.25">
      <c r="A124" t="s">
        <v>61</v>
      </c>
      <c r="B124" t="s">
        <v>66</v>
      </c>
      <c r="C124">
        <v>520</v>
      </c>
      <c r="D124" t="s">
        <v>67</v>
      </c>
      <c r="E124" t="s">
        <v>684</v>
      </c>
      <c r="F124" t="s">
        <v>69</v>
      </c>
      <c r="H124" t="s">
        <v>685</v>
      </c>
      <c r="I124" t="s">
        <v>71</v>
      </c>
      <c r="J124" t="b">
        <v>0</v>
      </c>
      <c r="K124" t="s">
        <v>686</v>
      </c>
      <c r="L124" t="str">
        <f>_xlfn.XLOOKUP(Transactions[[#This Row],[Account ID]],Accounts[Plaid Account ID],Accounts[Name],"Not Found",0)</f>
        <v>RBC Staff Banking</v>
      </c>
      <c r="M124" t="str">
        <f>_xlfn.XLOOKUP(Transactions[[#This Row],[Account ID]],Accounts[Plaid Account ID],Accounts[Institution Name],"Not Found",0)</f>
        <v>RBC Royal Bank</v>
      </c>
      <c r="N124" t="str">
        <f>IF(Transactions[[#This Row],[Amount]]&lt;0,"credit","debit")</f>
        <v>debit</v>
      </c>
      <c r="O124" t="str" cm="1">
        <f t="array" ref="O12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2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44836</v>
      </c>
      <c r="Q124" s="3">
        <f>DATE(YEAR(Transactions[[#This Row],[Datetime]]),MONTH(Transactions[[#This Row],[Datetime]]),1)</f>
        <v>44835</v>
      </c>
      <c r="R124" t="b">
        <f ca="1">AND(Transactions[[#This Row],[Datetime]]&gt;=EDATE(MAX(Transactions[Datetime]),-6),Transactions[[#This Row],[Datetime]]&lt;=TODAY())</f>
        <v>0</v>
      </c>
      <c r="S124" s="6">
        <f ca="1">AVERAGEIFS(Transactions[Month''s Total],Transactions[Recent],TRUE,Transactions[Custom Category],Transactions[[#This Row],[Custom Category]])</f>
        <v>12758.461333333335</v>
      </c>
      <c r="T124">
        <f>SUMIFS(Transactions[Amount],Transactions[Month],Transactions[[#This Row],[Month]],Transactions[Custom Category],Transactions[[#This Row],[Custom Category]])</f>
        <v>6060.5199999999995</v>
      </c>
      <c r="U12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24">
        <f>IF(Transactions[[#This Row],[Month]]=Sel_Month,Transactions[[#This Row],[Amount]],0)</f>
        <v>0</v>
      </c>
    </row>
    <row r="125" spans="1:22" x14ac:dyDescent="0.25">
      <c r="A125" t="s">
        <v>61</v>
      </c>
      <c r="B125" t="s">
        <v>66</v>
      </c>
      <c r="C125">
        <v>350</v>
      </c>
      <c r="D125" t="s">
        <v>67</v>
      </c>
      <c r="E125" t="s">
        <v>684</v>
      </c>
      <c r="F125" t="s">
        <v>69</v>
      </c>
      <c r="H125" t="s">
        <v>687</v>
      </c>
      <c r="I125" t="s">
        <v>71</v>
      </c>
      <c r="J125" t="b">
        <v>0</v>
      </c>
      <c r="K125" t="s">
        <v>688</v>
      </c>
      <c r="L125" t="str">
        <f>_xlfn.XLOOKUP(Transactions[[#This Row],[Account ID]],Accounts[Plaid Account ID],Accounts[Name],"Not Found",0)</f>
        <v>RBC Staff Banking</v>
      </c>
      <c r="M125" t="str">
        <f>_xlfn.XLOOKUP(Transactions[[#This Row],[Account ID]],Accounts[Plaid Account ID],Accounts[Institution Name],"Not Found",0)</f>
        <v>RBC Royal Bank</v>
      </c>
      <c r="N125" t="str">
        <f>IF(Transactions[[#This Row],[Amount]]&lt;0,"credit","debit")</f>
        <v>debit</v>
      </c>
      <c r="O125" t="str" cm="1">
        <f t="array" ref="O12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2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44836</v>
      </c>
      <c r="Q125" s="3">
        <f>DATE(YEAR(Transactions[[#This Row],[Datetime]]),MONTH(Transactions[[#This Row],[Datetime]]),1)</f>
        <v>44835</v>
      </c>
      <c r="R125" t="b">
        <f ca="1">AND(Transactions[[#This Row],[Datetime]]&gt;=EDATE(MAX(Transactions[Datetime]),-6),Transactions[[#This Row],[Datetime]]&lt;=TODAY())</f>
        <v>0</v>
      </c>
      <c r="S125" s="6">
        <f ca="1">AVERAGEIFS(Transactions[Month''s Total],Transactions[Recent],TRUE,Transactions[Custom Category],Transactions[[#This Row],[Custom Category]])</f>
        <v>12758.461333333335</v>
      </c>
      <c r="T125">
        <f>SUMIFS(Transactions[Amount],Transactions[Month],Transactions[[#This Row],[Month]],Transactions[Custom Category],Transactions[[#This Row],[Custom Category]])</f>
        <v>6060.5199999999995</v>
      </c>
      <c r="U12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25">
        <f>IF(Transactions[[#This Row],[Month]]=Sel_Month,Transactions[[#This Row],[Amount]],0)</f>
        <v>0</v>
      </c>
    </row>
    <row r="126" spans="1:22" x14ac:dyDescent="0.25">
      <c r="A126" t="s">
        <v>61</v>
      </c>
      <c r="B126" t="s">
        <v>66</v>
      </c>
      <c r="C126">
        <v>250</v>
      </c>
      <c r="D126" t="s">
        <v>67</v>
      </c>
      <c r="E126" t="s">
        <v>684</v>
      </c>
      <c r="F126" t="s">
        <v>69</v>
      </c>
      <c r="H126" t="s">
        <v>474</v>
      </c>
      <c r="I126" t="s">
        <v>71</v>
      </c>
      <c r="J126" t="b">
        <v>0</v>
      </c>
      <c r="K126" t="s">
        <v>689</v>
      </c>
      <c r="L126" t="str">
        <f>_xlfn.XLOOKUP(Transactions[[#This Row],[Account ID]],Accounts[Plaid Account ID],Accounts[Name],"Not Found",0)</f>
        <v>RBC Staff Banking</v>
      </c>
      <c r="M126" t="str">
        <f>_xlfn.XLOOKUP(Transactions[[#This Row],[Account ID]],Accounts[Plaid Account ID],Accounts[Institution Name],"Not Found",0)</f>
        <v>RBC Royal Bank</v>
      </c>
      <c r="N126" t="str">
        <f>IF(Transactions[[#This Row],[Amount]]&lt;0,"credit","debit")</f>
        <v>debit</v>
      </c>
      <c r="O126" t="str" cm="1">
        <f t="array" ref="O12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2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44836</v>
      </c>
      <c r="Q126" s="3">
        <f>DATE(YEAR(Transactions[[#This Row],[Datetime]]),MONTH(Transactions[[#This Row],[Datetime]]),1)</f>
        <v>44835</v>
      </c>
      <c r="R126" t="b">
        <f ca="1">AND(Transactions[[#This Row],[Datetime]]&gt;=EDATE(MAX(Transactions[Datetime]),-6),Transactions[[#This Row],[Datetime]]&lt;=TODAY())</f>
        <v>0</v>
      </c>
      <c r="S126" s="6">
        <f ca="1">AVERAGEIFS(Transactions[Month''s Total],Transactions[Recent],TRUE,Transactions[Custom Category],Transactions[[#This Row],[Custom Category]])</f>
        <v>14532.989714285719</v>
      </c>
      <c r="T126">
        <f>SUMIFS(Transactions[Amount],Transactions[Month],Transactions[[#This Row],[Month]],Transactions[Custom Category],Transactions[[#This Row],[Custom Category]])</f>
        <v>-69.13</v>
      </c>
      <c r="U12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26">
        <f>IF(Transactions[[#This Row],[Month]]=Sel_Month,Transactions[[#This Row],[Amount]],0)</f>
        <v>0</v>
      </c>
    </row>
    <row r="127" spans="1:22" x14ac:dyDescent="0.25">
      <c r="A127" t="s">
        <v>61</v>
      </c>
      <c r="B127" t="s">
        <v>66</v>
      </c>
      <c r="C127">
        <v>-770</v>
      </c>
      <c r="D127" t="s">
        <v>99</v>
      </c>
      <c r="E127" t="s">
        <v>684</v>
      </c>
      <c r="F127" t="s">
        <v>69</v>
      </c>
      <c r="H127" t="s">
        <v>650</v>
      </c>
      <c r="I127" t="s">
        <v>71</v>
      </c>
      <c r="J127" t="b">
        <v>0</v>
      </c>
      <c r="K127" t="s">
        <v>690</v>
      </c>
      <c r="L127" t="str">
        <f>_xlfn.XLOOKUP(Transactions[[#This Row],[Account ID]],Accounts[Plaid Account ID],Accounts[Name],"Not Found",0)</f>
        <v>RBC Staff Banking</v>
      </c>
      <c r="M127" t="str">
        <f>_xlfn.XLOOKUP(Transactions[[#This Row],[Account ID]],Accounts[Plaid Account ID],Accounts[Institution Name],"Not Found",0)</f>
        <v>RBC Royal Bank</v>
      </c>
      <c r="N127" t="str">
        <f>IF(Transactions[[#This Row],[Amount]]&lt;0,"credit","debit")</f>
        <v>credit</v>
      </c>
      <c r="O127" t="str" cm="1">
        <f t="array" ref="O12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2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44836</v>
      </c>
      <c r="Q127" s="3">
        <f>DATE(YEAR(Transactions[[#This Row],[Datetime]]),MONTH(Transactions[[#This Row],[Datetime]]),1)</f>
        <v>44835</v>
      </c>
      <c r="R127" t="b">
        <f ca="1">AND(Transactions[[#This Row],[Datetime]]&gt;=EDATE(MAX(Transactions[Datetime]),-6),Transactions[[#This Row],[Datetime]]&lt;=TODAY())</f>
        <v>0</v>
      </c>
      <c r="S127" s="6">
        <f ca="1">AVERAGEIFS(Transactions[Month''s Total],Transactions[Recent],TRUE,Transactions[Custom Category],Transactions[[#This Row],[Custom Category]])</f>
        <v>-3209.0714285714284</v>
      </c>
      <c r="T127">
        <f>SUMIFS(Transactions[Amount],Transactions[Month],Transactions[[#This Row],[Month]],Transactions[Custom Category],Transactions[[#This Row],[Custom Category]])</f>
        <v>-2388</v>
      </c>
      <c r="U127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27">
        <f>IF(Transactions[[#This Row],[Month]]=Sel_Month,Transactions[[#This Row],[Amount]],0)</f>
        <v>0</v>
      </c>
    </row>
    <row r="128" spans="1:22" x14ac:dyDescent="0.25">
      <c r="A128" t="s">
        <v>61</v>
      </c>
      <c r="B128" t="s">
        <v>66</v>
      </c>
      <c r="C128">
        <v>2523.39</v>
      </c>
      <c r="D128" t="s">
        <v>67</v>
      </c>
      <c r="E128" t="s">
        <v>678</v>
      </c>
      <c r="F128" t="s">
        <v>69</v>
      </c>
      <c r="H128" t="s">
        <v>679</v>
      </c>
      <c r="I128" t="s">
        <v>71</v>
      </c>
      <c r="J128" t="b">
        <v>0</v>
      </c>
      <c r="K128" t="s">
        <v>680</v>
      </c>
      <c r="L128" t="str">
        <f>_xlfn.XLOOKUP(Transactions[[#This Row],[Account ID]],Accounts[Plaid Account ID],Accounts[Name],"Not Found",0)</f>
        <v>RBC Staff Banking</v>
      </c>
      <c r="M128" t="str">
        <f>_xlfn.XLOOKUP(Transactions[[#This Row],[Account ID]],Accounts[Plaid Account ID],Accounts[Institution Name],"Not Found",0)</f>
        <v>RBC Royal Bank</v>
      </c>
      <c r="N128" t="str">
        <f>IF(Transactions[[#This Row],[Amount]]&lt;0,"credit","debit")</f>
        <v>debit</v>
      </c>
      <c r="O128" t="str" cm="1">
        <f t="array" ref="O12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2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44837</v>
      </c>
      <c r="Q128" s="3">
        <f>DATE(YEAR(Transactions[[#This Row],[Datetime]]),MONTH(Transactions[[#This Row],[Datetime]]),1)</f>
        <v>44835</v>
      </c>
      <c r="R128" t="b">
        <f ca="1">AND(Transactions[[#This Row],[Datetime]]&gt;=EDATE(MAX(Transactions[Datetime]),-6),Transactions[[#This Row],[Datetime]]&lt;=TODAY())</f>
        <v>0</v>
      </c>
      <c r="S128" s="6">
        <f ca="1">AVERAGEIFS(Transactions[Month''s Total],Transactions[Recent],TRUE,Transactions[Custom Category],Transactions[[#This Row],[Custom Category]])</f>
        <v>12758.461333333335</v>
      </c>
      <c r="T128">
        <f>SUMIFS(Transactions[Amount],Transactions[Month],Transactions[[#This Row],[Month]],Transactions[Custom Category],Transactions[[#This Row],[Custom Category]])</f>
        <v>6060.5199999999995</v>
      </c>
      <c r="U12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28">
        <f>IF(Transactions[[#This Row],[Month]]=Sel_Month,Transactions[[#This Row],[Amount]],0)</f>
        <v>0</v>
      </c>
    </row>
    <row r="129" spans="1:22" x14ac:dyDescent="0.25">
      <c r="A129" t="s">
        <v>61</v>
      </c>
      <c r="B129" t="s">
        <v>66</v>
      </c>
      <c r="C129">
        <v>1500</v>
      </c>
      <c r="D129" t="s">
        <v>67</v>
      </c>
      <c r="E129" t="s">
        <v>678</v>
      </c>
      <c r="F129" t="s">
        <v>69</v>
      </c>
      <c r="H129" t="s">
        <v>471</v>
      </c>
      <c r="I129" t="s">
        <v>71</v>
      </c>
      <c r="J129" t="b">
        <v>0</v>
      </c>
      <c r="K129" t="s">
        <v>681</v>
      </c>
      <c r="L129" t="str">
        <f>_xlfn.XLOOKUP(Transactions[[#This Row],[Account ID]],Accounts[Plaid Account ID],Accounts[Name],"Not Found",0)</f>
        <v>RBC Staff Banking</v>
      </c>
      <c r="M129" t="str">
        <f>_xlfn.XLOOKUP(Transactions[[#This Row],[Account ID]],Accounts[Plaid Account ID],Accounts[Institution Name],"Not Found",0)</f>
        <v>RBC Royal Bank</v>
      </c>
      <c r="N129" t="str">
        <f>IF(Transactions[[#This Row],[Amount]]&lt;0,"credit","debit")</f>
        <v>debit</v>
      </c>
      <c r="O129" t="str" cm="1">
        <f t="array" ref="O12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2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44837</v>
      </c>
      <c r="Q129" s="3">
        <f>DATE(YEAR(Transactions[[#This Row],[Datetime]]),MONTH(Transactions[[#This Row],[Datetime]]),1)</f>
        <v>44835</v>
      </c>
      <c r="R129" t="b">
        <f ca="1">AND(Transactions[[#This Row],[Datetime]]&gt;=EDATE(MAX(Transactions[Datetime]),-6),Transactions[[#This Row],[Datetime]]&lt;=TODAY())</f>
        <v>0</v>
      </c>
      <c r="S129" s="6">
        <f ca="1">AVERAGEIFS(Transactions[Month''s Total],Transactions[Recent],TRUE,Transactions[Custom Category],Transactions[[#This Row],[Custom Category]])</f>
        <v>14532.989714285719</v>
      </c>
      <c r="T129">
        <f>SUMIFS(Transactions[Amount],Transactions[Month],Transactions[[#This Row],[Month]],Transactions[Custom Category],Transactions[[#This Row],[Custom Category]])</f>
        <v>-69.13</v>
      </c>
      <c r="U12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29">
        <f>IF(Transactions[[#This Row],[Month]]=Sel_Month,Transactions[[#This Row],[Amount]],0)</f>
        <v>0</v>
      </c>
    </row>
    <row r="130" spans="1:22" x14ac:dyDescent="0.25">
      <c r="A130" t="s">
        <v>61</v>
      </c>
      <c r="B130" t="s">
        <v>66</v>
      </c>
      <c r="C130">
        <v>-4023.39</v>
      </c>
      <c r="D130" t="s">
        <v>149</v>
      </c>
      <c r="E130" t="s">
        <v>678</v>
      </c>
      <c r="F130" t="s">
        <v>69</v>
      </c>
      <c r="H130" t="s">
        <v>682</v>
      </c>
      <c r="I130" t="s">
        <v>71</v>
      </c>
      <c r="J130" t="b">
        <v>0</v>
      </c>
      <c r="K130" t="s">
        <v>683</v>
      </c>
      <c r="L130" t="str">
        <f>_xlfn.XLOOKUP(Transactions[[#This Row],[Account ID]],Accounts[Plaid Account ID],Accounts[Name],"Not Found",0)</f>
        <v>RBC Staff Banking</v>
      </c>
      <c r="M130" t="str">
        <f>_xlfn.XLOOKUP(Transactions[[#This Row],[Account ID]],Accounts[Plaid Account ID],Accounts[Institution Name],"Not Found",0)</f>
        <v>RBC Royal Bank</v>
      </c>
      <c r="N130" t="str">
        <f>IF(Transactions[[#This Row],[Amount]]&lt;0,"credit","debit")</f>
        <v>credit</v>
      </c>
      <c r="O130" t="str" cm="1">
        <f t="array" ref="O13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3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44837</v>
      </c>
      <c r="Q130" s="3">
        <f>DATE(YEAR(Transactions[[#This Row],[Datetime]]),MONTH(Transactions[[#This Row],[Datetime]]),1)</f>
        <v>44835</v>
      </c>
      <c r="R130" t="b">
        <f ca="1">AND(Transactions[[#This Row],[Datetime]]&gt;=EDATE(MAX(Transactions[Datetime]),-6),Transactions[[#This Row],[Datetime]]&lt;=TODAY())</f>
        <v>0</v>
      </c>
      <c r="S130" s="6">
        <f ca="1">AVERAGEIFS(Transactions[Month''s Total],Transactions[Recent],TRUE,Transactions[Custom Category],Transactions[[#This Row],[Custom Category]])</f>
        <v>-18125.097037037034</v>
      </c>
      <c r="T130">
        <f>SUMIFS(Transactions[Amount],Transactions[Month],Transactions[[#This Row],[Month]],Transactions[Custom Category],Transactions[[#This Row],[Custom Category]])</f>
        <v>-4023.39</v>
      </c>
      <c r="U130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30">
        <f>IF(Transactions[[#This Row],[Month]]=Sel_Month,Transactions[[#This Row],[Amount]],0)</f>
        <v>0</v>
      </c>
    </row>
    <row r="131" spans="1:22" x14ac:dyDescent="0.25">
      <c r="A131" t="s">
        <v>61</v>
      </c>
      <c r="B131" t="s">
        <v>66</v>
      </c>
      <c r="C131">
        <v>770</v>
      </c>
      <c r="D131" t="s">
        <v>67</v>
      </c>
      <c r="E131" t="s">
        <v>673</v>
      </c>
      <c r="F131" t="s">
        <v>69</v>
      </c>
      <c r="H131" t="s">
        <v>674</v>
      </c>
      <c r="I131" t="s">
        <v>71</v>
      </c>
      <c r="J131" t="b">
        <v>0</v>
      </c>
      <c r="K131" t="s">
        <v>675</v>
      </c>
      <c r="L131" t="str">
        <f>_xlfn.XLOOKUP(Transactions[[#This Row],[Account ID]],Accounts[Plaid Account ID],Accounts[Name],"Not Found",0)</f>
        <v>RBC Staff Banking</v>
      </c>
      <c r="M131" t="str">
        <f>_xlfn.XLOOKUP(Transactions[[#This Row],[Account ID]],Accounts[Plaid Account ID],Accounts[Institution Name],"Not Found",0)</f>
        <v>RBC Royal Bank</v>
      </c>
      <c r="N131" t="str">
        <f>IF(Transactions[[#This Row],[Amount]]&lt;0,"credit","debit")</f>
        <v>debit</v>
      </c>
      <c r="O131" t="str" cm="1">
        <f t="array" ref="O13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3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44838</v>
      </c>
      <c r="Q131" s="3">
        <f>DATE(YEAR(Transactions[[#This Row],[Datetime]]),MONTH(Transactions[[#This Row],[Datetime]]),1)</f>
        <v>44835</v>
      </c>
      <c r="R131" t="b">
        <f ca="1">AND(Transactions[[#This Row],[Datetime]]&gt;=EDATE(MAX(Transactions[Datetime]),-6),Transactions[[#This Row],[Datetime]]&lt;=TODAY())</f>
        <v>0</v>
      </c>
      <c r="S131" s="6">
        <f ca="1">AVERAGEIFS(Transactions[Month''s Total],Transactions[Recent],TRUE,Transactions[Custom Category],Transactions[[#This Row],[Custom Category]])</f>
        <v>12758.461333333335</v>
      </c>
      <c r="T131">
        <f>SUMIFS(Transactions[Amount],Transactions[Month],Transactions[[#This Row],[Month]],Transactions[Custom Category],Transactions[[#This Row],[Custom Category]])</f>
        <v>6060.5199999999995</v>
      </c>
      <c r="U13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31">
        <f>IF(Transactions[[#This Row],[Month]]=Sel_Month,Transactions[[#This Row],[Amount]],0)</f>
        <v>0</v>
      </c>
    </row>
    <row r="132" spans="1:22" x14ac:dyDescent="0.25">
      <c r="A132" t="s">
        <v>61</v>
      </c>
      <c r="B132" t="s">
        <v>66</v>
      </c>
      <c r="C132">
        <v>-770</v>
      </c>
      <c r="D132" t="s">
        <v>99</v>
      </c>
      <c r="E132" t="s">
        <v>673</v>
      </c>
      <c r="F132" t="s">
        <v>69</v>
      </c>
      <c r="H132" t="s">
        <v>676</v>
      </c>
      <c r="I132" t="s">
        <v>71</v>
      </c>
      <c r="J132" t="b">
        <v>0</v>
      </c>
      <c r="K132" t="s">
        <v>677</v>
      </c>
      <c r="L132" t="str">
        <f>_xlfn.XLOOKUP(Transactions[[#This Row],[Account ID]],Accounts[Plaid Account ID],Accounts[Name],"Not Found",0)</f>
        <v>RBC Staff Banking</v>
      </c>
      <c r="M132" t="str">
        <f>_xlfn.XLOOKUP(Transactions[[#This Row],[Account ID]],Accounts[Plaid Account ID],Accounts[Institution Name],"Not Found",0)</f>
        <v>RBC Royal Bank</v>
      </c>
      <c r="N132" t="str">
        <f>IF(Transactions[[#This Row],[Amount]]&lt;0,"credit","debit")</f>
        <v>credit</v>
      </c>
      <c r="O132" t="str" cm="1">
        <f t="array" ref="O13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3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44838</v>
      </c>
      <c r="Q132" s="3">
        <f>DATE(YEAR(Transactions[[#This Row],[Datetime]]),MONTH(Transactions[[#This Row],[Datetime]]),1)</f>
        <v>44835</v>
      </c>
      <c r="R132" t="b">
        <f ca="1">AND(Transactions[[#This Row],[Datetime]]&gt;=EDATE(MAX(Transactions[Datetime]),-6),Transactions[[#This Row],[Datetime]]&lt;=TODAY())</f>
        <v>0</v>
      </c>
      <c r="S132" s="6">
        <f ca="1">AVERAGEIFS(Transactions[Month''s Total],Transactions[Recent],TRUE,Transactions[Custom Category],Transactions[[#This Row],[Custom Category]])</f>
        <v>-3209.0714285714284</v>
      </c>
      <c r="T132">
        <f>SUMIFS(Transactions[Amount],Transactions[Month],Transactions[[#This Row],[Month]],Transactions[Custom Category],Transactions[[#This Row],[Custom Category]])</f>
        <v>-2388</v>
      </c>
      <c r="U132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32">
        <f>IF(Transactions[[#This Row],[Month]]=Sel_Month,Transactions[[#This Row],[Amount]],0)</f>
        <v>0</v>
      </c>
    </row>
    <row r="133" spans="1:22" x14ac:dyDescent="0.25">
      <c r="A133" t="s">
        <v>61</v>
      </c>
      <c r="B133" t="s">
        <v>66</v>
      </c>
      <c r="C133">
        <v>-22</v>
      </c>
      <c r="D133" t="s">
        <v>99</v>
      </c>
      <c r="E133" t="s">
        <v>671</v>
      </c>
      <c r="F133" t="s">
        <v>69</v>
      </c>
      <c r="H133" t="s">
        <v>650</v>
      </c>
      <c r="I133" t="s">
        <v>71</v>
      </c>
      <c r="J133" t="b">
        <v>0</v>
      </c>
      <c r="K133" t="s">
        <v>672</v>
      </c>
      <c r="L133" t="str">
        <f>_xlfn.XLOOKUP(Transactions[[#This Row],[Account ID]],Accounts[Plaid Account ID],Accounts[Name],"Not Found",0)</f>
        <v>RBC Staff Banking</v>
      </c>
      <c r="M133" t="str">
        <f>_xlfn.XLOOKUP(Transactions[[#This Row],[Account ID]],Accounts[Plaid Account ID],Accounts[Institution Name],"Not Found",0)</f>
        <v>RBC Royal Bank</v>
      </c>
      <c r="N133" t="str">
        <f>IF(Transactions[[#This Row],[Amount]]&lt;0,"credit","debit")</f>
        <v>credit</v>
      </c>
      <c r="O133" t="str" cm="1">
        <f t="array" ref="O13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3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44844</v>
      </c>
      <c r="Q133" s="3">
        <f>DATE(YEAR(Transactions[[#This Row],[Datetime]]),MONTH(Transactions[[#This Row],[Datetime]]),1)</f>
        <v>44835</v>
      </c>
      <c r="R133" t="b">
        <f ca="1">AND(Transactions[[#This Row],[Datetime]]&gt;=EDATE(MAX(Transactions[Datetime]),-6),Transactions[[#This Row],[Datetime]]&lt;=TODAY())</f>
        <v>0</v>
      </c>
      <c r="S133" s="6">
        <f ca="1">AVERAGEIFS(Transactions[Month''s Total],Transactions[Recent],TRUE,Transactions[Custom Category],Transactions[[#This Row],[Custom Category]])</f>
        <v>-3209.0714285714284</v>
      </c>
      <c r="T133">
        <f>SUMIFS(Transactions[Amount],Transactions[Month],Transactions[[#This Row],[Month]],Transactions[Custom Category],Transactions[[#This Row],[Custom Category]])</f>
        <v>-2388</v>
      </c>
      <c r="U133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33">
        <f>IF(Transactions[[#This Row],[Month]]=Sel_Month,Transactions[[#This Row],[Amount]],0)</f>
        <v>0</v>
      </c>
    </row>
    <row r="134" spans="1:22" x14ac:dyDescent="0.25">
      <c r="A134" t="s">
        <v>61</v>
      </c>
      <c r="B134" t="s">
        <v>66</v>
      </c>
      <c r="C134">
        <v>-35</v>
      </c>
      <c r="D134" t="s">
        <v>99</v>
      </c>
      <c r="E134" t="s">
        <v>669</v>
      </c>
      <c r="F134" t="s">
        <v>69</v>
      </c>
      <c r="H134" t="s">
        <v>659</v>
      </c>
      <c r="I134" t="s">
        <v>71</v>
      </c>
      <c r="J134" t="b">
        <v>0</v>
      </c>
      <c r="K134" t="s">
        <v>670</v>
      </c>
      <c r="L134" t="str">
        <f>_xlfn.XLOOKUP(Transactions[[#This Row],[Account ID]],Accounts[Plaid Account ID],Accounts[Name],"Not Found",0)</f>
        <v>RBC Staff Banking</v>
      </c>
      <c r="M134" t="str">
        <f>_xlfn.XLOOKUP(Transactions[[#This Row],[Account ID]],Accounts[Plaid Account ID],Accounts[Institution Name],"Not Found",0)</f>
        <v>RBC Royal Bank</v>
      </c>
      <c r="N134" t="str">
        <f>IF(Transactions[[#This Row],[Amount]]&lt;0,"credit","debit")</f>
        <v>credit</v>
      </c>
      <c r="O134" t="str" cm="1">
        <f t="array" ref="O13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3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44845</v>
      </c>
      <c r="Q134" s="3">
        <f>DATE(YEAR(Transactions[[#This Row],[Datetime]]),MONTH(Transactions[[#This Row],[Datetime]]),1)</f>
        <v>44835</v>
      </c>
      <c r="R134" t="b">
        <f ca="1">AND(Transactions[[#This Row],[Datetime]]&gt;=EDATE(MAX(Transactions[Datetime]),-6),Transactions[[#This Row],[Datetime]]&lt;=TODAY())</f>
        <v>0</v>
      </c>
      <c r="S134" s="6">
        <f ca="1">AVERAGEIFS(Transactions[Month''s Total],Transactions[Recent],TRUE,Transactions[Custom Category],Transactions[[#This Row],[Custom Category]])</f>
        <v>14532.989714285719</v>
      </c>
      <c r="T134">
        <f>SUMIFS(Transactions[Amount],Transactions[Month],Transactions[[#This Row],[Month]],Transactions[Custom Category],Transactions[[#This Row],[Custom Category]])</f>
        <v>-69.13</v>
      </c>
      <c r="U13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34">
        <f>IF(Transactions[[#This Row],[Month]]=Sel_Month,Transactions[[#This Row],[Amount]],0)</f>
        <v>0</v>
      </c>
    </row>
    <row r="135" spans="1:22" x14ac:dyDescent="0.25">
      <c r="A135" t="s">
        <v>61</v>
      </c>
      <c r="B135" t="s">
        <v>66</v>
      </c>
      <c r="C135">
        <v>57</v>
      </c>
      <c r="D135" t="s">
        <v>67</v>
      </c>
      <c r="E135" t="s">
        <v>666</v>
      </c>
      <c r="F135" t="s">
        <v>69</v>
      </c>
      <c r="H135" t="s">
        <v>667</v>
      </c>
      <c r="I135" t="s">
        <v>71</v>
      </c>
      <c r="J135" t="b">
        <v>0</v>
      </c>
      <c r="K135" t="s">
        <v>668</v>
      </c>
      <c r="L135" t="str">
        <f>_xlfn.XLOOKUP(Transactions[[#This Row],[Account ID]],Accounts[Plaid Account ID],Accounts[Name],"Not Found",0)</f>
        <v>RBC Staff Banking</v>
      </c>
      <c r="M135" t="str">
        <f>_xlfn.XLOOKUP(Transactions[[#This Row],[Account ID]],Accounts[Plaid Account ID],Accounts[Institution Name],"Not Found",0)</f>
        <v>RBC Royal Bank</v>
      </c>
      <c r="N135" t="str">
        <f>IF(Transactions[[#This Row],[Amount]]&lt;0,"credit","debit")</f>
        <v>debit</v>
      </c>
      <c r="O135" t="str" cm="1">
        <f t="array" ref="O13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3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44846</v>
      </c>
      <c r="Q135" s="3">
        <f>DATE(YEAR(Transactions[[#This Row],[Datetime]]),MONTH(Transactions[[#This Row],[Datetime]]),1)</f>
        <v>44835</v>
      </c>
      <c r="R135" t="b">
        <f ca="1">AND(Transactions[[#This Row],[Datetime]]&gt;=EDATE(MAX(Transactions[Datetime]),-6),Transactions[[#This Row],[Datetime]]&lt;=TODAY())</f>
        <v>0</v>
      </c>
      <c r="S135" s="6">
        <f ca="1">AVERAGEIFS(Transactions[Month''s Total],Transactions[Recent],TRUE,Transactions[Custom Category],Transactions[[#This Row],[Custom Category]])</f>
        <v>12758.461333333335</v>
      </c>
      <c r="T135">
        <f>SUMIFS(Transactions[Amount],Transactions[Month],Transactions[[#This Row],[Month]],Transactions[Custom Category],Transactions[[#This Row],[Custom Category]])</f>
        <v>6060.5199999999995</v>
      </c>
      <c r="U13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35">
        <f>IF(Transactions[[#This Row],[Month]]=Sel_Month,Transactions[[#This Row],[Amount]],0)</f>
        <v>0</v>
      </c>
    </row>
    <row r="136" spans="1:22" x14ac:dyDescent="0.25">
      <c r="A136" t="s">
        <v>61</v>
      </c>
      <c r="B136" t="s">
        <v>66</v>
      </c>
      <c r="C136">
        <v>-884.13</v>
      </c>
      <c r="D136" t="s">
        <v>99</v>
      </c>
      <c r="E136" t="s">
        <v>664</v>
      </c>
      <c r="F136" t="s">
        <v>69</v>
      </c>
      <c r="H136" t="s">
        <v>655</v>
      </c>
      <c r="I136" t="s">
        <v>71</v>
      </c>
      <c r="J136" t="b">
        <v>0</v>
      </c>
      <c r="K136" t="s">
        <v>665</v>
      </c>
      <c r="L136" t="str">
        <f>_xlfn.XLOOKUP(Transactions[[#This Row],[Account ID]],Accounts[Plaid Account ID],Accounts[Name],"Not Found",0)</f>
        <v>RBC Staff Banking</v>
      </c>
      <c r="M136" t="str">
        <f>_xlfn.XLOOKUP(Transactions[[#This Row],[Account ID]],Accounts[Plaid Account ID],Accounts[Institution Name],"Not Found",0)</f>
        <v>RBC Royal Bank</v>
      </c>
      <c r="N136" t="str">
        <f>IF(Transactions[[#This Row],[Amount]]&lt;0,"credit","debit")</f>
        <v>credit</v>
      </c>
      <c r="O136" t="str" cm="1">
        <f t="array" ref="O13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3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44847</v>
      </c>
      <c r="Q136" s="3">
        <f>DATE(YEAR(Transactions[[#This Row],[Datetime]]),MONTH(Transactions[[#This Row],[Datetime]]),1)</f>
        <v>44835</v>
      </c>
      <c r="R136" t="b">
        <f ca="1">AND(Transactions[[#This Row],[Datetime]]&gt;=EDATE(MAX(Transactions[Datetime]),-6),Transactions[[#This Row],[Datetime]]&lt;=TODAY())</f>
        <v>0</v>
      </c>
      <c r="S136" s="6">
        <f ca="1">AVERAGEIFS(Transactions[Month''s Total],Transactions[Recent],TRUE,Transactions[Custom Category],Transactions[[#This Row],[Custom Category]])</f>
        <v>14532.989714285719</v>
      </c>
      <c r="T136">
        <f>SUMIFS(Transactions[Amount],Transactions[Month],Transactions[[#This Row],[Month]],Transactions[Custom Category],Transactions[[#This Row],[Custom Category]])</f>
        <v>-69.13</v>
      </c>
      <c r="U13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36">
        <f>IF(Transactions[[#This Row],[Month]]=Sel_Month,Transactions[[#This Row],[Amount]],0)</f>
        <v>0</v>
      </c>
    </row>
    <row r="137" spans="1:22" x14ac:dyDescent="0.25">
      <c r="A137" t="s">
        <v>61</v>
      </c>
      <c r="B137" t="s">
        <v>66</v>
      </c>
      <c r="C137">
        <v>884.13</v>
      </c>
      <c r="D137" t="s">
        <v>67</v>
      </c>
      <c r="E137" t="s">
        <v>661</v>
      </c>
      <c r="F137" t="s">
        <v>69</v>
      </c>
      <c r="H137" t="s">
        <v>662</v>
      </c>
      <c r="I137" t="s">
        <v>71</v>
      </c>
      <c r="J137" t="b">
        <v>0</v>
      </c>
      <c r="K137" t="s">
        <v>663</v>
      </c>
      <c r="L137" t="str">
        <f>_xlfn.XLOOKUP(Transactions[[#This Row],[Account ID]],Accounts[Plaid Account ID],Accounts[Name],"Not Found",0)</f>
        <v>RBC Staff Banking</v>
      </c>
      <c r="M137" t="str">
        <f>_xlfn.XLOOKUP(Transactions[[#This Row],[Account ID]],Accounts[Plaid Account ID],Accounts[Institution Name],"Not Found",0)</f>
        <v>RBC Royal Bank</v>
      </c>
      <c r="N137" t="str">
        <f>IF(Transactions[[#This Row],[Amount]]&lt;0,"credit","debit")</f>
        <v>debit</v>
      </c>
      <c r="O137" t="str" cm="1">
        <f t="array" ref="O13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3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44850</v>
      </c>
      <c r="Q137" s="3">
        <f>DATE(YEAR(Transactions[[#This Row],[Datetime]]),MONTH(Transactions[[#This Row],[Datetime]]),1)</f>
        <v>44835</v>
      </c>
      <c r="R137" t="b">
        <f ca="1">AND(Transactions[[#This Row],[Datetime]]&gt;=EDATE(MAX(Transactions[Datetime]),-6),Transactions[[#This Row],[Datetime]]&lt;=TODAY())</f>
        <v>0</v>
      </c>
      <c r="S137" s="6">
        <f ca="1">AVERAGEIFS(Transactions[Month''s Total],Transactions[Recent],TRUE,Transactions[Custom Category],Transactions[[#This Row],[Custom Category]])</f>
        <v>12758.461333333335</v>
      </c>
      <c r="T137">
        <f>SUMIFS(Transactions[Amount],Transactions[Month],Transactions[[#This Row],[Month]],Transactions[Custom Category],Transactions[[#This Row],[Custom Category]])</f>
        <v>6060.5199999999995</v>
      </c>
      <c r="U13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37">
        <f>IF(Transactions[[#This Row],[Month]]=Sel_Month,Transactions[[#This Row],[Amount]],0)</f>
        <v>0</v>
      </c>
    </row>
    <row r="138" spans="1:22" x14ac:dyDescent="0.25">
      <c r="A138" t="s">
        <v>61</v>
      </c>
      <c r="B138" t="s">
        <v>66</v>
      </c>
      <c r="C138">
        <v>-400</v>
      </c>
      <c r="D138" t="s">
        <v>99</v>
      </c>
      <c r="E138" t="s">
        <v>658</v>
      </c>
      <c r="F138" t="s">
        <v>69</v>
      </c>
      <c r="H138" t="s">
        <v>659</v>
      </c>
      <c r="I138" t="s">
        <v>71</v>
      </c>
      <c r="J138" t="b">
        <v>0</v>
      </c>
      <c r="K138" t="s">
        <v>660</v>
      </c>
      <c r="L138" t="str">
        <f>_xlfn.XLOOKUP(Transactions[[#This Row],[Account ID]],Accounts[Plaid Account ID],Accounts[Name],"Not Found",0)</f>
        <v>RBC Staff Banking</v>
      </c>
      <c r="M138" t="str">
        <f>_xlfn.XLOOKUP(Transactions[[#This Row],[Account ID]],Accounts[Plaid Account ID],Accounts[Institution Name],"Not Found",0)</f>
        <v>RBC Royal Bank</v>
      </c>
      <c r="N138" t="str">
        <f>IF(Transactions[[#This Row],[Amount]]&lt;0,"credit","debit")</f>
        <v>credit</v>
      </c>
      <c r="O138" t="str" cm="1">
        <f t="array" ref="O13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3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44854</v>
      </c>
      <c r="Q138" s="3">
        <f>DATE(YEAR(Transactions[[#This Row],[Datetime]]),MONTH(Transactions[[#This Row],[Datetime]]),1)</f>
        <v>44835</v>
      </c>
      <c r="R138" t="b">
        <f ca="1">AND(Transactions[[#This Row],[Datetime]]&gt;=EDATE(MAX(Transactions[Datetime]),-6),Transactions[[#This Row],[Datetime]]&lt;=TODAY())</f>
        <v>0</v>
      </c>
      <c r="S138" s="6">
        <f ca="1">AVERAGEIFS(Transactions[Month''s Total],Transactions[Recent],TRUE,Transactions[Custom Category],Transactions[[#This Row],[Custom Category]])</f>
        <v>14532.989714285719</v>
      </c>
      <c r="T138">
        <f>SUMIFS(Transactions[Amount],Transactions[Month],Transactions[[#This Row],[Month]],Transactions[Custom Category],Transactions[[#This Row],[Custom Category]])</f>
        <v>-69.13</v>
      </c>
      <c r="U13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38">
        <f>IF(Transactions[[#This Row],[Month]]=Sel_Month,Transactions[[#This Row],[Amount]],0)</f>
        <v>0</v>
      </c>
    </row>
    <row r="139" spans="1:22" x14ac:dyDescent="0.25">
      <c r="A139" t="s">
        <v>61</v>
      </c>
      <c r="B139" t="s">
        <v>66</v>
      </c>
      <c r="C139">
        <v>900</v>
      </c>
      <c r="D139" t="s">
        <v>67</v>
      </c>
      <c r="E139" t="s">
        <v>652</v>
      </c>
      <c r="F139" t="s">
        <v>69</v>
      </c>
      <c r="H139" t="s">
        <v>653</v>
      </c>
      <c r="I139" t="s">
        <v>71</v>
      </c>
      <c r="J139" t="b">
        <v>0</v>
      </c>
      <c r="K139" t="s">
        <v>654</v>
      </c>
      <c r="L139" t="str">
        <f>_xlfn.XLOOKUP(Transactions[[#This Row],[Account ID]],Accounts[Plaid Account ID],Accounts[Name],"Not Found",0)</f>
        <v>RBC Staff Banking</v>
      </c>
      <c r="M139" t="str">
        <f>_xlfn.XLOOKUP(Transactions[[#This Row],[Account ID]],Accounts[Plaid Account ID],Accounts[Institution Name],"Not Found",0)</f>
        <v>RBC Royal Bank</v>
      </c>
      <c r="N139" t="str">
        <f>IF(Transactions[[#This Row],[Amount]]&lt;0,"credit","debit")</f>
        <v>debit</v>
      </c>
      <c r="O139" t="str" cm="1">
        <f t="array" ref="O13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3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44864</v>
      </c>
      <c r="Q139" s="3">
        <f>DATE(YEAR(Transactions[[#This Row],[Datetime]]),MONTH(Transactions[[#This Row],[Datetime]]),1)</f>
        <v>44835</v>
      </c>
      <c r="R139" t="b">
        <f ca="1">AND(Transactions[[#This Row],[Datetime]]&gt;=EDATE(MAX(Transactions[Datetime]),-6),Transactions[[#This Row],[Datetime]]&lt;=TODAY())</f>
        <v>0</v>
      </c>
      <c r="S139" s="6">
        <f ca="1">AVERAGEIFS(Transactions[Month''s Total],Transactions[Recent],TRUE,Transactions[Custom Category],Transactions[[#This Row],[Custom Category]])</f>
        <v>12758.461333333335</v>
      </c>
      <c r="T139">
        <f>SUMIFS(Transactions[Amount],Transactions[Month],Transactions[[#This Row],[Month]],Transactions[Custom Category],Transactions[[#This Row],[Custom Category]])</f>
        <v>6060.5199999999995</v>
      </c>
      <c r="U13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39">
        <f>IF(Transactions[[#This Row],[Month]]=Sel_Month,Transactions[[#This Row],[Amount]],0)</f>
        <v>0</v>
      </c>
    </row>
    <row r="140" spans="1:22" x14ac:dyDescent="0.25">
      <c r="A140" t="s">
        <v>61</v>
      </c>
      <c r="B140" t="s">
        <v>66</v>
      </c>
      <c r="C140">
        <v>-500</v>
      </c>
      <c r="D140" t="s">
        <v>99</v>
      </c>
      <c r="E140" t="s">
        <v>652</v>
      </c>
      <c r="F140" t="s">
        <v>69</v>
      </c>
      <c r="H140" t="s">
        <v>655</v>
      </c>
      <c r="I140" t="s">
        <v>71</v>
      </c>
      <c r="J140" t="b">
        <v>0</v>
      </c>
      <c r="K140" t="s">
        <v>656</v>
      </c>
      <c r="L140" t="str">
        <f>_xlfn.XLOOKUP(Transactions[[#This Row],[Account ID]],Accounts[Plaid Account ID],Accounts[Name],"Not Found",0)</f>
        <v>RBC Staff Banking</v>
      </c>
      <c r="M140" t="str">
        <f>_xlfn.XLOOKUP(Transactions[[#This Row],[Account ID]],Accounts[Plaid Account ID],Accounts[Institution Name],"Not Found",0)</f>
        <v>RBC Royal Bank</v>
      </c>
      <c r="N140" t="str">
        <f>IF(Transactions[[#This Row],[Amount]]&lt;0,"credit","debit")</f>
        <v>credit</v>
      </c>
      <c r="O140" t="str" cm="1">
        <f t="array" ref="O14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4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44864</v>
      </c>
      <c r="Q140" s="3">
        <f>DATE(YEAR(Transactions[[#This Row],[Datetime]]),MONTH(Transactions[[#This Row],[Datetime]]),1)</f>
        <v>44835</v>
      </c>
      <c r="R140" t="b">
        <f ca="1">AND(Transactions[[#This Row],[Datetime]]&gt;=EDATE(MAX(Transactions[Datetime]),-6),Transactions[[#This Row],[Datetime]]&lt;=TODAY())</f>
        <v>0</v>
      </c>
      <c r="S140" s="6">
        <f ca="1">AVERAGEIFS(Transactions[Month''s Total],Transactions[Recent],TRUE,Transactions[Custom Category],Transactions[[#This Row],[Custom Category]])</f>
        <v>14532.989714285719</v>
      </c>
      <c r="T140">
        <f>SUMIFS(Transactions[Amount],Transactions[Month],Transactions[[#This Row],[Month]],Transactions[Custom Category],Transactions[[#This Row],[Custom Category]])</f>
        <v>-69.13</v>
      </c>
      <c r="U14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40">
        <f>IF(Transactions[[#This Row],[Month]]=Sel_Month,Transactions[[#This Row],[Amount]],0)</f>
        <v>0</v>
      </c>
    </row>
    <row r="141" spans="1:22" x14ac:dyDescent="0.25">
      <c r="A141" t="s">
        <v>61</v>
      </c>
      <c r="B141" t="s">
        <v>66</v>
      </c>
      <c r="C141">
        <v>-56</v>
      </c>
      <c r="D141" t="s">
        <v>99</v>
      </c>
      <c r="E141" t="s">
        <v>652</v>
      </c>
      <c r="F141" t="s">
        <v>69</v>
      </c>
      <c r="H141" t="s">
        <v>650</v>
      </c>
      <c r="I141" t="s">
        <v>71</v>
      </c>
      <c r="J141" t="b">
        <v>0</v>
      </c>
      <c r="K141" t="s">
        <v>657</v>
      </c>
      <c r="L141" t="str">
        <f>_xlfn.XLOOKUP(Transactions[[#This Row],[Account ID]],Accounts[Plaid Account ID],Accounts[Name],"Not Found",0)</f>
        <v>RBC Staff Banking</v>
      </c>
      <c r="M141" t="str">
        <f>_xlfn.XLOOKUP(Transactions[[#This Row],[Account ID]],Accounts[Plaid Account ID],Accounts[Institution Name],"Not Found",0)</f>
        <v>RBC Royal Bank</v>
      </c>
      <c r="N141" t="str">
        <f>IF(Transactions[[#This Row],[Amount]]&lt;0,"credit","debit")</f>
        <v>credit</v>
      </c>
      <c r="O141" t="str" cm="1">
        <f t="array" ref="O14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4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44864</v>
      </c>
      <c r="Q141" s="3">
        <f>DATE(YEAR(Transactions[[#This Row],[Datetime]]),MONTH(Transactions[[#This Row],[Datetime]]),1)</f>
        <v>44835</v>
      </c>
      <c r="R141" t="b">
        <f ca="1">AND(Transactions[[#This Row],[Datetime]]&gt;=EDATE(MAX(Transactions[Datetime]),-6),Transactions[[#This Row],[Datetime]]&lt;=TODAY())</f>
        <v>0</v>
      </c>
      <c r="S141" s="6">
        <f ca="1">AVERAGEIFS(Transactions[Month''s Total],Transactions[Recent],TRUE,Transactions[Custom Category],Transactions[[#This Row],[Custom Category]])</f>
        <v>-3209.0714285714284</v>
      </c>
      <c r="T141">
        <f>SUMIFS(Transactions[Amount],Transactions[Month],Transactions[[#This Row],[Month]],Transactions[Custom Category],Transactions[[#This Row],[Custom Category]])</f>
        <v>-2388</v>
      </c>
      <c r="U141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41">
        <f>IF(Transactions[[#This Row],[Month]]=Sel_Month,Transactions[[#This Row],[Amount]],0)</f>
        <v>0</v>
      </c>
    </row>
    <row r="142" spans="1:22" x14ac:dyDescent="0.25">
      <c r="A142" t="s">
        <v>61</v>
      </c>
      <c r="B142" t="s">
        <v>66</v>
      </c>
      <c r="C142">
        <v>56</v>
      </c>
      <c r="D142" t="s">
        <v>67</v>
      </c>
      <c r="E142" t="s">
        <v>647</v>
      </c>
      <c r="F142" t="s">
        <v>69</v>
      </c>
      <c r="H142" t="s">
        <v>648</v>
      </c>
      <c r="I142" t="s">
        <v>71</v>
      </c>
      <c r="J142" t="b">
        <v>0</v>
      </c>
      <c r="K142" t="s">
        <v>649</v>
      </c>
      <c r="L142" t="str">
        <f>_xlfn.XLOOKUP(Transactions[[#This Row],[Account ID]],Accounts[Plaid Account ID],Accounts[Name],"Not Found",0)</f>
        <v>RBC Staff Banking</v>
      </c>
      <c r="M142" t="str">
        <f>_xlfn.XLOOKUP(Transactions[[#This Row],[Account ID]],Accounts[Plaid Account ID],Accounts[Institution Name],"Not Found",0)</f>
        <v>RBC Royal Bank</v>
      </c>
      <c r="N142" t="str">
        <f>IF(Transactions[[#This Row],[Amount]]&lt;0,"credit","debit")</f>
        <v>debit</v>
      </c>
      <c r="O142" t="str" cm="1">
        <f t="array" ref="O14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4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44865</v>
      </c>
      <c r="Q142" s="3">
        <f>DATE(YEAR(Transactions[[#This Row],[Datetime]]),MONTH(Transactions[[#This Row],[Datetime]]),1)</f>
        <v>44835</v>
      </c>
      <c r="R142" t="b">
        <f ca="1">AND(Transactions[[#This Row],[Datetime]]&gt;=EDATE(MAX(Transactions[Datetime]),-6),Transactions[[#This Row],[Datetime]]&lt;=TODAY())</f>
        <v>0</v>
      </c>
      <c r="S142" s="6">
        <f ca="1">AVERAGEIFS(Transactions[Month''s Total],Transactions[Recent],TRUE,Transactions[Custom Category],Transactions[[#This Row],[Custom Category]])</f>
        <v>12758.461333333335</v>
      </c>
      <c r="T142">
        <f>SUMIFS(Transactions[Amount],Transactions[Month],Transactions[[#This Row],[Month]],Transactions[Custom Category],Transactions[[#This Row],[Custom Category]])</f>
        <v>6060.5199999999995</v>
      </c>
      <c r="U142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42">
        <f>IF(Transactions[[#This Row],[Month]]=Sel_Month,Transactions[[#This Row],[Amount]],0)</f>
        <v>0</v>
      </c>
    </row>
    <row r="143" spans="1:22" x14ac:dyDescent="0.25">
      <c r="A143" t="s">
        <v>61</v>
      </c>
      <c r="B143" t="s">
        <v>66</v>
      </c>
      <c r="C143">
        <v>-770</v>
      </c>
      <c r="D143" t="s">
        <v>99</v>
      </c>
      <c r="E143" t="s">
        <v>647</v>
      </c>
      <c r="F143" t="s">
        <v>69</v>
      </c>
      <c r="H143" t="s">
        <v>650</v>
      </c>
      <c r="I143" t="s">
        <v>71</v>
      </c>
      <c r="J143" t="b">
        <v>0</v>
      </c>
      <c r="K143" t="s">
        <v>651</v>
      </c>
      <c r="L143" t="str">
        <f>_xlfn.XLOOKUP(Transactions[[#This Row],[Account ID]],Accounts[Plaid Account ID],Accounts[Name],"Not Found",0)</f>
        <v>RBC Staff Banking</v>
      </c>
      <c r="M143" t="str">
        <f>_xlfn.XLOOKUP(Transactions[[#This Row],[Account ID]],Accounts[Plaid Account ID],Accounts[Institution Name],"Not Found",0)</f>
        <v>RBC Royal Bank</v>
      </c>
      <c r="N143" t="str">
        <f>IF(Transactions[[#This Row],[Amount]]&lt;0,"credit","debit")</f>
        <v>credit</v>
      </c>
      <c r="O143" t="str" cm="1">
        <f t="array" ref="O14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4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44865</v>
      </c>
      <c r="Q143" s="3">
        <f>DATE(YEAR(Transactions[[#This Row],[Datetime]]),MONTH(Transactions[[#This Row],[Datetime]]),1)</f>
        <v>44835</v>
      </c>
      <c r="R143" t="b">
        <f ca="1">AND(Transactions[[#This Row],[Datetime]]&gt;=EDATE(MAX(Transactions[Datetime]),-6),Transactions[[#This Row],[Datetime]]&lt;=TODAY())</f>
        <v>0</v>
      </c>
      <c r="S143" s="6">
        <f ca="1">AVERAGEIFS(Transactions[Month''s Total],Transactions[Recent],TRUE,Transactions[Custom Category],Transactions[[#This Row],[Custom Category]])</f>
        <v>-3209.0714285714284</v>
      </c>
      <c r="T143">
        <f>SUMIFS(Transactions[Amount],Transactions[Month],Transactions[[#This Row],[Month]],Transactions[Custom Category],Transactions[[#This Row],[Custom Category]])</f>
        <v>-2388</v>
      </c>
      <c r="U143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43">
        <f>IF(Transactions[[#This Row],[Month]]=Sel_Month,Transactions[[#This Row],[Amount]],0)</f>
        <v>0</v>
      </c>
    </row>
    <row r="144" spans="1:22" x14ac:dyDescent="0.25">
      <c r="A144" t="s">
        <v>61</v>
      </c>
      <c r="B144" t="s">
        <v>66</v>
      </c>
      <c r="C144">
        <v>770</v>
      </c>
      <c r="D144" t="s">
        <v>67</v>
      </c>
      <c r="E144" t="s">
        <v>645</v>
      </c>
      <c r="F144" t="s">
        <v>69</v>
      </c>
      <c r="H144" t="s">
        <v>471</v>
      </c>
      <c r="I144" t="s">
        <v>71</v>
      </c>
      <c r="J144" t="b">
        <v>0</v>
      </c>
      <c r="K144" t="s">
        <v>646</v>
      </c>
      <c r="L144" t="str">
        <f>_xlfn.XLOOKUP(Transactions[[#This Row],[Account ID]],Accounts[Plaid Account ID],Accounts[Name],"Not Found",0)</f>
        <v>RBC Staff Banking</v>
      </c>
      <c r="M144" t="str">
        <f>_xlfn.XLOOKUP(Transactions[[#This Row],[Account ID]],Accounts[Plaid Account ID],Accounts[Institution Name],"Not Found",0)</f>
        <v>RBC Royal Bank</v>
      </c>
      <c r="N144" t="str">
        <f>IF(Transactions[[#This Row],[Amount]]&lt;0,"credit","debit")</f>
        <v>debit</v>
      </c>
      <c r="O144" t="str" cm="1">
        <f t="array" ref="O14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4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44866</v>
      </c>
      <c r="Q144" s="3">
        <f>DATE(YEAR(Transactions[[#This Row],[Datetime]]),MONTH(Transactions[[#This Row],[Datetime]]),1)</f>
        <v>44866</v>
      </c>
      <c r="R144" t="b">
        <f ca="1">AND(Transactions[[#This Row],[Datetime]]&gt;=EDATE(MAX(Transactions[Datetime]),-6),Transactions[[#This Row],[Datetime]]&lt;=TODAY())</f>
        <v>0</v>
      </c>
      <c r="S144" s="6">
        <f ca="1">AVERAGEIFS(Transactions[Month''s Total],Transactions[Recent],TRUE,Transactions[Custom Category],Transactions[[#This Row],[Custom Category]])</f>
        <v>14532.989714285719</v>
      </c>
      <c r="T144">
        <f>SUMIFS(Transactions[Amount],Transactions[Month],Transactions[[#This Row],[Month]],Transactions[Custom Category],Transactions[[#This Row],[Custom Category]])</f>
        <v>-482.64</v>
      </c>
      <c r="U14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44">
        <f>IF(Transactions[[#This Row],[Month]]=Sel_Month,Transactions[[#This Row],[Amount]],0)</f>
        <v>0</v>
      </c>
    </row>
    <row r="145" spans="1:22" x14ac:dyDescent="0.25">
      <c r="A145" t="s">
        <v>61</v>
      </c>
      <c r="B145" t="s">
        <v>66</v>
      </c>
      <c r="C145">
        <v>252</v>
      </c>
      <c r="D145" t="s">
        <v>67</v>
      </c>
      <c r="E145" t="s">
        <v>640</v>
      </c>
      <c r="F145" t="s">
        <v>69</v>
      </c>
      <c r="H145" t="s">
        <v>641</v>
      </c>
      <c r="I145" t="s">
        <v>71</v>
      </c>
      <c r="J145" t="b">
        <v>0</v>
      </c>
      <c r="K145" t="s">
        <v>642</v>
      </c>
      <c r="L145" t="str">
        <f>_xlfn.XLOOKUP(Transactions[[#This Row],[Account ID]],Accounts[Plaid Account ID],Accounts[Name],"Not Found",0)</f>
        <v>RBC Staff Banking</v>
      </c>
      <c r="M145" t="str">
        <f>_xlfn.XLOOKUP(Transactions[[#This Row],[Account ID]],Accounts[Plaid Account ID],Accounts[Institution Name],"Not Found",0)</f>
        <v>RBC Royal Bank</v>
      </c>
      <c r="N145" t="str">
        <f>IF(Transactions[[#This Row],[Amount]]&lt;0,"credit","debit")</f>
        <v>debit</v>
      </c>
      <c r="O145" t="str" cm="1">
        <f t="array" ref="O14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4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44885</v>
      </c>
      <c r="Q145" s="3">
        <f>DATE(YEAR(Transactions[[#This Row],[Datetime]]),MONTH(Transactions[[#This Row],[Datetime]]),1)</f>
        <v>44866</v>
      </c>
      <c r="R145" t="b">
        <f ca="1">AND(Transactions[[#This Row],[Datetime]]&gt;=EDATE(MAX(Transactions[Datetime]),-6),Transactions[[#This Row],[Datetime]]&lt;=TODAY())</f>
        <v>0</v>
      </c>
      <c r="S145" s="6">
        <f ca="1">AVERAGEIFS(Transactions[Month''s Total],Transactions[Recent],TRUE,Transactions[Custom Category],Transactions[[#This Row],[Custom Category]])</f>
        <v>12758.461333333335</v>
      </c>
      <c r="T145">
        <f>SUMIFS(Transactions[Amount],Transactions[Month],Transactions[[#This Row],[Month]],Transactions[Custom Category],Transactions[[#This Row],[Custom Category]])</f>
        <v>2022.6399999999999</v>
      </c>
      <c r="U14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45">
        <f>IF(Transactions[[#This Row],[Month]]=Sel_Month,Transactions[[#This Row],[Amount]],0)</f>
        <v>0</v>
      </c>
    </row>
    <row r="146" spans="1:22" x14ac:dyDescent="0.25">
      <c r="A146" t="s">
        <v>61</v>
      </c>
      <c r="B146" t="s">
        <v>66</v>
      </c>
      <c r="C146">
        <v>-252</v>
      </c>
      <c r="D146" t="s">
        <v>99</v>
      </c>
      <c r="E146" t="s">
        <v>640</v>
      </c>
      <c r="F146" t="s">
        <v>69</v>
      </c>
      <c r="H146" t="s">
        <v>643</v>
      </c>
      <c r="I146" t="s">
        <v>71</v>
      </c>
      <c r="J146" t="b">
        <v>0</v>
      </c>
      <c r="K146" t="s">
        <v>644</v>
      </c>
      <c r="L146" t="str">
        <f>_xlfn.XLOOKUP(Transactions[[#This Row],[Account ID]],Accounts[Plaid Account ID],Accounts[Name],"Not Found",0)</f>
        <v>RBC Staff Banking</v>
      </c>
      <c r="M146" t="str">
        <f>_xlfn.XLOOKUP(Transactions[[#This Row],[Account ID]],Accounts[Plaid Account ID],Accounts[Institution Name],"Not Found",0)</f>
        <v>RBC Royal Bank</v>
      </c>
      <c r="N146" t="str">
        <f>IF(Transactions[[#This Row],[Amount]]&lt;0,"credit","debit")</f>
        <v>credit</v>
      </c>
      <c r="O146" t="str" cm="1">
        <f t="array" ref="O14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4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44885</v>
      </c>
      <c r="Q146" s="3">
        <f>DATE(YEAR(Transactions[[#This Row],[Datetime]]),MONTH(Transactions[[#This Row],[Datetime]]),1)</f>
        <v>44866</v>
      </c>
      <c r="R146" t="b">
        <f ca="1">AND(Transactions[[#This Row],[Datetime]]&gt;=EDATE(MAX(Transactions[Datetime]),-6),Transactions[[#This Row],[Datetime]]&lt;=TODAY())</f>
        <v>0</v>
      </c>
      <c r="S146" s="6">
        <f ca="1">AVERAGEIFS(Transactions[Month''s Total],Transactions[Recent],TRUE,Transactions[Custom Category],Transactions[[#This Row],[Custom Category]])</f>
        <v>14532.989714285719</v>
      </c>
      <c r="T146">
        <f>SUMIFS(Transactions[Amount],Transactions[Month],Transactions[[#This Row],[Month]],Transactions[Custom Category],Transactions[[#This Row],[Custom Category]])</f>
        <v>-482.64</v>
      </c>
      <c r="U14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46">
        <f>IF(Transactions[[#This Row],[Month]]=Sel_Month,Transactions[[#This Row],[Amount]],0)</f>
        <v>0</v>
      </c>
    </row>
    <row r="147" spans="1:22" x14ac:dyDescent="0.25">
      <c r="A147" t="s">
        <v>61</v>
      </c>
      <c r="B147" t="s">
        <v>66</v>
      </c>
      <c r="C147">
        <v>1000.64</v>
      </c>
      <c r="D147" t="s">
        <v>67</v>
      </c>
      <c r="E147" t="s">
        <v>635</v>
      </c>
      <c r="F147" t="s">
        <v>69</v>
      </c>
      <c r="H147" t="s">
        <v>636</v>
      </c>
      <c r="I147" t="s">
        <v>71</v>
      </c>
      <c r="J147" t="b">
        <v>0</v>
      </c>
      <c r="K147" t="s">
        <v>637</v>
      </c>
      <c r="L147" t="str">
        <f>_xlfn.XLOOKUP(Transactions[[#This Row],[Account ID]],Accounts[Plaid Account ID],Accounts[Name],"Not Found",0)</f>
        <v>RBC Staff Banking</v>
      </c>
      <c r="M147" t="str">
        <f>_xlfn.XLOOKUP(Transactions[[#This Row],[Account ID]],Accounts[Plaid Account ID],Accounts[Institution Name],"Not Found",0)</f>
        <v>RBC Royal Bank</v>
      </c>
      <c r="N147" t="str">
        <f>IF(Transactions[[#This Row],[Amount]]&lt;0,"credit","debit")</f>
        <v>debit</v>
      </c>
      <c r="O147" t="str" cm="1">
        <f t="array" ref="O14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4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44892</v>
      </c>
      <c r="Q147" s="3">
        <f>DATE(YEAR(Transactions[[#This Row],[Datetime]]),MONTH(Transactions[[#This Row],[Datetime]]),1)</f>
        <v>44866</v>
      </c>
      <c r="R147" t="b">
        <f ca="1">AND(Transactions[[#This Row],[Datetime]]&gt;=EDATE(MAX(Transactions[Datetime]),-6),Transactions[[#This Row],[Datetime]]&lt;=TODAY())</f>
        <v>0</v>
      </c>
      <c r="S147" s="6">
        <f ca="1">AVERAGEIFS(Transactions[Month''s Total],Transactions[Recent],TRUE,Transactions[Custom Category],Transactions[[#This Row],[Custom Category]])</f>
        <v>12758.461333333335</v>
      </c>
      <c r="T147">
        <f>SUMIFS(Transactions[Amount],Transactions[Month],Transactions[[#This Row],[Month]],Transactions[Custom Category],Transactions[[#This Row],[Custom Category]])</f>
        <v>2022.6399999999999</v>
      </c>
      <c r="U14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47">
        <f>IF(Transactions[[#This Row],[Month]]=Sel_Month,Transactions[[#This Row],[Amount]],0)</f>
        <v>0</v>
      </c>
    </row>
    <row r="148" spans="1:22" x14ac:dyDescent="0.25">
      <c r="A148" t="s">
        <v>61</v>
      </c>
      <c r="B148" t="s">
        <v>66</v>
      </c>
      <c r="C148">
        <v>-1000.64</v>
      </c>
      <c r="D148" t="s">
        <v>99</v>
      </c>
      <c r="E148" t="s">
        <v>635</v>
      </c>
      <c r="F148" t="s">
        <v>69</v>
      </c>
      <c r="H148" t="s">
        <v>638</v>
      </c>
      <c r="I148" t="s">
        <v>71</v>
      </c>
      <c r="J148" t="b">
        <v>0</v>
      </c>
      <c r="K148" t="s">
        <v>639</v>
      </c>
      <c r="L148" t="str">
        <f>_xlfn.XLOOKUP(Transactions[[#This Row],[Account ID]],Accounts[Plaid Account ID],Accounts[Name],"Not Found",0)</f>
        <v>RBC Staff Banking</v>
      </c>
      <c r="M148" t="str">
        <f>_xlfn.XLOOKUP(Transactions[[#This Row],[Account ID]],Accounts[Plaid Account ID],Accounts[Institution Name],"Not Found",0)</f>
        <v>RBC Royal Bank</v>
      </c>
      <c r="N148" t="str">
        <f>IF(Transactions[[#This Row],[Amount]]&lt;0,"credit","debit")</f>
        <v>credit</v>
      </c>
      <c r="O148" t="str" cm="1">
        <f t="array" ref="O14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4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44892</v>
      </c>
      <c r="Q148" s="3">
        <f>DATE(YEAR(Transactions[[#This Row],[Datetime]]),MONTH(Transactions[[#This Row],[Datetime]]),1)</f>
        <v>44866</v>
      </c>
      <c r="R148" t="b">
        <f ca="1">AND(Transactions[[#This Row],[Datetime]]&gt;=EDATE(MAX(Transactions[Datetime]),-6),Transactions[[#This Row],[Datetime]]&lt;=TODAY())</f>
        <v>0</v>
      </c>
      <c r="S148" s="6">
        <f ca="1">AVERAGEIFS(Transactions[Month''s Total],Transactions[Recent],TRUE,Transactions[Custom Category],Transactions[[#This Row],[Custom Category]])</f>
        <v>14532.989714285719</v>
      </c>
      <c r="T148">
        <f>SUMIFS(Transactions[Amount],Transactions[Month],Transactions[[#This Row],[Month]],Transactions[Custom Category],Transactions[[#This Row],[Custom Category]])</f>
        <v>-482.64</v>
      </c>
      <c r="U14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48">
        <f>IF(Transactions[[#This Row],[Month]]=Sel_Month,Transactions[[#This Row],[Amount]],0)</f>
        <v>0</v>
      </c>
    </row>
    <row r="149" spans="1:22" x14ac:dyDescent="0.25">
      <c r="A149" t="s">
        <v>61</v>
      </c>
      <c r="B149" t="s">
        <v>66</v>
      </c>
      <c r="C149">
        <v>770</v>
      </c>
      <c r="D149" t="s">
        <v>67</v>
      </c>
      <c r="E149" t="s">
        <v>630</v>
      </c>
      <c r="F149" t="s">
        <v>69</v>
      </c>
      <c r="H149" t="s">
        <v>631</v>
      </c>
      <c r="I149" t="s">
        <v>71</v>
      </c>
      <c r="J149" t="b">
        <v>0</v>
      </c>
      <c r="K149" t="s">
        <v>632</v>
      </c>
      <c r="L149" t="str">
        <f>_xlfn.XLOOKUP(Transactions[[#This Row],[Account ID]],Accounts[Plaid Account ID],Accounts[Name],"Not Found",0)</f>
        <v>RBC Staff Banking</v>
      </c>
      <c r="M149" t="str">
        <f>_xlfn.XLOOKUP(Transactions[[#This Row],[Account ID]],Accounts[Plaid Account ID],Accounts[Institution Name],"Not Found",0)</f>
        <v>RBC Royal Bank</v>
      </c>
      <c r="N149" t="str">
        <f>IF(Transactions[[#This Row],[Amount]]&lt;0,"credit","debit")</f>
        <v>debit</v>
      </c>
      <c r="O149" t="str" cm="1">
        <f t="array" ref="O14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4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44895</v>
      </c>
      <c r="Q149" s="3">
        <f>DATE(YEAR(Transactions[[#This Row],[Datetime]]),MONTH(Transactions[[#This Row],[Datetime]]),1)</f>
        <v>44866</v>
      </c>
      <c r="R149" t="b">
        <f ca="1">AND(Transactions[[#This Row],[Datetime]]&gt;=EDATE(MAX(Transactions[Datetime]),-6),Transactions[[#This Row],[Datetime]]&lt;=TODAY())</f>
        <v>0</v>
      </c>
      <c r="S149" s="6">
        <f ca="1">AVERAGEIFS(Transactions[Month''s Total],Transactions[Recent],TRUE,Transactions[Custom Category],Transactions[[#This Row],[Custom Category]])</f>
        <v>12758.461333333335</v>
      </c>
      <c r="T149">
        <f>SUMIFS(Transactions[Amount],Transactions[Month],Transactions[[#This Row],[Month]],Transactions[Custom Category],Transactions[[#This Row],[Custom Category]])</f>
        <v>2022.6399999999999</v>
      </c>
      <c r="U14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49">
        <f>IF(Transactions[[#This Row],[Month]]=Sel_Month,Transactions[[#This Row],[Amount]],0)</f>
        <v>0</v>
      </c>
    </row>
    <row r="150" spans="1:22" x14ac:dyDescent="0.25">
      <c r="A150" t="s">
        <v>61</v>
      </c>
      <c r="B150" t="s">
        <v>66</v>
      </c>
      <c r="C150">
        <v>-770</v>
      </c>
      <c r="D150" t="s">
        <v>99</v>
      </c>
      <c r="E150" t="s">
        <v>630</v>
      </c>
      <c r="F150" t="s">
        <v>69</v>
      </c>
      <c r="H150" t="s">
        <v>633</v>
      </c>
      <c r="I150" t="s">
        <v>71</v>
      </c>
      <c r="J150" t="b">
        <v>0</v>
      </c>
      <c r="K150" t="s">
        <v>634</v>
      </c>
      <c r="L150" t="str">
        <f>_xlfn.XLOOKUP(Transactions[[#This Row],[Account ID]],Accounts[Plaid Account ID],Accounts[Name],"Not Found",0)</f>
        <v>RBC Staff Banking</v>
      </c>
      <c r="M150" t="str">
        <f>_xlfn.XLOOKUP(Transactions[[#This Row],[Account ID]],Accounts[Plaid Account ID],Accounts[Institution Name],"Not Found",0)</f>
        <v>RBC Royal Bank</v>
      </c>
      <c r="N150" t="str">
        <f>IF(Transactions[[#This Row],[Amount]]&lt;0,"credit","debit")</f>
        <v>credit</v>
      </c>
      <c r="O150" t="str" cm="1">
        <f t="array" ref="O15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5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44895</v>
      </c>
      <c r="Q150" s="3">
        <f>DATE(YEAR(Transactions[[#This Row],[Datetime]]),MONTH(Transactions[[#This Row],[Datetime]]),1)</f>
        <v>44866</v>
      </c>
      <c r="R150" t="b">
        <f ca="1">AND(Transactions[[#This Row],[Datetime]]&gt;=EDATE(MAX(Transactions[Datetime]),-6),Transactions[[#This Row],[Datetime]]&lt;=TODAY())</f>
        <v>0</v>
      </c>
      <c r="S150" s="6">
        <f ca="1">AVERAGEIFS(Transactions[Month''s Total],Transactions[Recent],TRUE,Transactions[Custom Category],Transactions[[#This Row],[Custom Category]])</f>
        <v>-3209.0714285714284</v>
      </c>
      <c r="T150">
        <f>SUMIFS(Transactions[Amount],Transactions[Month],Transactions[[#This Row],[Month]],Transactions[Custom Category],Transactions[[#This Row],[Custom Category]])</f>
        <v>-770</v>
      </c>
      <c r="U150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50">
        <f>IF(Transactions[[#This Row],[Month]]=Sel_Month,Transactions[[#This Row],[Amount]],0)</f>
        <v>0</v>
      </c>
    </row>
    <row r="151" spans="1:22" x14ac:dyDescent="0.25">
      <c r="A151" t="s">
        <v>61</v>
      </c>
      <c r="B151" t="s">
        <v>66</v>
      </c>
      <c r="C151">
        <v>1299.3900000000001</v>
      </c>
      <c r="D151" t="s">
        <v>67</v>
      </c>
      <c r="E151" t="s">
        <v>624</v>
      </c>
      <c r="F151" t="s">
        <v>69</v>
      </c>
      <c r="H151" t="s">
        <v>625</v>
      </c>
      <c r="I151" t="s">
        <v>71</v>
      </c>
      <c r="J151" t="b">
        <v>0</v>
      </c>
      <c r="K151" t="s">
        <v>626</v>
      </c>
      <c r="L151" t="str">
        <f>_xlfn.XLOOKUP(Transactions[[#This Row],[Account ID]],Accounts[Plaid Account ID],Accounts[Name],"Not Found",0)</f>
        <v>RBC Staff Banking</v>
      </c>
      <c r="M151" t="str">
        <f>_xlfn.XLOOKUP(Transactions[[#This Row],[Account ID]],Accounts[Plaid Account ID],Accounts[Institution Name],"Not Found",0)</f>
        <v>RBC Royal Bank</v>
      </c>
      <c r="N151" t="str">
        <f>IF(Transactions[[#This Row],[Amount]]&lt;0,"credit","debit")</f>
        <v>debit</v>
      </c>
      <c r="O151" t="str" cm="1">
        <f t="array" ref="O15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5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44901</v>
      </c>
      <c r="Q151" s="3">
        <f>DATE(YEAR(Transactions[[#This Row],[Datetime]]),MONTH(Transactions[[#This Row],[Datetime]]),1)</f>
        <v>44896</v>
      </c>
      <c r="R151" t="b">
        <f ca="1">AND(Transactions[[#This Row],[Datetime]]&gt;=EDATE(MAX(Transactions[Datetime]),-6),Transactions[[#This Row],[Datetime]]&lt;=TODAY())</f>
        <v>0</v>
      </c>
      <c r="S151" s="6">
        <f ca="1">AVERAGEIFS(Transactions[Month''s Total],Transactions[Recent],TRUE,Transactions[Custom Category],Transactions[[#This Row],[Custom Category]])</f>
        <v>12758.461333333335</v>
      </c>
      <c r="T151">
        <f>SUMIFS(Transactions[Amount],Transactions[Month],Transactions[[#This Row],[Month]],Transactions[Custom Category],Transactions[[#This Row],[Custom Category]])</f>
        <v>3180.3900000000003</v>
      </c>
      <c r="U15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51">
        <f>IF(Transactions[[#This Row],[Month]]=Sel_Month,Transactions[[#This Row],[Amount]],0)</f>
        <v>0</v>
      </c>
    </row>
    <row r="152" spans="1:22" x14ac:dyDescent="0.25">
      <c r="A152" t="s">
        <v>61</v>
      </c>
      <c r="B152" t="s">
        <v>66</v>
      </c>
      <c r="C152">
        <v>743.46</v>
      </c>
      <c r="D152" t="s">
        <v>67</v>
      </c>
      <c r="E152" t="s">
        <v>624</v>
      </c>
      <c r="F152" t="s">
        <v>69</v>
      </c>
      <c r="H152" t="s">
        <v>471</v>
      </c>
      <c r="I152" t="s">
        <v>71</v>
      </c>
      <c r="J152" t="b">
        <v>0</v>
      </c>
      <c r="K152" t="s">
        <v>627</v>
      </c>
      <c r="L152" t="str">
        <f>_xlfn.XLOOKUP(Transactions[[#This Row],[Account ID]],Accounts[Plaid Account ID],Accounts[Name],"Not Found",0)</f>
        <v>RBC Staff Banking</v>
      </c>
      <c r="M152" t="str">
        <f>_xlfn.XLOOKUP(Transactions[[#This Row],[Account ID]],Accounts[Plaid Account ID],Accounts[Institution Name],"Not Found",0)</f>
        <v>RBC Royal Bank</v>
      </c>
      <c r="N152" t="str">
        <f>IF(Transactions[[#This Row],[Amount]]&lt;0,"credit","debit")</f>
        <v>debit</v>
      </c>
      <c r="O152" t="str" cm="1">
        <f t="array" ref="O15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5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44901</v>
      </c>
      <c r="Q152" s="3">
        <f>DATE(YEAR(Transactions[[#This Row],[Datetime]]),MONTH(Transactions[[#This Row],[Datetime]]),1)</f>
        <v>44896</v>
      </c>
      <c r="R152" t="b">
        <f ca="1">AND(Transactions[[#This Row],[Datetime]]&gt;=EDATE(MAX(Transactions[Datetime]),-6),Transactions[[#This Row],[Datetime]]&lt;=TODAY())</f>
        <v>0</v>
      </c>
      <c r="S152" s="6">
        <f ca="1">AVERAGEIFS(Transactions[Month''s Total],Transactions[Recent],TRUE,Transactions[Custom Category],Transactions[[#This Row],[Custom Category]])</f>
        <v>14532.989714285719</v>
      </c>
      <c r="T152">
        <f>SUMIFS(Transactions[Amount],Transactions[Month],Transactions[[#This Row],[Month]],Transactions[Custom Category],Transactions[[#This Row],[Custom Category]])</f>
        <v>-1097.54</v>
      </c>
      <c r="U15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52">
        <f>IF(Transactions[[#This Row],[Month]]=Sel_Month,Transactions[[#This Row],[Amount]],0)</f>
        <v>0</v>
      </c>
    </row>
    <row r="153" spans="1:22" x14ac:dyDescent="0.25">
      <c r="A153" t="s">
        <v>61</v>
      </c>
      <c r="B153" t="s">
        <v>66</v>
      </c>
      <c r="C153">
        <v>-2042.85</v>
      </c>
      <c r="D153" t="s">
        <v>149</v>
      </c>
      <c r="E153" t="s">
        <v>624</v>
      </c>
      <c r="F153" t="s">
        <v>69</v>
      </c>
      <c r="H153" t="s">
        <v>628</v>
      </c>
      <c r="I153" t="s">
        <v>71</v>
      </c>
      <c r="J153" t="b">
        <v>0</v>
      </c>
      <c r="K153" t="s">
        <v>629</v>
      </c>
      <c r="L153" t="str">
        <f>_xlfn.XLOOKUP(Transactions[[#This Row],[Account ID]],Accounts[Plaid Account ID],Accounts[Name],"Not Found",0)</f>
        <v>RBC Staff Banking</v>
      </c>
      <c r="M153" t="str">
        <f>_xlfn.XLOOKUP(Transactions[[#This Row],[Account ID]],Accounts[Plaid Account ID],Accounts[Institution Name],"Not Found",0)</f>
        <v>RBC Royal Bank</v>
      </c>
      <c r="N153" t="str">
        <f>IF(Transactions[[#This Row],[Amount]]&lt;0,"credit","debit")</f>
        <v>credit</v>
      </c>
      <c r="O153" t="str" cm="1">
        <f t="array" ref="O15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5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44901</v>
      </c>
      <c r="Q153" s="3">
        <f>DATE(YEAR(Transactions[[#This Row],[Datetime]]),MONTH(Transactions[[#This Row],[Datetime]]),1)</f>
        <v>44896</v>
      </c>
      <c r="R153" t="b">
        <f ca="1">AND(Transactions[[#This Row],[Datetime]]&gt;=EDATE(MAX(Transactions[Datetime]),-6),Transactions[[#This Row],[Datetime]]&lt;=TODAY())</f>
        <v>0</v>
      </c>
      <c r="S153" s="6">
        <f ca="1">AVERAGEIFS(Transactions[Month''s Total],Transactions[Recent],TRUE,Transactions[Custom Category],Transactions[[#This Row],[Custom Category]])</f>
        <v>-18125.097037037034</v>
      </c>
      <c r="T153">
        <f>SUMIFS(Transactions[Amount],Transactions[Month],Transactions[[#This Row],[Month]],Transactions[Custom Category],Transactions[[#This Row],[Custom Category]])</f>
        <v>-2042.85</v>
      </c>
      <c r="U15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53">
        <f>IF(Transactions[[#This Row],[Month]]=Sel_Month,Transactions[[#This Row],[Amount]],0)</f>
        <v>0</v>
      </c>
    </row>
    <row r="154" spans="1:22" x14ac:dyDescent="0.25">
      <c r="A154" t="s">
        <v>61</v>
      </c>
      <c r="B154" t="s">
        <v>66</v>
      </c>
      <c r="C154">
        <v>541</v>
      </c>
      <c r="D154" t="s">
        <v>67</v>
      </c>
      <c r="E154" t="s">
        <v>619</v>
      </c>
      <c r="F154" t="s">
        <v>69</v>
      </c>
      <c r="H154" t="s">
        <v>620</v>
      </c>
      <c r="I154" t="s">
        <v>71</v>
      </c>
      <c r="J154" t="b">
        <v>0</v>
      </c>
      <c r="K154" t="s">
        <v>621</v>
      </c>
      <c r="L154" t="str">
        <f>_xlfn.XLOOKUP(Transactions[[#This Row],[Account ID]],Accounts[Plaid Account ID],Accounts[Name],"Not Found",0)</f>
        <v>RBC Staff Banking</v>
      </c>
      <c r="M154" t="str">
        <f>_xlfn.XLOOKUP(Transactions[[#This Row],[Account ID]],Accounts[Plaid Account ID],Accounts[Institution Name],"Not Found",0)</f>
        <v>RBC Royal Bank</v>
      </c>
      <c r="N154" t="str">
        <f>IF(Transactions[[#This Row],[Amount]]&lt;0,"credit","debit")</f>
        <v>debit</v>
      </c>
      <c r="O154" t="str" cm="1">
        <f t="array" ref="O15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5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44907</v>
      </c>
      <c r="Q154" s="3">
        <f>DATE(YEAR(Transactions[[#This Row],[Datetime]]),MONTH(Transactions[[#This Row],[Datetime]]),1)</f>
        <v>44896</v>
      </c>
      <c r="R154" t="b">
        <f ca="1">AND(Transactions[[#This Row],[Datetime]]&gt;=EDATE(MAX(Transactions[Datetime]),-6),Transactions[[#This Row],[Datetime]]&lt;=TODAY())</f>
        <v>0</v>
      </c>
      <c r="S154" s="6">
        <f ca="1">AVERAGEIFS(Transactions[Month''s Total],Transactions[Recent],TRUE,Transactions[Custom Category],Transactions[[#This Row],[Custom Category]])</f>
        <v>12758.461333333335</v>
      </c>
      <c r="T154">
        <f>SUMIFS(Transactions[Amount],Transactions[Month],Transactions[[#This Row],[Month]],Transactions[Custom Category],Transactions[[#This Row],[Custom Category]])</f>
        <v>3180.3900000000003</v>
      </c>
      <c r="U15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54">
        <f>IF(Transactions[[#This Row],[Month]]=Sel_Month,Transactions[[#This Row],[Amount]],0)</f>
        <v>0</v>
      </c>
    </row>
    <row r="155" spans="1:22" x14ac:dyDescent="0.25">
      <c r="A155" t="s">
        <v>61</v>
      </c>
      <c r="B155" t="s">
        <v>66</v>
      </c>
      <c r="C155">
        <v>-541</v>
      </c>
      <c r="D155" t="s">
        <v>99</v>
      </c>
      <c r="E155" t="s">
        <v>619</v>
      </c>
      <c r="F155" t="s">
        <v>69</v>
      </c>
      <c r="H155" t="s">
        <v>622</v>
      </c>
      <c r="I155" t="s">
        <v>71</v>
      </c>
      <c r="J155" t="b">
        <v>0</v>
      </c>
      <c r="K155" t="s">
        <v>623</v>
      </c>
      <c r="L155" t="str">
        <f>_xlfn.XLOOKUP(Transactions[[#This Row],[Account ID]],Accounts[Plaid Account ID],Accounts[Name],"Not Found",0)</f>
        <v>RBC Staff Banking</v>
      </c>
      <c r="M155" t="str">
        <f>_xlfn.XLOOKUP(Transactions[[#This Row],[Account ID]],Accounts[Plaid Account ID],Accounts[Institution Name],"Not Found",0)</f>
        <v>RBC Royal Bank</v>
      </c>
      <c r="N155" t="str">
        <f>IF(Transactions[[#This Row],[Amount]]&lt;0,"credit","debit")</f>
        <v>credit</v>
      </c>
      <c r="O155" t="str" cm="1">
        <f t="array" ref="O15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5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44907</v>
      </c>
      <c r="Q155" s="3">
        <f>DATE(YEAR(Transactions[[#This Row],[Datetime]]),MONTH(Transactions[[#This Row],[Datetime]]),1)</f>
        <v>44896</v>
      </c>
      <c r="R155" t="b">
        <f ca="1">AND(Transactions[[#This Row],[Datetime]]&gt;=EDATE(MAX(Transactions[Datetime]),-6),Transactions[[#This Row],[Datetime]]&lt;=TODAY())</f>
        <v>0</v>
      </c>
      <c r="S155" s="6">
        <f ca="1">AVERAGEIFS(Transactions[Month''s Total],Transactions[Recent],TRUE,Transactions[Custom Category],Transactions[[#This Row],[Custom Category]])</f>
        <v>14532.989714285719</v>
      </c>
      <c r="T155">
        <f>SUMIFS(Transactions[Amount],Transactions[Month],Transactions[[#This Row],[Month]],Transactions[Custom Category],Transactions[[#This Row],[Custom Category]])</f>
        <v>-1097.54</v>
      </c>
      <c r="U15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55">
        <f>IF(Transactions[[#This Row],[Month]]=Sel_Month,Transactions[[#This Row],[Amount]],0)</f>
        <v>0</v>
      </c>
    </row>
    <row r="156" spans="1:22" x14ac:dyDescent="0.25">
      <c r="A156" t="s">
        <v>61</v>
      </c>
      <c r="B156" t="s">
        <v>66</v>
      </c>
      <c r="C156">
        <v>-40</v>
      </c>
      <c r="D156" t="s">
        <v>99</v>
      </c>
      <c r="E156" t="s">
        <v>616</v>
      </c>
      <c r="F156" t="s">
        <v>69</v>
      </c>
      <c r="H156" t="s">
        <v>617</v>
      </c>
      <c r="I156" t="s">
        <v>71</v>
      </c>
      <c r="J156" t="b">
        <v>0</v>
      </c>
      <c r="K156" t="s">
        <v>618</v>
      </c>
      <c r="L156" t="str">
        <f>_xlfn.XLOOKUP(Transactions[[#This Row],[Account ID]],Accounts[Plaid Account ID],Accounts[Name],"Not Found",0)</f>
        <v>RBC Staff Banking</v>
      </c>
      <c r="M156" t="str">
        <f>_xlfn.XLOOKUP(Transactions[[#This Row],[Account ID]],Accounts[Plaid Account ID],Accounts[Institution Name],"Not Found",0)</f>
        <v>RBC Royal Bank</v>
      </c>
      <c r="N156" t="str">
        <f>IF(Transactions[[#This Row],[Amount]]&lt;0,"credit","debit")</f>
        <v>credit</v>
      </c>
      <c r="O156" t="str" cm="1">
        <f t="array" ref="O15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5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44913</v>
      </c>
      <c r="Q156" s="3">
        <f>DATE(YEAR(Transactions[[#This Row],[Datetime]]),MONTH(Transactions[[#This Row],[Datetime]]),1)</f>
        <v>44896</v>
      </c>
      <c r="R156" t="b">
        <f ca="1">AND(Transactions[[#This Row],[Datetime]]&gt;=EDATE(MAX(Transactions[Datetime]),-6),Transactions[[#This Row],[Datetime]]&lt;=TODAY())</f>
        <v>0</v>
      </c>
      <c r="S156" s="6">
        <f ca="1">AVERAGEIFS(Transactions[Month''s Total],Transactions[Recent],TRUE,Transactions[Custom Category],Transactions[[#This Row],[Custom Category]])</f>
        <v>-3209.0714285714284</v>
      </c>
      <c r="T156">
        <f>SUMIFS(Transactions[Amount],Transactions[Month],Transactions[[#This Row],[Month]],Transactions[Custom Category],Transactions[[#This Row],[Custom Category]])</f>
        <v>-40</v>
      </c>
      <c r="U156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56">
        <f>IF(Transactions[[#This Row],[Month]]=Sel_Month,Transactions[[#This Row],[Amount]],0)</f>
        <v>0</v>
      </c>
    </row>
    <row r="157" spans="1:22" x14ac:dyDescent="0.25">
      <c r="A157" t="s">
        <v>61</v>
      </c>
      <c r="B157" t="s">
        <v>66</v>
      </c>
      <c r="C157">
        <v>1340</v>
      </c>
      <c r="D157" t="s">
        <v>67</v>
      </c>
      <c r="E157" t="s">
        <v>611</v>
      </c>
      <c r="F157" t="s">
        <v>69</v>
      </c>
      <c r="H157" t="s">
        <v>612</v>
      </c>
      <c r="I157" t="s">
        <v>71</v>
      </c>
      <c r="J157" t="b">
        <v>0</v>
      </c>
      <c r="K157" t="s">
        <v>613</v>
      </c>
      <c r="L157" t="str">
        <f>_xlfn.XLOOKUP(Transactions[[#This Row],[Account ID]],Accounts[Plaid Account ID],Accounts[Name],"Not Found",0)</f>
        <v>RBC Staff Banking</v>
      </c>
      <c r="M157" t="str">
        <f>_xlfn.XLOOKUP(Transactions[[#This Row],[Account ID]],Accounts[Plaid Account ID],Accounts[Institution Name],"Not Found",0)</f>
        <v>RBC Royal Bank</v>
      </c>
      <c r="N157" t="str">
        <f>IF(Transactions[[#This Row],[Amount]]&lt;0,"credit","debit")</f>
        <v>debit</v>
      </c>
      <c r="O157" t="str" cm="1">
        <f t="array" ref="O15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5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44917</v>
      </c>
      <c r="Q157" s="3">
        <f>DATE(YEAR(Transactions[[#This Row],[Datetime]]),MONTH(Transactions[[#This Row],[Datetime]]),1)</f>
        <v>44896</v>
      </c>
      <c r="R157" t="b">
        <f ca="1">AND(Transactions[[#This Row],[Datetime]]&gt;=EDATE(MAX(Transactions[Datetime]),-6),Transactions[[#This Row],[Datetime]]&lt;=TODAY())</f>
        <v>0</v>
      </c>
      <c r="S157" s="6">
        <f ca="1">AVERAGEIFS(Transactions[Month''s Total],Transactions[Recent],TRUE,Transactions[Custom Category],Transactions[[#This Row],[Custom Category]])</f>
        <v>12758.461333333335</v>
      </c>
      <c r="T157">
        <f>SUMIFS(Transactions[Amount],Transactions[Month],Transactions[[#This Row],[Month]],Transactions[Custom Category],Transactions[[#This Row],[Custom Category]])</f>
        <v>3180.3900000000003</v>
      </c>
      <c r="U15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57">
        <f>IF(Transactions[[#This Row],[Month]]=Sel_Month,Transactions[[#This Row],[Amount]],0)</f>
        <v>0</v>
      </c>
    </row>
    <row r="158" spans="1:22" x14ac:dyDescent="0.25">
      <c r="A158" t="s">
        <v>61</v>
      </c>
      <c r="B158" t="s">
        <v>66</v>
      </c>
      <c r="C158">
        <v>-1300</v>
      </c>
      <c r="D158" t="s">
        <v>99</v>
      </c>
      <c r="E158" t="s">
        <v>611</v>
      </c>
      <c r="F158" t="s">
        <v>69</v>
      </c>
      <c r="H158" t="s">
        <v>614</v>
      </c>
      <c r="I158" t="s">
        <v>71</v>
      </c>
      <c r="J158" t="b">
        <v>0</v>
      </c>
      <c r="K158" t="s">
        <v>615</v>
      </c>
      <c r="L158" t="str">
        <f>_xlfn.XLOOKUP(Transactions[[#This Row],[Account ID]],Accounts[Plaid Account ID],Accounts[Name],"Not Found",0)</f>
        <v>RBC Staff Banking</v>
      </c>
      <c r="M158" t="str">
        <f>_xlfn.XLOOKUP(Transactions[[#This Row],[Account ID]],Accounts[Plaid Account ID],Accounts[Institution Name],"Not Found",0)</f>
        <v>RBC Royal Bank</v>
      </c>
      <c r="N158" t="str">
        <f>IF(Transactions[[#This Row],[Amount]]&lt;0,"credit","debit")</f>
        <v>credit</v>
      </c>
      <c r="O158" t="str" cm="1">
        <f t="array" ref="O15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5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44917</v>
      </c>
      <c r="Q158" s="3">
        <f>DATE(YEAR(Transactions[[#This Row],[Datetime]]),MONTH(Transactions[[#This Row],[Datetime]]),1)</f>
        <v>44896</v>
      </c>
      <c r="R158" t="b">
        <f ca="1">AND(Transactions[[#This Row],[Datetime]]&gt;=EDATE(MAX(Transactions[Datetime]),-6),Transactions[[#This Row],[Datetime]]&lt;=TODAY())</f>
        <v>0</v>
      </c>
      <c r="S158" s="6">
        <f ca="1">AVERAGEIFS(Transactions[Month''s Total],Transactions[Recent],TRUE,Transactions[Custom Category],Transactions[[#This Row],[Custom Category]])</f>
        <v>14532.989714285719</v>
      </c>
      <c r="T158">
        <f>SUMIFS(Transactions[Amount],Transactions[Month],Transactions[[#This Row],[Month]],Transactions[Custom Category],Transactions[[#This Row],[Custom Category]])</f>
        <v>-1097.54</v>
      </c>
      <c r="U15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58">
        <f>IF(Transactions[[#This Row],[Month]]=Sel_Month,Transactions[[#This Row],[Amount]],0)</f>
        <v>0</v>
      </c>
    </row>
    <row r="159" spans="1:22" x14ac:dyDescent="0.25">
      <c r="A159" t="s">
        <v>61</v>
      </c>
      <c r="B159" t="s">
        <v>66</v>
      </c>
      <c r="C159">
        <v>1386.69</v>
      </c>
      <c r="D159" t="s">
        <v>67</v>
      </c>
      <c r="E159" t="s">
        <v>603</v>
      </c>
      <c r="F159" t="s">
        <v>69</v>
      </c>
      <c r="H159" t="s">
        <v>604</v>
      </c>
      <c r="I159" t="s">
        <v>71</v>
      </c>
      <c r="J159" t="b">
        <v>0</v>
      </c>
      <c r="K159" t="s">
        <v>605</v>
      </c>
      <c r="L159" t="str">
        <f>_xlfn.XLOOKUP(Transactions[[#This Row],[Account ID]],Accounts[Plaid Account ID],Accounts[Name],"Not Found",0)</f>
        <v>RBC Staff Banking</v>
      </c>
      <c r="M159" t="str">
        <f>_xlfn.XLOOKUP(Transactions[[#This Row],[Account ID]],Accounts[Plaid Account ID],Accounts[Institution Name],"Not Found",0)</f>
        <v>RBC Royal Bank</v>
      </c>
      <c r="N159" t="str">
        <f>IF(Transactions[[#This Row],[Amount]]&lt;0,"credit","debit")</f>
        <v>debit</v>
      </c>
      <c r="O159" t="str" cm="1">
        <f t="array" ref="O15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5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44928</v>
      </c>
      <c r="Q159" s="3">
        <f>DATE(YEAR(Transactions[[#This Row],[Datetime]]),MONTH(Transactions[[#This Row],[Datetime]]),1)</f>
        <v>44927</v>
      </c>
      <c r="R159" t="b">
        <f ca="1">AND(Transactions[[#This Row],[Datetime]]&gt;=EDATE(MAX(Transactions[Datetime]),-6),Transactions[[#This Row],[Datetime]]&lt;=TODAY())</f>
        <v>0</v>
      </c>
      <c r="S159" s="6">
        <f ca="1">AVERAGEIFS(Transactions[Month''s Total],Transactions[Recent],TRUE,Transactions[Custom Category],Transactions[[#This Row],[Custom Category]])</f>
        <v>12758.461333333335</v>
      </c>
      <c r="T159">
        <f>SUMIFS(Transactions[Amount],Transactions[Month],Transactions[[#This Row],[Month]],Transactions[Custom Category],Transactions[[#This Row],[Custom Category]])</f>
        <v>4192.58</v>
      </c>
      <c r="U15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59">
        <f>IF(Transactions[[#This Row],[Month]]=Sel_Month,Transactions[[#This Row],[Amount]],0)</f>
        <v>0</v>
      </c>
    </row>
    <row r="160" spans="1:22" x14ac:dyDescent="0.25">
      <c r="A160" t="s">
        <v>61</v>
      </c>
      <c r="B160" t="s">
        <v>66</v>
      </c>
      <c r="C160">
        <v>2500</v>
      </c>
      <c r="D160" t="s">
        <v>67</v>
      </c>
      <c r="E160" t="s">
        <v>603</v>
      </c>
      <c r="F160" t="s">
        <v>69</v>
      </c>
      <c r="H160" t="s">
        <v>471</v>
      </c>
      <c r="I160" t="s">
        <v>71</v>
      </c>
      <c r="J160" t="b">
        <v>0</v>
      </c>
      <c r="K160" t="s">
        <v>606</v>
      </c>
      <c r="L160" t="str">
        <f>_xlfn.XLOOKUP(Transactions[[#This Row],[Account ID]],Accounts[Plaid Account ID],Accounts[Name],"Not Found",0)</f>
        <v>RBC Staff Banking</v>
      </c>
      <c r="M160" t="str">
        <f>_xlfn.XLOOKUP(Transactions[[#This Row],[Account ID]],Accounts[Plaid Account ID],Accounts[Institution Name],"Not Found",0)</f>
        <v>RBC Royal Bank</v>
      </c>
      <c r="N160" t="str">
        <f>IF(Transactions[[#This Row],[Amount]]&lt;0,"credit","debit")</f>
        <v>debit</v>
      </c>
      <c r="O160" t="str" cm="1">
        <f t="array" ref="O16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6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44928</v>
      </c>
      <c r="Q160" s="3">
        <f>DATE(YEAR(Transactions[[#This Row],[Datetime]]),MONTH(Transactions[[#This Row],[Datetime]]),1)</f>
        <v>44927</v>
      </c>
      <c r="R160" t="b">
        <f ca="1">AND(Transactions[[#This Row],[Datetime]]&gt;=EDATE(MAX(Transactions[Datetime]),-6),Transactions[[#This Row],[Datetime]]&lt;=TODAY())</f>
        <v>0</v>
      </c>
      <c r="S160" s="6">
        <f ca="1">AVERAGEIFS(Transactions[Month''s Total],Transactions[Recent],TRUE,Transactions[Custom Category],Transactions[[#This Row],[Custom Category]])</f>
        <v>14532.989714285719</v>
      </c>
      <c r="T160">
        <f>SUMIFS(Transactions[Amount],Transactions[Month],Transactions[[#This Row],[Month]],Transactions[Custom Category],Transactions[[#This Row],[Custom Category]])</f>
        <v>3719.97</v>
      </c>
      <c r="U16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60">
        <f>IF(Transactions[[#This Row],[Month]]=Sel_Month,Transactions[[#This Row],[Amount]],0)</f>
        <v>0</v>
      </c>
    </row>
    <row r="161" spans="1:22" x14ac:dyDescent="0.25">
      <c r="A161" t="s">
        <v>61</v>
      </c>
      <c r="B161" t="s">
        <v>66</v>
      </c>
      <c r="C161">
        <v>-770</v>
      </c>
      <c r="D161" t="s">
        <v>99</v>
      </c>
      <c r="E161" t="s">
        <v>603</v>
      </c>
      <c r="F161" t="s">
        <v>69</v>
      </c>
      <c r="H161" t="s">
        <v>607</v>
      </c>
      <c r="I161" t="s">
        <v>71</v>
      </c>
      <c r="J161" t="b">
        <v>0</v>
      </c>
      <c r="K161" t="s">
        <v>608</v>
      </c>
      <c r="L161" t="str">
        <f>_xlfn.XLOOKUP(Transactions[[#This Row],[Account ID]],Accounts[Plaid Account ID],Accounts[Name],"Not Found",0)</f>
        <v>RBC Staff Banking</v>
      </c>
      <c r="M161" t="str">
        <f>_xlfn.XLOOKUP(Transactions[[#This Row],[Account ID]],Accounts[Plaid Account ID],Accounts[Institution Name],"Not Found",0)</f>
        <v>RBC Royal Bank</v>
      </c>
      <c r="N161" t="str">
        <f>IF(Transactions[[#This Row],[Amount]]&lt;0,"credit","debit")</f>
        <v>credit</v>
      </c>
      <c r="O161" t="str" cm="1">
        <f t="array" ref="O16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6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44928</v>
      </c>
      <c r="Q161" s="3">
        <f>DATE(YEAR(Transactions[[#This Row],[Datetime]]),MONTH(Transactions[[#This Row],[Datetime]]),1)</f>
        <v>44927</v>
      </c>
      <c r="R161" t="b">
        <f ca="1">AND(Transactions[[#This Row],[Datetime]]&gt;=EDATE(MAX(Transactions[Datetime]),-6),Transactions[[#This Row],[Datetime]]&lt;=TODAY())</f>
        <v>0</v>
      </c>
      <c r="S161" s="6">
        <f ca="1">AVERAGEIFS(Transactions[Month''s Total],Transactions[Recent],TRUE,Transactions[Custom Category],Transactions[[#This Row],[Custom Category]])</f>
        <v>-3209.0714285714284</v>
      </c>
      <c r="T161">
        <f>SUMIFS(Transactions[Amount],Transactions[Month],Transactions[[#This Row],[Month]],Transactions[Custom Category],Transactions[[#This Row],[Custom Category]])</f>
        <v>-860</v>
      </c>
      <c r="U161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61">
        <f>IF(Transactions[[#This Row],[Month]]=Sel_Month,Transactions[[#This Row],[Amount]],0)</f>
        <v>0</v>
      </c>
    </row>
    <row r="162" spans="1:22" x14ac:dyDescent="0.25">
      <c r="A162" t="s">
        <v>61</v>
      </c>
      <c r="B162" t="s">
        <v>66</v>
      </c>
      <c r="C162">
        <v>-4056.6</v>
      </c>
      <c r="D162" t="s">
        <v>149</v>
      </c>
      <c r="E162" t="s">
        <v>603</v>
      </c>
      <c r="F162" t="s">
        <v>69</v>
      </c>
      <c r="H162" t="s">
        <v>609</v>
      </c>
      <c r="I162" t="s">
        <v>71</v>
      </c>
      <c r="J162" t="b">
        <v>0</v>
      </c>
      <c r="K162" t="s">
        <v>610</v>
      </c>
      <c r="L162" t="str">
        <f>_xlfn.XLOOKUP(Transactions[[#This Row],[Account ID]],Accounts[Plaid Account ID],Accounts[Name],"Not Found",0)</f>
        <v>RBC Staff Banking</v>
      </c>
      <c r="M162" t="str">
        <f>_xlfn.XLOOKUP(Transactions[[#This Row],[Account ID]],Accounts[Plaid Account ID],Accounts[Institution Name],"Not Found",0)</f>
        <v>RBC Royal Bank</v>
      </c>
      <c r="N162" t="str">
        <f>IF(Transactions[[#This Row],[Amount]]&lt;0,"credit","debit")</f>
        <v>credit</v>
      </c>
      <c r="O162" t="str" cm="1">
        <f t="array" ref="O16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6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44928</v>
      </c>
      <c r="Q162" s="3">
        <f>DATE(YEAR(Transactions[[#This Row],[Datetime]]),MONTH(Transactions[[#This Row],[Datetime]]),1)</f>
        <v>44927</v>
      </c>
      <c r="R162" t="b">
        <f ca="1">AND(Transactions[[#This Row],[Datetime]]&gt;=EDATE(MAX(Transactions[Datetime]),-6),Transactions[[#This Row],[Datetime]]&lt;=TODAY())</f>
        <v>0</v>
      </c>
      <c r="S162" s="6">
        <f ca="1">AVERAGEIFS(Transactions[Month''s Total],Transactions[Recent],TRUE,Transactions[Custom Category],Transactions[[#This Row],[Custom Category]])</f>
        <v>-18125.097037037034</v>
      </c>
      <c r="T162">
        <f>SUMIFS(Transactions[Amount],Transactions[Month],Transactions[[#This Row],[Month]],Transactions[Custom Category],Transactions[[#This Row],[Custom Category]])</f>
        <v>-7225.5599999999995</v>
      </c>
      <c r="U162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62">
        <f>IF(Transactions[[#This Row],[Month]]=Sel_Month,Transactions[[#This Row],[Amount]],0)</f>
        <v>0</v>
      </c>
    </row>
    <row r="163" spans="1:22" x14ac:dyDescent="0.25">
      <c r="A163" t="s">
        <v>61</v>
      </c>
      <c r="B163" t="s">
        <v>66</v>
      </c>
      <c r="C163">
        <v>-75</v>
      </c>
      <c r="D163" t="s">
        <v>99</v>
      </c>
      <c r="E163" t="s">
        <v>600</v>
      </c>
      <c r="F163" t="s">
        <v>69</v>
      </c>
      <c r="H163" t="s">
        <v>601</v>
      </c>
      <c r="I163" t="s">
        <v>71</v>
      </c>
      <c r="J163" t="b">
        <v>0</v>
      </c>
      <c r="K163" t="s">
        <v>602</v>
      </c>
      <c r="L163" t="str">
        <f>_xlfn.XLOOKUP(Transactions[[#This Row],[Account ID]],Accounts[Plaid Account ID],Accounts[Name],"Not Found",0)</f>
        <v>RBC Staff Banking</v>
      </c>
      <c r="M163" t="str">
        <f>_xlfn.XLOOKUP(Transactions[[#This Row],[Account ID]],Accounts[Plaid Account ID],Accounts[Institution Name],"Not Found",0)</f>
        <v>RBC Royal Bank</v>
      </c>
      <c r="N163" t="str">
        <f>IF(Transactions[[#This Row],[Amount]]&lt;0,"credit","debit")</f>
        <v>credit</v>
      </c>
      <c r="O163" t="str" cm="1">
        <f t="array" ref="O16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6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44931</v>
      </c>
      <c r="Q163" s="3">
        <f>DATE(YEAR(Transactions[[#This Row],[Datetime]]),MONTH(Transactions[[#This Row],[Datetime]]),1)</f>
        <v>44927</v>
      </c>
      <c r="R163" t="b">
        <f ca="1">AND(Transactions[[#This Row],[Datetime]]&gt;=EDATE(MAX(Transactions[Datetime]),-6),Transactions[[#This Row],[Datetime]]&lt;=TODAY())</f>
        <v>0</v>
      </c>
      <c r="S163" s="6">
        <f ca="1">AVERAGEIFS(Transactions[Month''s Total],Transactions[Recent],TRUE,Transactions[Custom Category],Transactions[[#This Row],[Custom Category]])</f>
        <v>-3209.0714285714284</v>
      </c>
      <c r="T163">
        <f>SUMIFS(Transactions[Amount],Transactions[Month],Transactions[[#This Row],[Month]],Transactions[Custom Category],Transactions[[#This Row],[Custom Category]])</f>
        <v>-860</v>
      </c>
      <c r="U163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63">
        <f>IF(Transactions[[#This Row],[Month]]=Sel_Month,Transactions[[#This Row],[Amount]],0)</f>
        <v>0</v>
      </c>
    </row>
    <row r="164" spans="1:22" x14ac:dyDescent="0.25">
      <c r="A164" t="s">
        <v>61</v>
      </c>
      <c r="B164" t="s">
        <v>66</v>
      </c>
      <c r="C164">
        <v>856.9</v>
      </c>
      <c r="D164" t="s">
        <v>67</v>
      </c>
      <c r="E164" t="s">
        <v>598</v>
      </c>
      <c r="F164" t="s">
        <v>69</v>
      </c>
      <c r="H164" t="s">
        <v>471</v>
      </c>
      <c r="I164" t="s">
        <v>71</v>
      </c>
      <c r="J164" t="b">
        <v>0</v>
      </c>
      <c r="K164" t="s">
        <v>599</v>
      </c>
      <c r="L164" t="str">
        <f>_xlfn.XLOOKUP(Transactions[[#This Row],[Account ID]],Accounts[Plaid Account ID],Accounts[Name],"Not Found",0)</f>
        <v>RBC Staff Banking</v>
      </c>
      <c r="M164" t="str">
        <f>_xlfn.XLOOKUP(Transactions[[#This Row],[Account ID]],Accounts[Plaid Account ID],Accounts[Institution Name],"Not Found",0)</f>
        <v>RBC Royal Bank</v>
      </c>
      <c r="N164" t="str">
        <f>IF(Transactions[[#This Row],[Amount]]&lt;0,"credit","debit")</f>
        <v>debit</v>
      </c>
      <c r="O164" t="str" cm="1">
        <f t="array" ref="O16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6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44934</v>
      </c>
      <c r="Q164" s="3">
        <f>DATE(YEAR(Transactions[[#This Row],[Datetime]]),MONTH(Transactions[[#This Row],[Datetime]]),1)</f>
        <v>44927</v>
      </c>
      <c r="R164" t="b">
        <f ca="1">AND(Transactions[[#This Row],[Datetime]]&gt;=EDATE(MAX(Transactions[Datetime]),-6),Transactions[[#This Row],[Datetime]]&lt;=TODAY())</f>
        <v>0</v>
      </c>
      <c r="S164" s="6">
        <f ca="1">AVERAGEIFS(Transactions[Month''s Total],Transactions[Recent],TRUE,Transactions[Custom Category],Transactions[[#This Row],[Custom Category]])</f>
        <v>14532.989714285719</v>
      </c>
      <c r="T164">
        <f>SUMIFS(Transactions[Amount],Transactions[Month],Transactions[[#This Row],[Month]],Transactions[Custom Category],Transactions[[#This Row],[Custom Category]])</f>
        <v>3719.97</v>
      </c>
      <c r="U16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64">
        <f>IF(Transactions[[#This Row],[Month]]=Sel_Month,Transactions[[#This Row],[Amount]],0)</f>
        <v>0</v>
      </c>
    </row>
    <row r="165" spans="1:22" x14ac:dyDescent="0.25">
      <c r="A165" t="s">
        <v>61</v>
      </c>
      <c r="B165" t="s">
        <v>66</v>
      </c>
      <c r="C165">
        <v>1345.89</v>
      </c>
      <c r="D165" t="s">
        <v>67</v>
      </c>
      <c r="E165" t="s">
        <v>589</v>
      </c>
      <c r="F165" t="s">
        <v>69</v>
      </c>
      <c r="H165" t="s">
        <v>590</v>
      </c>
      <c r="I165" t="s">
        <v>71</v>
      </c>
      <c r="J165" t="b">
        <v>0</v>
      </c>
      <c r="K165" t="s">
        <v>591</v>
      </c>
      <c r="L165" t="str">
        <f>_xlfn.XLOOKUP(Transactions[[#This Row],[Account ID]],Accounts[Plaid Account ID],Accounts[Name],"Not Found",0)</f>
        <v>RBC Staff Banking</v>
      </c>
      <c r="M165" t="str">
        <f>_xlfn.XLOOKUP(Transactions[[#This Row],[Account ID]],Accounts[Plaid Account ID],Accounts[Institution Name],"Not Found",0)</f>
        <v>RBC Royal Bank</v>
      </c>
      <c r="N165" t="str">
        <f>IF(Transactions[[#This Row],[Amount]]&lt;0,"credit","debit")</f>
        <v>debit</v>
      </c>
      <c r="O165" t="str" cm="1">
        <f t="array" ref="O16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6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44937</v>
      </c>
      <c r="Q165" s="3">
        <f>DATE(YEAR(Transactions[[#This Row],[Datetime]]),MONTH(Transactions[[#This Row],[Datetime]]),1)</f>
        <v>44927</v>
      </c>
      <c r="R165" t="b">
        <f ca="1">AND(Transactions[[#This Row],[Datetime]]&gt;=EDATE(MAX(Transactions[Datetime]),-6),Transactions[[#This Row],[Datetime]]&lt;=TODAY())</f>
        <v>0</v>
      </c>
      <c r="S165" s="6">
        <f ca="1">AVERAGEIFS(Transactions[Month''s Total],Transactions[Recent],TRUE,Transactions[Custom Category],Transactions[[#This Row],[Custom Category]])</f>
        <v>12758.461333333335</v>
      </c>
      <c r="T165">
        <f>SUMIFS(Transactions[Amount],Transactions[Month],Transactions[[#This Row],[Month]],Transactions[Custom Category],Transactions[[#This Row],[Custom Category]])</f>
        <v>4192.58</v>
      </c>
      <c r="U16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65">
        <f>IF(Transactions[[#This Row],[Month]]=Sel_Month,Transactions[[#This Row],[Amount]],0)</f>
        <v>0</v>
      </c>
    </row>
    <row r="166" spans="1:22" x14ac:dyDescent="0.25">
      <c r="A166" t="s">
        <v>61</v>
      </c>
      <c r="B166" t="s">
        <v>66</v>
      </c>
      <c r="C166">
        <v>1300</v>
      </c>
      <c r="D166" t="s">
        <v>67</v>
      </c>
      <c r="E166" t="s">
        <v>589</v>
      </c>
      <c r="F166" t="s">
        <v>69</v>
      </c>
      <c r="H166" t="s">
        <v>592</v>
      </c>
      <c r="I166" t="s">
        <v>71</v>
      </c>
      <c r="J166" t="b">
        <v>0</v>
      </c>
      <c r="K166" t="s">
        <v>593</v>
      </c>
      <c r="L166" t="str">
        <f>_xlfn.XLOOKUP(Transactions[[#This Row],[Account ID]],Accounts[Plaid Account ID],Accounts[Name],"Not Found",0)</f>
        <v>RBC Staff Banking</v>
      </c>
      <c r="M166" t="str">
        <f>_xlfn.XLOOKUP(Transactions[[#This Row],[Account ID]],Accounts[Plaid Account ID],Accounts[Institution Name],"Not Found",0)</f>
        <v>RBC Royal Bank</v>
      </c>
      <c r="N166" t="str">
        <f>IF(Transactions[[#This Row],[Amount]]&lt;0,"credit","debit")</f>
        <v>debit</v>
      </c>
      <c r="O166" t="str" cm="1">
        <f t="array" ref="O16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6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44937</v>
      </c>
      <c r="Q166" s="3">
        <f>DATE(YEAR(Transactions[[#This Row],[Datetime]]),MONTH(Transactions[[#This Row],[Datetime]]),1)</f>
        <v>44927</v>
      </c>
      <c r="R166" t="b">
        <f ca="1">AND(Transactions[[#This Row],[Datetime]]&gt;=EDATE(MAX(Transactions[Datetime]),-6),Transactions[[#This Row],[Datetime]]&lt;=TODAY())</f>
        <v>0</v>
      </c>
      <c r="S166" s="6">
        <f ca="1">AVERAGEIFS(Transactions[Month''s Total],Transactions[Recent],TRUE,Transactions[Custom Category],Transactions[[#This Row],[Custom Category]])</f>
        <v>12758.461333333335</v>
      </c>
      <c r="T166">
        <f>SUMIFS(Transactions[Amount],Transactions[Month],Transactions[[#This Row],[Month]],Transactions[Custom Category],Transactions[[#This Row],[Custom Category]])</f>
        <v>4192.58</v>
      </c>
      <c r="U16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66">
        <f>IF(Transactions[[#This Row],[Month]]=Sel_Month,Transactions[[#This Row],[Amount]],0)</f>
        <v>0</v>
      </c>
    </row>
    <row r="167" spans="1:22" x14ac:dyDescent="0.25">
      <c r="A167" t="s">
        <v>61</v>
      </c>
      <c r="B167" t="s">
        <v>66</v>
      </c>
      <c r="C167">
        <v>516.12</v>
      </c>
      <c r="D167" t="s">
        <v>67</v>
      </c>
      <c r="E167" t="s">
        <v>589</v>
      </c>
      <c r="F167" t="s">
        <v>69</v>
      </c>
      <c r="H167" t="s">
        <v>471</v>
      </c>
      <c r="I167" t="s">
        <v>71</v>
      </c>
      <c r="J167" t="b">
        <v>0</v>
      </c>
      <c r="K167" t="s">
        <v>594</v>
      </c>
      <c r="L167" t="str">
        <f>_xlfn.XLOOKUP(Transactions[[#This Row],[Account ID]],Accounts[Plaid Account ID],Accounts[Name],"Not Found",0)</f>
        <v>RBC Staff Banking</v>
      </c>
      <c r="M167" t="str">
        <f>_xlfn.XLOOKUP(Transactions[[#This Row],[Account ID]],Accounts[Plaid Account ID],Accounts[Institution Name],"Not Found",0)</f>
        <v>RBC Royal Bank</v>
      </c>
      <c r="N167" t="str">
        <f>IF(Transactions[[#This Row],[Amount]]&lt;0,"credit","debit")</f>
        <v>debit</v>
      </c>
      <c r="O167" t="str" cm="1">
        <f t="array" ref="O16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6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44937</v>
      </c>
      <c r="Q167" s="3">
        <f>DATE(YEAR(Transactions[[#This Row],[Datetime]]),MONTH(Transactions[[#This Row],[Datetime]]),1)</f>
        <v>44927</v>
      </c>
      <c r="R167" t="b">
        <f ca="1">AND(Transactions[[#This Row],[Datetime]]&gt;=EDATE(MAX(Transactions[Datetime]),-6),Transactions[[#This Row],[Datetime]]&lt;=TODAY())</f>
        <v>0</v>
      </c>
      <c r="S167" s="6">
        <f ca="1">AVERAGEIFS(Transactions[Month''s Total],Transactions[Recent],TRUE,Transactions[Custom Category],Transactions[[#This Row],[Custom Category]])</f>
        <v>14532.989714285719</v>
      </c>
      <c r="T167">
        <f>SUMIFS(Transactions[Amount],Transactions[Month],Transactions[[#This Row],[Month]],Transactions[Custom Category],Transactions[[#This Row],[Custom Category]])</f>
        <v>3719.97</v>
      </c>
      <c r="U16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67">
        <f>IF(Transactions[[#This Row],[Month]]=Sel_Month,Transactions[[#This Row],[Amount]],0)</f>
        <v>0</v>
      </c>
    </row>
    <row r="168" spans="1:22" x14ac:dyDescent="0.25">
      <c r="A168" t="s">
        <v>61</v>
      </c>
      <c r="B168" t="s">
        <v>66</v>
      </c>
      <c r="C168">
        <v>6.95</v>
      </c>
      <c r="D168" t="s">
        <v>67</v>
      </c>
      <c r="E168" t="s">
        <v>589</v>
      </c>
      <c r="F168" t="s">
        <v>69</v>
      </c>
      <c r="H168" t="s">
        <v>474</v>
      </c>
      <c r="I168" t="s">
        <v>71</v>
      </c>
      <c r="J168" t="b">
        <v>0</v>
      </c>
      <c r="K168" t="s">
        <v>595</v>
      </c>
      <c r="L168" t="str">
        <f>_xlfn.XLOOKUP(Transactions[[#This Row],[Account ID]],Accounts[Plaid Account ID],Accounts[Name],"Not Found",0)</f>
        <v>RBC Staff Banking</v>
      </c>
      <c r="M168" t="str">
        <f>_xlfn.XLOOKUP(Transactions[[#This Row],[Account ID]],Accounts[Plaid Account ID],Accounts[Institution Name],"Not Found",0)</f>
        <v>RBC Royal Bank</v>
      </c>
      <c r="N168" t="str">
        <f>IF(Transactions[[#This Row],[Amount]]&lt;0,"credit","debit")</f>
        <v>debit</v>
      </c>
      <c r="O168" t="str" cm="1">
        <f t="array" ref="O16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6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44937</v>
      </c>
      <c r="Q168" s="3">
        <f>DATE(YEAR(Transactions[[#This Row],[Datetime]]),MONTH(Transactions[[#This Row],[Datetime]]),1)</f>
        <v>44927</v>
      </c>
      <c r="R168" t="b">
        <f ca="1">AND(Transactions[[#This Row],[Datetime]]&gt;=EDATE(MAX(Transactions[Datetime]),-6),Transactions[[#This Row],[Datetime]]&lt;=TODAY())</f>
        <v>0</v>
      </c>
      <c r="S168" s="6">
        <f ca="1">AVERAGEIFS(Transactions[Month''s Total],Transactions[Recent],TRUE,Transactions[Custom Category],Transactions[[#This Row],[Custom Category]])</f>
        <v>14532.989714285719</v>
      </c>
      <c r="T168">
        <f>SUMIFS(Transactions[Amount],Transactions[Month],Transactions[[#This Row],[Month]],Transactions[Custom Category],Transactions[[#This Row],[Custom Category]])</f>
        <v>3719.97</v>
      </c>
      <c r="U16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68">
        <f>IF(Transactions[[#This Row],[Month]]=Sel_Month,Transactions[[#This Row],[Amount]],0)</f>
        <v>0</v>
      </c>
    </row>
    <row r="169" spans="1:22" x14ac:dyDescent="0.25">
      <c r="A169" t="s">
        <v>61</v>
      </c>
      <c r="B169" t="s">
        <v>66</v>
      </c>
      <c r="C169">
        <v>-3168.96</v>
      </c>
      <c r="D169" t="s">
        <v>149</v>
      </c>
      <c r="E169" t="s">
        <v>589</v>
      </c>
      <c r="F169" t="s">
        <v>69</v>
      </c>
      <c r="H169" t="s">
        <v>596</v>
      </c>
      <c r="I169" t="s">
        <v>71</v>
      </c>
      <c r="J169" t="b">
        <v>0</v>
      </c>
      <c r="K169" t="s">
        <v>597</v>
      </c>
      <c r="L169" t="str">
        <f>_xlfn.XLOOKUP(Transactions[[#This Row],[Account ID]],Accounts[Plaid Account ID],Accounts[Name],"Not Found",0)</f>
        <v>RBC Staff Banking</v>
      </c>
      <c r="M169" t="str">
        <f>_xlfn.XLOOKUP(Transactions[[#This Row],[Account ID]],Accounts[Plaid Account ID],Accounts[Institution Name],"Not Found",0)</f>
        <v>RBC Royal Bank</v>
      </c>
      <c r="N169" t="str">
        <f>IF(Transactions[[#This Row],[Amount]]&lt;0,"credit","debit")</f>
        <v>credit</v>
      </c>
      <c r="O169" t="str" cm="1">
        <f t="array" ref="O16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6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44937</v>
      </c>
      <c r="Q169" s="3">
        <f>DATE(YEAR(Transactions[[#This Row],[Datetime]]),MONTH(Transactions[[#This Row],[Datetime]]),1)</f>
        <v>44927</v>
      </c>
      <c r="R169" t="b">
        <f ca="1">AND(Transactions[[#This Row],[Datetime]]&gt;=EDATE(MAX(Transactions[Datetime]),-6),Transactions[[#This Row],[Datetime]]&lt;=TODAY())</f>
        <v>0</v>
      </c>
      <c r="S169" s="6">
        <f ca="1">AVERAGEIFS(Transactions[Month''s Total],Transactions[Recent],TRUE,Transactions[Custom Category],Transactions[[#This Row],[Custom Category]])</f>
        <v>-18125.097037037034</v>
      </c>
      <c r="T169">
        <f>SUMIFS(Transactions[Amount],Transactions[Month],Transactions[[#This Row],[Month]],Transactions[Custom Category],Transactions[[#This Row],[Custom Category]])</f>
        <v>-7225.5599999999995</v>
      </c>
      <c r="U169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69">
        <f>IF(Transactions[[#This Row],[Month]]=Sel_Month,Transactions[[#This Row],[Amount]],0)</f>
        <v>0</v>
      </c>
    </row>
    <row r="170" spans="1:22" x14ac:dyDescent="0.25">
      <c r="A170" t="s">
        <v>61</v>
      </c>
      <c r="B170" t="s">
        <v>66</v>
      </c>
      <c r="C170">
        <v>160</v>
      </c>
      <c r="D170" t="s">
        <v>67</v>
      </c>
      <c r="E170" t="s">
        <v>584</v>
      </c>
      <c r="F170" t="s">
        <v>69</v>
      </c>
      <c r="H170" t="s">
        <v>585</v>
      </c>
      <c r="I170" t="s">
        <v>71</v>
      </c>
      <c r="J170" t="b">
        <v>0</v>
      </c>
      <c r="K170" t="s">
        <v>586</v>
      </c>
      <c r="L170" t="str">
        <f>_xlfn.XLOOKUP(Transactions[[#This Row],[Account ID]],Accounts[Plaid Account ID],Accounts[Name],"Not Found",0)</f>
        <v>RBC Staff Banking</v>
      </c>
      <c r="M170" t="str">
        <f>_xlfn.XLOOKUP(Transactions[[#This Row],[Account ID]],Accounts[Plaid Account ID],Accounts[Institution Name],"Not Found",0)</f>
        <v>RBC Royal Bank</v>
      </c>
      <c r="N170" t="str">
        <f>IF(Transactions[[#This Row],[Amount]]&lt;0,"credit","debit")</f>
        <v>debit</v>
      </c>
      <c r="O170" t="str" cm="1">
        <f t="array" ref="O17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7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44944</v>
      </c>
      <c r="Q170" s="3">
        <f>DATE(YEAR(Transactions[[#This Row],[Datetime]]),MONTH(Transactions[[#This Row],[Datetime]]),1)</f>
        <v>44927</v>
      </c>
      <c r="R170" t="b">
        <f ca="1">AND(Transactions[[#This Row],[Datetime]]&gt;=EDATE(MAX(Transactions[Datetime]),-6),Transactions[[#This Row],[Datetime]]&lt;=TODAY())</f>
        <v>0</v>
      </c>
      <c r="S170" s="6">
        <f ca="1">AVERAGEIFS(Transactions[Month''s Total],Transactions[Recent],TRUE,Transactions[Custom Category],Transactions[[#This Row],[Custom Category]])</f>
        <v>12758.461333333335</v>
      </c>
      <c r="T170">
        <f>SUMIFS(Transactions[Amount],Transactions[Month],Transactions[[#This Row],[Month]],Transactions[Custom Category],Transactions[[#This Row],[Custom Category]])</f>
        <v>4192.58</v>
      </c>
      <c r="U17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70">
        <f>IF(Transactions[[#This Row],[Month]]=Sel_Month,Transactions[[#This Row],[Amount]],0)</f>
        <v>0</v>
      </c>
    </row>
    <row r="171" spans="1:22" x14ac:dyDescent="0.25">
      <c r="A171" t="s">
        <v>61</v>
      </c>
      <c r="B171" t="s">
        <v>66</v>
      </c>
      <c r="C171">
        <v>-160</v>
      </c>
      <c r="D171" t="s">
        <v>99</v>
      </c>
      <c r="E171" t="s">
        <v>584</v>
      </c>
      <c r="F171" t="s">
        <v>69</v>
      </c>
      <c r="H171" t="s">
        <v>587</v>
      </c>
      <c r="I171" t="s">
        <v>71</v>
      </c>
      <c r="J171" t="b">
        <v>0</v>
      </c>
      <c r="K171" t="s">
        <v>588</v>
      </c>
      <c r="L171" t="str">
        <f>_xlfn.XLOOKUP(Transactions[[#This Row],[Account ID]],Accounts[Plaid Account ID],Accounts[Name],"Not Found",0)</f>
        <v>RBC Staff Banking</v>
      </c>
      <c r="M171" t="str">
        <f>_xlfn.XLOOKUP(Transactions[[#This Row],[Account ID]],Accounts[Plaid Account ID],Accounts[Institution Name],"Not Found",0)</f>
        <v>RBC Royal Bank</v>
      </c>
      <c r="N171" t="str">
        <f>IF(Transactions[[#This Row],[Amount]]&lt;0,"credit","debit")</f>
        <v>credit</v>
      </c>
      <c r="O171" t="str" cm="1">
        <f t="array" ref="O17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7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44944</v>
      </c>
      <c r="Q171" s="3">
        <f>DATE(YEAR(Transactions[[#This Row],[Datetime]]),MONTH(Transactions[[#This Row],[Datetime]]),1)</f>
        <v>44927</v>
      </c>
      <c r="R171" t="b">
        <f ca="1">AND(Transactions[[#This Row],[Datetime]]&gt;=EDATE(MAX(Transactions[Datetime]),-6),Transactions[[#This Row],[Datetime]]&lt;=TODAY())</f>
        <v>0</v>
      </c>
      <c r="S171" s="6">
        <f ca="1">AVERAGEIFS(Transactions[Month''s Total],Transactions[Recent],TRUE,Transactions[Custom Category],Transactions[[#This Row],[Custom Category]])</f>
        <v>14532.989714285719</v>
      </c>
      <c r="T171">
        <f>SUMIFS(Transactions[Amount],Transactions[Month],Transactions[[#This Row],[Month]],Transactions[Custom Category],Transactions[[#This Row],[Custom Category]])</f>
        <v>3719.97</v>
      </c>
      <c r="U17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71">
        <f>IF(Transactions[[#This Row],[Month]]=Sel_Month,Transactions[[#This Row],[Amount]],0)</f>
        <v>0</v>
      </c>
    </row>
    <row r="172" spans="1:22" x14ac:dyDescent="0.25">
      <c r="A172" t="s">
        <v>61</v>
      </c>
      <c r="B172" t="s">
        <v>66</v>
      </c>
      <c r="C172">
        <v>-15</v>
      </c>
      <c r="D172" t="s">
        <v>99</v>
      </c>
      <c r="E172" t="s">
        <v>581</v>
      </c>
      <c r="F172" t="s">
        <v>69</v>
      </c>
      <c r="H172" t="s">
        <v>582</v>
      </c>
      <c r="I172" t="s">
        <v>71</v>
      </c>
      <c r="J172" t="b">
        <v>0</v>
      </c>
      <c r="K172" t="s">
        <v>583</v>
      </c>
      <c r="L172" t="str">
        <f>_xlfn.XLOOKUP(Transactions[[#This Row],[Account ID]],Accounts[Plaid Account ID],Accounts[Name],"Not Found",0)</f>
        <v>RBC Staff Banking</v>
      </c>
      <c r="M172" t="str">
        <f>_xlfn.XLOOKUP(Transactions[[#This Row],[Account ID]],Accounts[Plaid Account ID],Accounts[Institution Name],"Not Found",0)</f>
        <v>RBC Royal Bank</v>
      </c>
      <c r="N172" t="str">
        <f>IF(Transactions[[#This Row],[Amount]]&lt;0,"credit","debit")</f>
        <v>credit</v>
      </c>
      <c r="O172" t="str" cm="1">
        <f t="array" ref="O17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17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44948</v>
      </c>
      <c r="Q172" s="3">
        <f>DATE(YEAR(Transactions[[#This Row],[Datetime]]),MONTH(Transactions[[#This Row],[Datetime]]),1)</f>
        <v>44927</v>
      </c>
      <c r="R172" t="b">
        <f ca="1">AND(Transactions[[#This Row],[Datetime]]&gt;=EDATE(MAX(Transactions[Datetime]),-6),Transactions[[#This Row],[Datetime]]&lt;=TODAY())</f>
        <v>0</v>
      </c>
      <c r="S172" s="6">
        <f ca="1">AVERAGEIFS(Transactions[Month''s Total],Transactions[Recent],TRUE,Transactions[Custom Category],Transactions[[#This Row],[Custom Category]])</f>
        <v>-3209.0714285714284</v>
      </c>
      <c r="T172">
        <f>SUMIFS(Transactions[Amount],Transactions[Month],Transactions[[#This Row],[Month]],Transactions[Custom Category],Transactions[[#This Row],[Custom Category]])</f>
        <v>-860</v>
      </c>
      <c r="U172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172">
        <f>IF(Transactions[[#This Row],[Month]]=Sel_Month,Transactions[[#This Row],[Amount]],0)</f>
        <v>0</v>
      </c>
    </row>
    <row r="173" spans="1:22" x14ac:dyDescent="0.25">
      <c r="A173" t="s">
        <v>61</v>
      </c>
      <c r="B173" t="s">
        <v>66</v>
      </c>
      <c r="C173">
        <v>15</v>
      </c>
      <c r="D173" t="s">
        <v>67</v>
      </c>
      <c r="E173" t="s">
        <v>578</v>
      </c>
      <c r="F173" t="s">
        <v>69</v>
      </c>
      <c r="H173" t="s">
        <v>579</v>
      </c>
      <c r="I173" t="s">
        <v>71</v>
      </c>
      <c r="J173" t="b">
        <v>0</v>
      </c>
      <c r="K173" t="s">
        <v>580</v>
      </c>
      <c r="L173" t="str">
        <f>_xlfn.XLOOKUP(Transactions[[#This Row],[Account ID]],Accounts[Plaid Account ID],Accounts[Name],"Not Found",0)</f>
        <v>RBC Staff Banking</v>
      </c>
      <c r="M173" t="str">
        <f>_xlfn.XLOOKUP(Transactions[[#This Row],[Account ID]],Accounts[Plaid Account ID],Accounts[Institution Name],"Not Found",0)</f>
        <v>RBC Royal Bank</v>
      </c>
      <c r="N173" t="str">
        <f>IF(Transactions[[#This Row],[Amount]]&lt;0,"credit","debit")</f>
        <v>debit</v>
      </c>
      <c r="O173" t="str" cm="1">
        <f t="array" ref="O17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7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44970</v>
      </c>
      <c r="Q173" s="3">
        <f>DATE(YEAR(Transactions[[#This Row],[Datetime]]),MONTH(Transactions[[#This Row],[Datetime]]),1)</f>
        <v>44958</v>
      </c>
      <c r="R173" t="b">
        <f ca="1">AND(Transactions[[#This Row],[Datetime]]&gt;=EDATE(MAX(Transactions[Datetime]),-6),Transactions[[#This Row],[Datetime]]&lt;=TODAY())</f>
        <v>0</v>
      </c>
      <c r="S173" s="6">
        <f ca="1">AVERAGEIFS(Transactions[Month''s Total],Transactions[Recent],TRUE,Transactions[Custom Category],Transactions[[#This Row],[Custom Category]])</f>
        <v>12758.461333333335</v>
      </c>
      <c r="T173">
        <f>SUMIFS(Transactions[Amount],Transactions[Month],Transactions[[#This Row],[Month]],Transactions[Custom Category],Transactions[[#This Row],[Custom Category]])</f>
        <v>2155</v>
      </c>
      <c r="U173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73">
        <f>IF(Transactions[[#This Row],[Month]]=Sel_Month,Transactions[[#This Row],[Amount]],0)</f>
        <v>0</v>
      </c>
    </row>
    <row r="174" spans="1:22" x14ac:dyDescent="0.25">
      <c r="A174" t="s">
        <v>61</v>
      </c>
      <c r="B174" t="s">
        <v>66</v>
      </c>
      <c r="C174">
        <v>2140</v>
      </c>
      <c r="D174" t="s">
        <v>67</v>
      </c>
      <c r="E174" t="s">
        <v>573</v>
      </c>
      <c r="F174" t="s">
        <v>69</v>
      </c>
      <c r="H174" t="s">
        <v>574</v>
      </c>
      <c r="I174" t="s">
        <v>71</v>
      </c>
      <c r="J174" t="b">
        <v>0</v>
      </c>
      <c r="K174" t="s">
        <v>575</v>
      </c>
      <c r="L174" t="str">
        <f>_xlfn.XLOOKUP(Transactions[[#This Row],[Account ID]],Accounts[Plaid Account ID],Accounts[Name],"Not Found",0)</f>
        <v>RBC Staff Banking</v>
      </c>
      <c r="M174" t="str">
        <f>_xlfn.XLOOKUP(Transactions[[#This Row],[Account ID]],Accounts[Plaid Account ID],Accounts[Institution Name],"Not Found",0)</f>
        <v>RBC Royal Bank</v>
      </c>
      <c r="N174" t="str">
        <f>IF(Transactions[[#This Row],[Amount]]&lt;0,"credit","debit")</f>
        <v>debit</v>
      </c>
      <c r="O174" t="str" cm="1">
        <f t="array" ref="O17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7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44978</v>
      </c>
      <c r="Q174" s="3">
        <f>DATE(YEAR(Transactions[[#This Row],[Datetime]]),MONTH(Transactions[[#This Row],[Datetime]]),1)</f>
        <v>44958</v>
      </c>
      <c r="R174" t="b">
        <f ca="1">AND(Transactions[[#This Row],[Datetime]]&gt;=EDATE(MAX(Transactions[Datetime]),-6),Transactions[[#This Row],[Datetime]]&lt;=TODAY())</f>
        <v>0</v>
      </c>
      <c r="S174" s="6">
        <f ca="1">AVERAGEIFS(Transactions[Month''s Total],Transactions[Recent],TRUE,Transactions[Custom Category],Transactions[[#This Row],[Custom Category]])</f>
        <v>12758.461333333335</v>
      </c>
      <c r="T174">
        <f>SUMIFS(Transactions[Amount],Transactions[Month],Transactions[[#This Row],[Month]],Transactions[Custom Category],Transactions[[#This Row],[Custom Category]])</f>
        <v>2155</v>
      </c>
      <c r="U17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74">
        <f>IF(Transactions[[#This Row],[Month]]=Sel_Month,Transactions[[#This Row],[Amount]],0)</f>
        <v>0</v>
      </c>
    </row>
    <row r="175" spans="1:22" x14ac:dyDescent="0.25">
      <c r="A175" t="s">
        <v>61</v>
      </c>
      <c r="B175" t="s">
        <v>66</v>
      </c>
      <c r="C175">
        <v>-2140</v>
      </c>
      <c r="D175" t="s">
        <v>99</v>
      </c>
      <c r="E175" t="s">
        <v>573</v>
      </c>
      <c r="F175" t="s">
        <v>69</v>
      </c>
      <c r="H175" t="s">
        <v>576</v>
      </c>
      <c r="I175" t="s">
        <v>71</v>
      </c>
      <c r="J175" t="b">
        <v>0</v>
      </c>
      <c r="K175" t="s">
        <v>577</v>
      </c>
      <c r="L175" t="str">
        <f>_xlfn.XLOOKUP(Transactions[[#This Row],[Account ID]],Accounts[Plaid Account ID],Accounts[Name],"Not Found",0)</f>
        <v>RBC Staff Banking</v>
      </c>
      <c r="M175" t="str">
        <f>_xlfn.XLOOKUP(Transactions[[#This Row],[Account ID]],Accounts[Plaid Account ID],Accounts[Institution Name],"Not Found",0)</f>
        <v>RBC Royal Bank</v>
      </c>
      <c r="N175" t="str">
        <f>IF(Transactions[[#This Row],[Amount]]&lt;0,"credit","debit")</f>
        <v>credit</v>
      </c>
      <c r="O175" t="str" cm="1">
        <f t="array" ref="O17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7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44978</v>
      </c>
      <c r="Q175" s="3">
        <f>DATE(YEAR(Transactions[[#This Row],[Datetime]]),MONTH(Transactions[[#This Row],[Datetime]]),1)</f>
        <v>44958</v>
      </c>
      <c r="R175" t="b">
        <f ca="1">AND(Transactions[[#This Row],[Datetime]]&gt;=EDATE(MAX(Transactions[Datetime]),-6),Transactions[[#This Row],[Datetime]]&lt;=TODAY())</f>
        <v>0</v>
      </c>
      <c r="S175" s="6">
        <f ca="1">AVERAGEIFS(Transactions[Month''s Total],Transactions[Recent],TRUE,Transactions[Custom Category],Transactions[[#This Row],[Custom Category]])</f>
        <v>14532.989714285719</v>
      </c>
      <c r="T175">
        <f>SUMIFS(Transactions[Amount],Transactions[Month],Transactions[[#This Row],[Month]],Transactions[Custom Category],Transactions[[#This Row],[Custom Category]])</f>
        <v>-2140</v>
      </c>
      <c r="U17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75">
        <f>IF(Transactions[[#This Row],[Month]]=Sel_Month,Transactions[[#This Row],[Amount]],0)</f>
        <v>0</v>
      </c>
    </row>
    <row r="176" spans="1:22" x14ac:dyDescent="0.25">
      <c r="A176" t="s">
        <v>61</v>
      </c>
      <c r="B176" t="s">
        <v>66</v>
      </c>
      <c r="C176">
        <v>352.03</v>
      </c>
      <c r="D176" t="s">
        <v>67</v>
      </c>
      <c r="E176" t="s">
        <v>568</v>
      </c>
      <c r="F176" t="s">
        <v>69</v>
      </c>
      <c r="H176" t="s">
        <v>569</v>
      </c>
      <c r="I176" t="s">
        <v>71</v>
      </c>
      <c r="J176" t="b">
        <v>0</v>
      </c>
      <c r="K176" t="s">
        <v>570</v>
      </c>
      <c r="L176" t="str">
        <f>_xlfn.XLOOKUP(Transactions[[#This Row],[Account ID]],Accounts[Plaid Account ID],Accounts[Name],"Not Found",0)</f>
        <v>RBC Staff Banking</v>
      </c>
      <c r="M176" t="str">
        <f>_xlfn.XLOOKUP(Transactions[[#This Row],[Account ID]],Accounts[Plaid Account ID],Accounts[Institution Name],"Not Found",0)</f>
        <v>RBC Royal Bank</v>
      </c>
      <c r="N176" t="str">
        <f>IF(Transactions[[#This Row],[Amount]]&lt;0,"credit","debit")</f>
        <v>debit</v>
      </c>
      <c r="O176" t="str" cm="1">
        <f t="array" ref="O17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7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44986</v>
      </c>
      <c r="Q176" s="3">
        <f>DATE(YEAR(Transactions[[#This Row],[Datetime]]),MONTH(Transactions[[#This Row],[Datetime]]),1)</f>
        <v>44986</v>
      </c>
      <c r="R176" t="b">
        <f ca="1">AND(Transactions[[#This Row],[Datetime]]&gt;=EDATE(MAX(Transactions[Datetime]),-6),Transactions[[#This Row],[Datetime]]&lt;=TODAY())</f>
        <v>0</v>
      </c>
      <c r="S176" s="6">
        <f ca="1">AVERAGEIFS(Transactions[Month''s Total],Transactions[Recent],TRUE,Transactions[Custom Category],Transactions[[#This Row],[Custom Category]])</f>
        <v>14532.989714285719</v>
      </c>
      <c r="T176">
        <f>SUMIFS(Transactions[Amount],Transactions[Month],Transactions[[#This Row],[Month]],Transactions[Custom Category],Transactions[[#This Row],[Custom Category]])</f>
        <v>-1714.97</v>
      </c>
      <c r="U17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76">
        <f>IF(Transactions[[#This Row],[Month]]=Sel_Month,Transactions[[#This Row],[Amount]],0)</f>
        <v>0</v>
      </c>
    </row>
    <row r="177" spans="1:22" x14ac:dyDescent="0.25">
      <c r="A177" t="s">
        <v>61</v>
      </c>
      <c r="B177" t="s">
        <v>66</v>
      </c>
      <c r="C177">
        <v>-352.03</v>
      </c>
      <c r="D177" t="s">
        <v>99</v>
      </c>
      <c r="E177" t="s">
        <v>568</v>
      </c>
      <c r="F177" t="s">
        <v>69</v>
      </c>
      <c r="H177" t="s">
        <v>571</v>
      </c>
      <c r="I177" t="s">
        <v>71</v>
      </c>
      <c r="J177" t="b">
        <v>0</v>
      </c>
      <c r="K177" t="s">
        <v>572</v>
      </c>
      <c r="L177" t="str">
        <f>_xlfn.XLOOKUP(Transactions[[#This Row],[Account ID]],Accounts[Plaid Account ID],Accounts[Name],"Not Found",0)</f>
        <v>RBC Staff Banking</v>
      </c>
      <c r="M177" t="str">
        <f>_xlfn.XLOOKUP(Transactions[[#This Row],[Account ID]],Accounts[Plaid Account ID],Accounts[Institution Name],"Not Found",0)</f>
        <v>RBC Royal Bank</v>
      </c>
      <c r="N177" t="str">
        <f>IF(Transactions[[#This Row],[Amount]]&lt;0,"credit","debit")</f>
        <v>credit</v>
      </c>
      <c r="O177" t="str" cm="1">
        <f t="array" ref="O17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7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44986</v>
      </c>
      <c r="Q177" s="3">
        <f>DATE(YEAR(Transactions[[#This Row],[Datetime]]),MONTH(Transactions[[#This Row],[Datetime]]),1)</f>
        <v>44986</v>
      </c>
      <c r="R177" t="b">
        <f ca="1">AND(Transactions[[#This Row],[Datetime]]&gt;=EDATE(MAX(Transactions[Datetime]),-6),Transactions[[#This Row],[Datetime]]&lt;=TODAY())</f>
        <v>0</v>
      </c>
      <c r="S177" s="6">
        <f ca="1">AVERAGEIFS(Transactions[Month''s Total],Transactions[Recent],TRUE,Transactions[Custom Category],Transactions[[#This Row],[Custom Category]])</f>
        <v>-18125.097037037034</v>
      </c>
      <c r="T177">
        <f>SUMIFS(Transactions[Amount],Transactions[Month],Transactions[[#This Row],[Month]],Transactions[Custom Category],Transactions[[#This Row],[Custom Category]])</f>
        <v>-352.03</v>
      </c>
      <c r="U17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77">
        <f>IF(Transactions[[#This Row],[Month]]=Sel_Month,Transactions[[#This Row],[Amount]],0)</f>
        <v>0</v>
      </c>
    </row>
    <row r="178" spans="1:22" x14ac:dyDescent="0.25">
      <c r="A178" t="s">
        <v>61</v>
      </c>
      <c r="B178" t="s">
        <v>66</v>
      </c>
      <c r="C178">
        <v>2067</v>
      </c>
      <c r="D178" t="s">
        <v>67</v>
      </c>
      <c r="E178" t="s">
        <v>563</v>
      </c>
      <c r="F178" t="s">
        <v>69</v>
      </c>
      <c r="H178" t="s">
        <v>564</v>
      </c>
      <c r="I178" t="s">
        <v>71</v>
      </c>
      <c r="J178" t="b">
        <v>0</v>
      </c>
      <c r="K178" t="s">
        <v>565</v>
      </c>
      <c r="L178" t="str">
        <f>_xlfn.XLOOKUP(Transactions[[#This Row],[Account ID]],Accounts[Plaid Account ID],Accounts[Name],"Not Found",0)</f>
        <v>RBC Staff Banking</v>
      </c>
      <c r="M178" t="str">
        <f>_xlfn.XLOOKUP(Transactions[[#This Row],[Account ID]],Accounts[Plaid Account ID],Accounts[Institution Name],"Not Found",0)</f>
        <v>RBC Royal Bank</v>
      </c>
      <c r="N178" t="str">
        <f>IF(Transactions[[#This Row],[Amount]]&lt;0,"credit","debit")</f>
        <v>debit</v>
      </c>
      <c r="O178" t="str" cm="1">
        <f t="array" ref="O17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7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45007</v>
      </c>
      <c r="Q178" s="3">
        <f>DATE(YEAR(Transactions[[#This Row],[Datetime]]),MONTH(Transactions[[#This Row],[Datetime]]),1)</f>
        <v>44986</v>
      </c>
      <c r="R178" t="b">
        <f ca="1">AND(Transactions[[#This Row],[Datetime]]&gt;=EDATE(MAX(Transactions[Datetime]),-6),Transactions[[#This Row],[Datetime]]&lt;=TODAY())</f>
        <v>0</v>
      </c>
      <c r="S178" s="6">
        <f ca="1">AVERAGEIFS(Transactions[Month''s Total],Transactions[Recent],TRUE,Transactions[Custom Category],Transactions[[#This Row],[Custom Category]])</f>
        <v>12758.461333333335</v>
      </c>
      <c r="T178">
        <f>SUMIFS(Transactions[Amount],Transactions[Month],Transactions[[#This Row],[Month]],Transactions[Custom Category],Transactions[[#This Row],[Custom Category]])</f>
        <v>2067</v>
      </c>
      <c r="U17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78">
        <f>IF(Transactions[[#This Row],[Month]]=Sel_Month,Transactions[[#This Row],[Amount]],0)</f>
        <v>0</v>
      </c>
    </row>
    <row r="179" spans="1:22" x14ac:dyDescent="0.25">
      <c r="A179" t="s">
        <v>61</v>
      </c>
      <c r="B179" t="s">
        <v>66</v>
      </c>
      <c r="C179">
        <v>-2067</v>
      </c>
      <c r="D179" t="s">
        <v>99</v>
      </c>
      <c r="E179" t="s">
        <v>563</v>
      </c>
      <c r="F179" t="s">
        <v>69</v>
      </c>
      <c r="H179" t="s">
        <v>566</v>
      </c>
      <c r="I179" t="s">
        <v>71</v>
      </c>
      <c r="J179" t="b">
        <v>0</v>
      </c>
      <c r="K179" t="s">
        <v>567</v>
      </c>
      <c r="L179" t="str">
        <f>_xlfn.XLOOKUP(Transactions[[#This Row],[Account ID]],Accounts[Plaid Account ID],Accounts[Name],"Not Found",0)</f>
        <v>RBC Staff Banking</v>
      </c>
      <c r="M179" t="str">
        <f>_xlfn.XLOOKUP(Transactions[[#This Row],[Account ID]],Accounts[Plaid Account ID],Accounts[Institution Name],"Not Found",0)</f>
        <v>RBC Royal Bank</v>
      </c>
      <c r="N179" t="str">
        <f>IF(Transactions[[#This Row],[Amount]]&lt;0,"credit","debit")</f>
        <v>credit</v>
      </c>
      <c r="O179" t="str" cm="1">
        <f t="array" ref="O17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7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45007</v>
      </c>
      <c r="Q179" s="3">
        <f>DATE(YEAR(Transactions[[#This Row],[Datetime]]),MONTH(Transactions[[#This Row],[Datetime]]),1)</f>
        <v>44986</v>
      </c>
      <c r="R179" t="b">
        <f ca="1">AND(Transactions[[#This Row],[Datetime]]&gt;=EDATE(MAX(Transactions[Datetime]),-6),Transactions[[#This Row],[Datetime]]&lt;=TODAY())</f>
        <v>0</v>
      </c>
      <c r="S179" s="6">
        <f ca="1">AVERAGEIFS(Transactions[Month''s Total],Transactions[Recent],TRUE,Transactions[Custom Category],Transactions[[#This Row],[Custom Category]])</f>
        <v>14532.989714285719</v>
      </c>
      <c r="T179">
        <f>SUMIFS(Transactions[Amount],Transactions[Month],Transactions[[#This Row],[Month]],Transactions[Custom Category],Transactions[[#This Row],[Custom Category]])</f>
        <v>-1714.97</v>
      </c>
      <c r="U17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79">
        <f>IF(Transactions[[#This Row],[Month]]=Sel_Month,Transactions[[#This Row],[Amount]],0)</f>
        <v>0</v>
      </c>
    </row>
    <row r="180" spans="1:22" x14ac:dyDescent="0.25">
      <c r="A180" t="s">
        <v>61</v>
      </c>
      <c r="B180" t="s">
        <v>66</v>
      </c>
      <c r="C180">
        <v>1571.42</v>
      </c>
      <c r="D180" t="s">
        <v>67</v>
      </c>
      <c r="E180" t="s">
        <v>558</v>
      </c>
      <c r="F180" t="s">
        <v>69</v>
      </c>
      <c r="H180" t="s">
        <v>559</v>
      </c>
      <c r="I180" t="s">
        <v>71</v>
      </c>
      <c r="J180" t="b">
        <v>0</v>
      </c>
      <c r="K180" t="s">
        <v>560</v>
      </c>
      <c r="L180" t="str">
        <f>_xlfn.XLOOKUP(Transactions[[#This Row],[Account ID]],Accounts[Plaid Account ID],Accounts[Name],"Not Found",0)</f>
        <v>RBC Staff Banking</v>
      </c>
      <c r="M180" t="str">
        <f>_xlfn.XLOOKUP(Transactions[[#This Row],[Account ID]],Accounts[Plaid Account ID],Accounts[Institution Name],"Not Found",0)</f>
        <v>RBC Royal Bank</v>
      </c>
      <c r="N180" t="str">
        <f>IF(Transactions[[#This Row],[Amount]]&lt;0,"credit","debit")</f>
        <v>debit</v>
      </c>
      <c r="O180" t="str" cm="1">
        <f t="array" ref="O18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8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45032</v>
      </c>
      <c r="Q180" s="3">
        <f>DATE(YEAR(Transactions[[#This Row],[Datetime]]),MONTH(Transactions[[#This Row],[Datetime]]),1)</f>
        <v>45017</v>
      </c>
      <c r="R180" t="b">
        <f ca="1">AND(Transactions[[#This Row],[Datetime]]&gt;=EDATE(MAX(Transactions[Datetime]),-6),Transactions[[#This Row],[Datetime]]&lt;=TODAY())</f>
        <v>0</v>
      </c>
      <c r="S180" s="6">
        <f ca="1">AVERAGEIFS(Transactions[Month''s Total],Transactions[Recent],TRUE,Transactions[Custom Category],Transactions[[#This Row],[Custom Category]])</f>
        <v>12758.461333333335</v>
      </c>
      <c r="T180">
        <f>SUMIFS(Transactions[Amount],Transactions[Month],Transactions[[#This Row],[Month]],Transactions[Custom Category],Transactions[[#This Row],[Custom Category]])</f>
        <v>1571.42</v>
      </c>
      <c r="U18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80">
        <f>IF(Transactions[[#This Row],[Month]]=Sel_Month,Transactions[[#This Row],[Amount]],0)</f>
        <v>0</v>
      </c>
    </row>
    <row r="181" spans="1:22" x14ac:dyDescent="0.25">
      <c r="A181" t="s">
        <v>61</v>
      </c>
      <c r="B181" t="s">
        <v>66</v>
      </c>
      <c r="C181">
        <v>-1571.42</v>
      </c>
      <c r="D181" t="s">
        <v>99</v>
      </c>
      <c r="E181" t="s">
        <v>558</v>
      </c>
      <c r="F181" t="s">
        <v>69</v>
      </c>
      <c r="H181" t="s">
        <v>561</v>
      </c>
      <c r="I181" t="s">
        <v>71</v>
      </c>
      <c r="J181" t="b">
        <v>0</v>
      </c>
      <c r="K181" t="s">
        <v>562</v>
      </c>
      <c r="L181" t="str">
        <f>_xlfn.XLOOKUP(Transactions[[#This Row],[Account ID]],Accounts[Plaid Account ID],Accounts[Name],"Not Found",0)</f>
        <v>RBC Staff Banking</v>
      </c>
      <c r="M181" t="str">
        <f>_xlfn.XLOOKUP(Transactions[[#This Row],[Account ID]],Accounts[Plaid Account ID],Accounts[Institution Name],"Not Found",0)</f>
        <v>RBC Royal Bank</v>
      </c>
      <c r="N181" t="str">
        <f>IF(Transactions[[#This Row],[Amount]]&lt;0,"credit","debit")</f>
        <v>credit</v>
      </c>
      <c r="O181" t="str" cm="1">
        <f t="array" ref="O18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8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45032</v>
      </c>
      <c r="Q181" s="3">
        <f>DATE(YEAR(Transactions[[#This Row],[Datetime]]),MONTH(Transactions[[#This Row],[Datetime]]),1)</f>
        <v>45017</v>
      </c>
      <c r="R181" t="b">
        <f ca="1">AND(Transactions[[#This Row],[Datetime]]&gt;=EDATE(MAX(Transactions[Datetime]),-6),Transactions[[#This Row],[Datetime]]&lt;=TODAY())</f>
        <v>0</v>
      </c>
      <c r="S181" s="6">
        <f ca="1">AVERAGEIFS(Transactions[Month''s Total],Transactions[Recent],TRUE,Transactions[Custom Category],Transactions[[#This Row],[Custom Category]])</f>
        <v>14532.989714285719</v>
      </c>
      <c r="T181">
        <f>SUMIFS(Transactions[Amount],Transactions[Month],Transactions[[#This Row],[Month]],Transactions[Custom Category],Transactions[[#This Row],[Custom Category]])</f>
        <v>-1571.42</v>
      </c>
      <c r="U18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81">
        <f>IF(Transactions[[#This Row],[Month]]=Sel_Month,Transactions[[#This Row],[Amount]],0)</f>
        <v>0</v>
      </c>
    </row>
    <row r="182" spans="1:22" x14ac:dyDescent="0.25">
      <c r="A182" t="s">
        <v>61</v>
      </c>
      <c r="B182" t="s">
        <v>66</v>
      </c>
      <c r="C182">
        <v>-1577</v>
      </c>
      <c r="D182" t="s">
        <v>99</v>
      </c>
      <c r="E182" t="s">
        <v>555</v>
      </c>
      <c r="F182" t="s">
        <v>69</v>
      </c>
      <c r="H182" t="s">
        <v>556</v>
      </c>
      <c r="I182" t="s">
        <v>71</v>
      </c>
      <c r="J182" t="b">
        <v>0</v>
      </c>
      <c r="K182" t="s">
        <v>557</v>
      </c>
      <c r="L182" t="str">
        <f>_xlfn.XLOOKUP(Transactions[[#This Row],[Account ID]],Accounts[Plaid Account ID],Accounts[Name],"Not Found",0)</f>
        <v>RBC Staff Banking</v>
      </c>
      <c r="M182" t="str">
        <f>_xlfn.XLOOKUP(Transactions[[#This Row],[Account ID]],Accounts[Plaid Account ID],Accounts[Institution Name],"Not Found",0)</f>
        <v>RBC Royal Bank</v>
      </c>
      <c r="N182" t="str">
        <f>IF(Transactions[[#This Row],[Amount]]&lt;0,"credit","debit")</f>
        <v>credit</v>
      </c>
      <c r="O182" t="str" cm="1">
        <f t="array" ref="O18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8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45068</v>
      </c>
      <c r="Q182" s="3">
        <f>DATE(YEAR(Transactions[[#This Row],[Datetime]]),MONTH(Transactions[[#This Row],[Datetime]]),1)</f>
        <v>45047</v>
      </c>
      <c r="R182" t="b">
        <f ca="1">AND(Transactions[[#This Row],[Datetime]]&gt;=EDATE(MAX(Transactions[Datetime]),-6),Transactions[[#This Row],[Datetime]]&lt;=TODAY())</f>
        <v>0</v>
      </c>
      <c r="S182" s="6">
        <f ca="1">AVERAGEIFS(Transactions[Month''s Total],Transactions[Recent],TRUE,Transactions[Custom Category],Transactions[[#This Row],[Custom Category]])</f>
        <v>14532.989714285719</v>
      </c>
      <c r="T182">
        <f>SUMIFS(Transactions[Amount],Transactions[Month],Transactions[[#This Row],[Month]],Transactions[Custom Category],Transactions[[#This Row],[Custom Category]])</f>
        <v>-1577</v>
      </c>
      <c r="U18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82">
        <f>IF(Transactions[[#This Row],[Month]]=Sel_Month,Transactions[[#This Row],[Amount]],0)</f>
        <v>0</v>
      </c>
    </row>
    <row r="183" spans="1:22" x14ac:dyDescent="0.25">
      <c r="A183" t="s">
        <v>61</v>
      </c>
      <c r="B183" t="s">
        <v>66</v>
      </c>
      <c r="C183">
        <v>1577</v>
      </c>
      <c r="D183" t="s">
        <v>67</v>
      </c>
      <c r="E183" t="s">
        <v>552</v>
      </c>
      <c r="F183" t="s">
        <v>69</v>
      </c>
      <c r="H183" t="s">
        <v>553</v>
      </c>
      <c r="I183" t="s">
        <v>71</v>
      </c>
      <c r="J183" t="b">
        <v>0</v>
      </c>
      <c r="K183" t="s">
        <v>554</v>
      </c>
      <c r="L183" t="str">
        <f>_xlfn.XLOOKUP(Transactions[[#This Row],[Account ID]],Accounts[Plaid Account ID],Accounts[Name],"Not Found",0)</f>
        <v>RBC Staff Banking</v>
      </c>
      <c r="M183" t="str">
        <f>_xlfn.XLOOKUP(Transactions[[#This Row],[Account ID]],Accounts[Plaid Account ID],Accounts[Institution Name],"Not Found",0)</f>
        <v>RBC Royal Bank</v>
      </c>
      <c r="N183" t="str">
        <f>IF(Transactions[[#This Row],[Amount]]&lt;0,"credit","debit")</f>
        <v>debit</v>
      </c>
      <c r="O183" t="str" cm="1">
        <f t="array" ref="O18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8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45069</v>
      </c>
      <c r="Q183" s="3">
        <f>DATE(YEAR(Transactions[[#This Row],[Datetime]]),MONTH(Transactions[[#This Row],[Datetime]]),1)</f>
        <v>45047</v>
      </c>
      <c r="R183" t="b">
        <f ca="1">AND(Transactions[[#This Row],[Datetime]]&gt;=EDATE(MAX(Transactions[Datetime]),-6),Transactions[[#This Row],[Datetime]]&lt;=TODAY())</f>
        <v>0</v>
      </c>
      <c r="S183" s="6">
        <f ca="1">AVERAGEIFS(Transactions[Month''s Total],Transactions[Recent],TRUE,Transactions[Custom Category],Transactions[[#This Row],[Custom Category]])</f>
        <v>12758.461333333335</v>
      </c>
      <c r="T183">
        <f>SUMIFS(Transactions[Amount],Transactions[Month],Transactions[[#This Row],[Month]],Transactions[Custom Category],Transactions[[#This Row],[Custom Category]])</f>
        <v>1577</v>
      </c>
      <c r="U183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83">
        <f>IF(Transactions[[#This Row],[Month]]=Sel_Month,Transactions[[#This Row],[Amount]],0)</f>
        <v>0</v>
      </c>
    </row>
    <row r="184" spans="1:22" x14ac:dyDescent="0.25">
      <c r="A184" t="s">
        <v>61</v>
      </c>
      <c r="B184" t="s">
        <v>66</v>
      </c>
      <c r="C184">
        <v>1962.22</v>
      </c>
      <c r="D184" t="s">
        <v>67</v>
      </c>
      <c r="E184" t="s">
        <v>547</v>
      </c>
      <c r="F184" t="s">
        <v>69</v>
      </c>
      <c r="H184" t="s">
        <v>548</v>
      </c>
      <c r="I184" t="s">
        <v>71</v>
      </c>
      <c r="J184" t="b">
        <v>0</v>
      </c>
      <c r="K184" t="s">
        <v>549</v>
      </c>
      <c r="L184" t="str">
        <f>_xlfn.XLOOKUP(Transactions[[#This Row],[Account ID]],Accounts[Plaid Account ID],Accounts[Name],"Not Found",0)</f>
        <v>RBC Staff Banking</v>
      </c>
      <c r="M184" t="str">
        <f>_xlfn.XLOOKUP(Transactions[[#This Row],[Account ID]],Accounts[Plaid Account ID],Accounts[Institution Name],"Not Found",0)</f>
        <v>RBC Royal Bank</v>
      </c>
      <c r="N184" t="str">
        <f>IF(Transactions[[#This Row],[Amount]]&lt;0,"credit","debit")</f>
        <v>debit</v>
      </c>
      <c r="O184" t="str" cm="1">
        <f t="array" ref="O18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8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45088</v>
      </c>
      <c r="Q184" s="3">
        <f>DATE(YEAR(Transactions[[#This Row],[Datetime]]),MONTH(Transactions[[#This Row],[Datetime]]),1)</f>
        <v>45078</v>
      </c>
      <c r="R184" t="b">
        <f ca="1">AND(Transactions[[#This Row],[Datetime]]&gt;=EDATE(MAX(Transactions[Datetime]),-6),Transactions[[#This Row],[Datetime]]&lt;=TODAY())</f>
        <v>0</v>
      </c>
      <c r="S184" s="6">
        <f ca="1">AVERAGEIFS(Transactions[Month''s Total],Transactions[Recent],TRUE,Transactions[Custom Category],Transactions[[#This Row],[Custom Category]])</f>
        <v>12758.461333333335</v>
      </c>
      <c r="T184">
        <f>SUMIFS(Transactions[Amount],Transactions[Month],Transactions[[#This Row],[Month]],Transactions[Custom Category],Transactions[[#This Row],[Custom Category]])</f>
        <v>4558.75</v>
      </c>
      <c r="U18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84">
        <f>IF(Transactions[[#This Row],[Month]]=Sel_Month,Transactions[[#This Row],[Amount]],0)</f>
        <v>0</v>
      </c>
    </row>
    <row r="185" spans="1:22" x14ac:dyDescent="0.25">
      <c r="A185" t="s">
        <v>61</v>
      </c>
      <c r="B185" t="s">
        <v>66</v>
      </c>
      <c r="C185">
        <v>-1962.22</v>
      </c>
      <c r="D185" t="s">
        <v>99</v>
      </c>
      <c r="E185" t="s">
        <v>547</v>
      </c>
      <c r="F185" t="s">
        <v>69</v>
      </c>
      <c r="H185" t="s">
        <v>550</v>
      </c>
      <c r="I185" t="s">
        <v>71</v>
      </c>
      <c r="J185" t="b">
        <v>0</v>
      </c>
      <c r="K185" t="s">
        <v>551</v>
      </c>
      <c r="L185" t="str">
        <f>_xlfn.XLOOKUP(Transactions[[#This Row],[Account ID]],Accounts[Plaid Account ID],Accounts[Name],"Not Found",0)</f>
        <v>RBC Staff Banking</v>
      </c>
      <c r="M185" t="str">
        <f>_xlfn.XLOOKUP(Transactions[[#This Row],[Account ID]],Accounts[Plaid Account ID],Accounts[Institution Name],"Not Found",0)</f>
        <v>RBC Royal Bank</v>
      </c>
      <c r="N185" t="str">
        <f>IF(Transactions[[#This Row],[Amount]]&lt;0,"credit","debit")</f>
        <v>credit</v>
      </c>
      <c r="O185" t="str" cm="1">
        <f t="array" ref="O18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8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45088</v>
      </c>
      <c r="Q185" s="3">
        <f>DATE(YEAR(Transactions[[#This Row],[Datetime]]),MONTH(Transactions[[#This Row],[Datetime]]),1)</f>
        <v>45078</v>
      </c>
      <c r="R185" t="b">
        <f ca="1">AND(Transactions[[#This Row],[Datetime]]&gt;=EDATE(MAX(Transactions[Datetime]),-6),Transactions[[#This Row],[Datetime]]&lt;=TODAY())</f>
        <v>0</v>
      </c>
      <c r="S185" s="6">
        <f ca="1">AVERAGEIFS(Transactions[Month''s Total],Transactions[Recent],TRUE,Transactions[Custom Category],Transactions[[#This Row],[Custom Category]])</f>
        <v>14532.989714285719</v>
      </c>
      <c r="T185">
        <f>SUMIFS(Transactions[Amount],Transactions[Month],Transactions[[#This Row],[Month]],Transactions[Custom Category],Transactions[[#This Row],[Custom Category]])</f>
        <v>-6066.48</v>
      </c>
      <c r="U18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85">
        <f>IF(Transactions[[#This Row],[Month]]=Sel_Month,Transactions[[#This Row],[Amount]],0)</f>
        <v>0</v>
      </c>
    </row>
    <row r="186" spans="1:22" x14ac:dyDescent="0.25">
      <c r="A186" t="s">
        <v>61</v>
      </c>
      <c r="B186" t="s">
        <v>66</v>
      </c>
      <c r="C186">
        <v>2596.5300000000002</v>
      </c>
      <c r="D186" t="s">
        <v>67</v>
      </c>
      <c r="E186" t="s">
        <v>540</v>
      </c>
      <c r="F186" t="s">
        <v>69</v>
      </c>
      <c r="H186" t="s">
        <v>541</v>
      </c>
      <c r="I186" t="s">
        <v>71</v>
      </c>
      <c r="J186" t="b">
        <v>0</v>
      </c>
      <c r="K186" t="s">
        <v>542</v>
      </c>
      <c r="L186" t="str">
        <f>_xlfn.XLOOKUP(Transactions[[#This Row],[Account ID]],Accounts[Plaid Account ID],Accounts[Name],"Not Found",0)</f>
        <v>RBC Staff Banking</v>
      </c>
      <c r="M186" t="str">
        <f>_xlfn.XLOOKUP(Transactions[[#This Row],[Account ID]],Accounts[Plaid Account ID],Accounts[Institution Name],"Not Found",0)</f>
        <v>RBC Royal Bank</v>
      </c>
      <c r="N186" t="str">
        <f>IF(Transactions[[#This Row],[Amount]]&lt;0,"credit","debit")</f>
        <v>debit</v>
      </c>
      <c r="O186" t="str" cm="1">
        <f t="array" ref="O18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8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45097</v>
      </c>
      <c r="Q186" s="3">
        <f>DATE(YEAR(Transactions[[#This Row],[Datetime]]),MONTH(Transactions[[#This Row],[Datetime]]),1)</f>
        <v>45078</v>
      </c>
      <c r="R186" t="b">
        <f ca="1">AND(Transactions[[#This Row],[Datetime]]&gt;=EDATE(MAX(Transactions[Datetime]),-6),Transactions[[#This Row],[Datetime]]&lt;=TODAY())</f>
        <v>0</v>
      </c>
      <c r="S186" s="6">
        <f ca="1">AVERAGEIFS(Transactions[Month''s Total],Transactions[Recent],TRUE,Transactions[Custom Category],Transactions[[#This Row],[Custom Category]])</f>
        <v>12758.461333333335</v>
      </c>
      <c r="T186">
        <f>SUMIFS(Transactions[Amount],Transactions[Month],Transactions[[#This Row],[Month]],Transactions[Custom Category],Transactions[[#This Row],[Custom Category]])</f>
        <v>4558.75</v>
      </c>
      <c r="U18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86">
        <f>IF(Transactions[[#This Row],[Month]]=Sel_Month,Transactions[[#This Row],[Amount]],0)</f>
        <v>0</v>
      </c>
    </row>
    <row r="187" spans="1:22" x14ac:dyDescent="0.25">
      <c r="A187" t="s">
        <v>61</v>
      </c>
      <c r="B187" t="s">
        <v>66</v>
      </c>
      <c r="C187">
        <v>-1779.53</v>
      </c>
      <c r="D187" t="s">
        <v>99</v>
      </c>
      <c r="E187" t="s">
        <v>540</v>
      </c>
      <c r="F187" t="s">
        <v>69</v>
      </c>
      <c r="H187" t="s">
        <v>543</v>
      </c>
      <c r="I187" t="s">
        <v>71</v>
      </c>
      <c r="J187" t="b">
        <v>0</v>
      </c>
      <c r="K187" t="s">
        <v>544</v>
      </c>
      <c r="L187" t="str">
        <f>_xlfn.XLOOKUP(Transactions[[#This Row],[Account ID]],Accounts[Plaid Account ID],Accounts[Name],"Not Found",0)</f>
        <v>RBC Staff Banking</v>
      </c>
      <c r="M187" t="str">
        <f>_xlfn.XLOOKUP(Transactions[[#This Row],[Account ID]],Accounts[Plaid Account ID],Accounts[Institution Name],"Not Found",0)</f>
        <v>RBC Royal Bank</v>
      </c>
      <c r="N187" t="str">
        <f>IF(Transactions[[#This Row],[Amount]]&lt;0,"credit","debit")</f>
        <v>credit</v>
      </c>
      <c r="O187" t="str" cm="1">
        <f t="array" ref="O18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8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45097</v>
      </c>
      <c r="Q187" s="3">
        <f>DATE(YEAR(Transactions[[#This Row],[Datetime]]),MONTH(Transactions[[#This Row],[Datetime]]),1)</f>
        <v>45078</v>
      </c>
      <c r="R187" t="b">
        <f ca="1">AND(Transactions[[#This Row],[Datetime]]&gt;=EDATE(MAX(Transactions[Datetime]),-6),Transactions[[#This Row],[Datetime]]&lt;=TODAY())</f>
        <v>0</v>
      </c>
      <c r="S187" s="6">
        <f ca="1">AVERAGEIFS(Transactions[Month''s Total],Transactions[Recent],TRUE,Transactions[Custom Category],Transactions[[#This Row],[Custom Category]])</f>
        <v>14532.989714285719</v>
      </c>
      <c r="T187">
        <f>SUMIFS(Transactions[Amount],Transactions[Month],Transactions[[#This Row],[Month]],Transactions[Custom Category],Transactions[[#This Row],[Custom Category]])</f>
        <v>-6066.48</v>
      </c>
      <c r="U18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87">
        <f>IF(Transactions[[#This Row],[Month]]=Sel_Month,Transactions[[#This Row],[Amount]],0)</f>
        <v>0</v>
      </c>
    </row>
    <row r="188" spans="1:22" x14ac:dyDescent="0.25">
      <c r="A188" t="s">
        <v>61</v>
      </c>
      <c r="B188" t="s">
        <v>66</v>
      </c>
      <c r="C188">
        <v>-817</v>
      </c>
      <c r="D188" t="s">
        <v>99</v>
      </c>
      <c r="E188" t="s">
        <v>540</v>
      </c>
      <c r="F188" t="s">
        <v>69</v>
      </c>
      <c r="H188" t="s">
        <v>545</v>
      </c>
      <c r="I188" t="s">
        <v>71</v>
      </c>
      <c r="J188" t="b">
        <v>0</v>
      </c>
      <c r="K188" t="s">
        <v>546</v>
      </c>
      <c r="L188" t="str">
        <f>_xlfn.XLOOKUP(Transactions[[#This Row],[Account ID]],Accounts[Plaid Account ID],Accounts[Name],"Not Found",0)</f>
        <v>RBC Staff Banking</v>
      </c>
      <c r="M188" t="str">
        <f>_xlfn.XLOOKUP(Transactions[[#This Row],[Account ID]],Accounts[Plaid Account ID],Accounts[Institution Name],"Not Found",0)</f>
        <v>RBC Royal Bank</v>
      </c>
      <c r="N188" t="str">
        <f>IF(Transactions[[#This Row],[Amount]]&lt;0,"credit","debit")</f>
        <v>credit</v>
      </c>
      <c r="O188" t="str" cm="1">
        <f t="array" ref="O18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8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45097</v>
      </c>
      <c r="Q188" s="3">
        <f>DATE(YEAR(Transactions[[#This Row],[Datetime]]),MONTH(Transactions[[#This Row],[Datetime]]),1)</f>
        <v>45078</v>
      </c>
      <c r="R188" t="b">
        <f ca="1">AND(Transactions[[#This Row],[Datetime]]&gt;=EDATE(MAX(Transactions[Datetime]),-6),Transactions[[#This Row],[Datetime]]&lt;=TODAY())</f>
        <v>0</v>
      </c>
      <c r="S188" s="6">
        <f ca="1">AVERAGEIFS(Transactions[Month''s Total],Transactions[Recent],TRUE,Transactions[Custom Category],Transactions[[#This Row],[Custom Category]])</f>
        <v>14532.989714285719</v>
      </c>
      <c r="T188">
        <f>SUMIFS(Transactions[Amount],Transactions[Month],Transactions[[#This Row],[Month]],Transactions[Custom Category],Transactions[[#This Row],[Custom Category]])</f>
        <v>-6066.48</v>
      </c>
      <c r="U18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88">
        <f>IF(Transactions[[#This Row],[Month]]=Sel_Month,Transactions[[#This Row],[Amount]],0)</f>
        <v>0</v>
      </c>
    </row>
    <row r="189" spans="1:22" x14ac:dyDescent="0.25">
      <c r="A189" t="s">
        <v>61</v>
      </c>
      <c r="B189" t="s">
        <v>66</v>
      </c>
      <c r="C189">
        <v>1507.73</v>
      </c>
      <c r="D189" t="s">
        <v>149</v>
      </c>
      <c r="E189" t="s">
        <v>535</v>
      </c>
      <c r="F189" t="s">
        <v>69</v>
      </c>
      <c r="H189" t="s">
        <v>536</v>
      </c>
      <c r="I189" t="s">
        <v>71</v>
      </c>
      <c r="J189" t="b">
        <v>0</v>
      </c>
      <c r="K189" t="s">
        <v>537</v>
      </c>
      <c r="L189" t="str">
        <f>_xlfn.XLOOKUP(Transactions[[#This Row],[Account ID]],Accounts[Plaid Account ID],Accounts[Name],"Not Found",0)</f>
        <v>RBC Staff Banking</v>
      </c>
      <c r="M189" t="str">
        <f>_xlfn.XLOOKUP(Transactions[[#This Row],[Account ID]],Accounts[Plaid Account ID],Accounts[Institution Name],"Not Found",0)</f>
        <v>RBC Royal Bank</v>
      </c>
      <c r="N189" t="str">
        <f>IF(Transactions[[#This Row],[Amount]]&lt;0,"credit","debit")</f>
        <v>debit</v>
      </c>
      <c r="O189" t="str" cm="1">
        <f t="array" ref="O18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8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45098</v>
      </c>
      <c r="Q189" s="3">
        <f>DATE(YEAR(Transactions[[#This Row],[Datetime]]),MONTH(Transactions[[#This Row],[Datetime]]),1)</f>
        <v>45078</v>
      </c>
      <c r="R189" t="b">
        <f ca="1">AND(Transactions[[#This Row],[Datetime]]&gt;=EDATE(MAX(Transactions[Datetime]),-6),Transactions[[#This Row],[Datetime]]&lt;=TODAY())</f>
        <v>0</v>
      </c>
      <c r="S189" s="6">
        <f ca="1">AVERAGEIFS(Transactions[Month''s Total],Transactions[Recent],TRUE,Transactions[Custom Category],Transactions[[#This Row],[Custom Category]])</f>
        <v>-18125.097037037034</v>
      </c>
      <c r="T189">
        <f>SUMIFS(Transactions[Amount],Transactions[Month],Transactions[[#This Row],[Month]],Transactions[Custom Category],Transactions[[#This Row],[Custom Category]])</f>
        <v>1507.73</v>
      </c>
      <c r="U189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89">
        <f>IF(Transactions[[#This Row],[Month]]=Sel_Month,Transactions[[#This Row],[Amount]],0)</f>
        <v>0</v>
      </c>
    </row>
    <row r="190" spans="1:22" x14ac:dyDescent="0.25">
      <c r="A190" t="s">
        <v>61</v>
      </c>
      <c r="B190" t="s">
        <v>66</v>
      </c>
      <c r="C190">
        <v>-1507.73</v>
      </c>
      <c r="D190" t="s">
        <v>99</v>
      </c>
      <c r="E190" t="s">
        <v>535</v>
      </c>
      <c r="F190" t="s">
        <v>69</v>
      </c>
      <c r="H190" t="s">
        <v>538</v>
      </c>
      <c r="I190" t="s">
        <v>71</v>
      </c>
      <c r="J190" t="b">
        <v>0</v>
      </c>
      <c r="K190" t="s">
        <v>539</v>
      </c>
      <c r="L190" t="str">
        <f>_xlfn.XLOOKUP(Transactions[[#This Row],[Account ID]],Accounts[Plaid Account ID],Accounts[Name],"Not Found",0)</f>
        <v>RBC Staff Banking</v>
      </c>
      <c r="M190" t="str">
        <f>_xlfn.XLOOKUP(Transactions[[#This Row],[Account ID]],Accounts[Plaid Account ID],Accounts[Institution Name],"Not Found",0)</f>
        <v>RBC Royal Bank</v>
      </c>
      <c r="N190" t="str">
        <f>IF(Transactions[[#This Row],[Amount]]&lt;0,"credit","debit")</f>
        <v>credit</v>
      </c>
      <c r="O190" t="str" cm="1">
        <f t="array" ref="O19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9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45098</v>
      </c>
      <c r="Q190" s="3">
        <f>DATE(YEAR(Transactions[[#This Row],[Datetime]]),MONTH(Transactions[[#This Row],[Datetime]]),1)</f>
        <v>45078</v>
      </c>
      <c r="R190" t="b">
        <f ca="1">AND(Transactions[[#This Row],[Datetime]]&gt;=EDATE(MAX(Transactions[Datetime]),-6),Transactions[[#This Row],[Datetime]]&lt;=TODAY())</f>
        <v>0</v>
      </c>
      <c r="S190" s="6">
        <f ca="1">AVERAGEIFS(Transactions[Month''s Total],Transactions[Recent],TRUE,Transactions[Custom Category],Transactions[[#This Row],[Custom Category]])</f>
        <v>14532.989714285719</v>
      </c>
      <c r="T190">
        <f>SUMIFS(Transactions[Amount],Transactions[Month],Transactions[[#This Row],[Month]],Transactions[Custom Category],Transactions[[#This Row],[Custom Category]])</f>
        <v>-6066.48</v>
      </c>
      <c r="U19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90">
        <f>IF(Transactions[[#This Row],[Month]]=Sel_Month,Transactions[[#This Row],[Amount]],0)</f>
        <v>0</v>
      </c>
    </row>
    <row r="191" spans="1:22" x14ac:dyDescent="0.25">
      <c r="A191" t="s">
        <v>61</v>
      </c>
      <c r="B191" t="s">
        <v>66</v>
      </c>
      <c r="C191">
        <v>3722.31</v>
      </c>
      <c r="D191" t="s">
        <v>67</v>
      </c>
      <c r="E191" t="s">
        <v>530</v>
      </c>
      <c r="F191" t="s">
        <v>69</v>
      </c>
      <c r="H191" t="s">
        <v>531</v>
      </c>
      <c r="I191" t="s">
        <v>71</v>
      </c>
      <c r="J191" t="b">
        <v>0</v>
      </c>
      <c r="K191" t="s">
        <v>532</v>
      </c>
      <c r="L191" t="str">
        <f>_xlfn.XLOOKUP(Transactions[[#This Row],[Account ID]],Accounts[Plaid Account ID],Accounts[Name],"Not Found",0)</f>
        <v>RBC Staff Banking</v>
      </c>
      <c r="M191" t="str">
        <f>_xlfn.XLOOKUP(Transactions[[#This Row],[Account ID]],Accounts[Plaid Account ID],Accounts[Institution Name],"Not Found",0)</f>
        <v>RBC Royal Bank</v>
      </c>
      <c r="N191" t="str">
        <f>IF(Transactions[[#This Row],[Amount]]&lt;0,"credit","debit")</f>
        <v>debit</v>
      </c>
      <c r="O191" t="str" cm="1">
        <f t="array" ref="O19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9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45126</v>
      </c>
      <c r="Q191" s="3">
        <f>DATE(YEAR(Transactions[[#This Row],[Datetime]]),MONTH(Transactions[[#This Row],[Datetime]]),1)</f>
        <v>45108</v>
      </c>
      <c r="R191" t="b">
        <f ca="1">AND(Transactions[[#This Row],[Datetime]]&gt;=EDATE(MAX(Transactions[Datetime]),-6),Transactions[[#This Row],[Datetime]]&lt;=TODAY())</f>
        <v>0</v>
      </c>
      <c r="S191" s="6">
        <f ca="1">AVERAGEIFS(Transactions[Month''s Total],Transactions[Recent],TRUE,Transactions[Custom Category],Transactions[[#This Row],[Custom Category]])</f>
        <v>12758.461333333335</v>
      </c>
      <c r="T191">
        <f>SUMIFS(Transactions[Amount],Transactions[Month],Transactions[[#This Row],[Month]],Transactions[Custom Category],Transactions[[#This Row],[Custom Category]])</f>
        <v>3722.31</v>
      </c>
      <c r="U19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91">
        <f>IF(Transactions[[#This Row],[Month]]=Sel_Month,Transactions[[#This Row],[Amount]],0)</f>
        <v>0</v>
      </c>
    </row>
    <row r="192" spans="1:22" x14ac:dyDescent="0.25">
      <c r="A192" t="s">
        <v>61</v>
      </c>
      <c r="B192" t="s">
        <v>66</v>
      </c>
      <c r="C192">
        <v>-3722.31</v>
      </c>
      <c r="D192" t="s">
        <v>99</v>
      </c>
      <c r="E192" t="s">
        <v>530</v>
      </c>
      <c r="F192" t="s">
        <v>69</v>
      </c>
      <c r="H192" t="s">
        <v>533</v>
      </c>
      <c r="I192" t="s">
        <v>71</v>
      </c>
      <c r="J192" t="b">
        <v>0</v>
      </c>
      <c r="K192" t="s">
        <v>534</v>
      </c>
      <c r="L192" t="str">
        <f>_xlfn.XLOOKUP(Transactions[[#This Row],[Account ID]],Accounts[Plaid Account ID],Accounts[Name],"Not Found",0)</f>
        <v>RBC Staff Banking</v>
      </c>
      <c r="M192" t="str">
        <f>_xlfn.XLOOKUP(Transactions[[#This Row],[Account ID]],Accounts[Plaid Account ID],Accounts[Institution Name],"Not Found",0)</f>
        <v>RBC Royal Bank</v>
      </c>
      <c r="N192" t="str">
        <f>IF(Transactions[[#This Row],[Amount]]&lt;0,"credit","debit")</f>
        <v>credit</v>
      </c>
      <c r="O192" t="str" cm="1">
        <f t="array" ref="O19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9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45126</v>
      </c>
      <c r="Q192" s="3">
        <f>DATE(YEAR(Transactions[[#This Row],[Datetime]]),MONTH(Transactions[[#This Row],[Datetime]]),1)</f>
        <v>45108</v>
      </c>
      <c r="R192" t="b">
        <f ca="1">AND(Transactions[[#This Row],[Datetime]]&gt;=EDATE(MAX(Transactions[Datetime]),-6),Transactions[[#This Row],[Datetime]]&lt;=TODAY())</f>
        <v>0</v>
      </c>
      <c r="S192" s="6">
        <f ca="1">AVERAGEIFS(Transactions[Month''s Total],Transactions[Recent],TRUE,Transactions[Custom Category],Transactions[[#This Row],[Custom Category]])</f>
        <v>14532.989714285719</v>
      </c>
      <c r="T192">
        <f>SUMIFS(Transactions[Amount],Transactions[Month],Transactions[[#This Row],[Month]],Transactions[Custom Category],Transactions[[#This Row],[Custom Category]])</f>
        <v>-3722.31</v>
      </c>
      <c r="U19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92">
        <f>IF(Transactions[[#This Row],[Month]]=Sel_Month,Transactions[[#This Row],[Amount]],0)</f>
        <v>0</v>
      </c>
    </row>
    <row r="193" spans="1:22" x14ac:dyDescent="0.25">
      <c r="A193" t="s">
        <v>61</v>
      </c>
      <c r="B193" t="s">
        <v>66</v>
      </c>
      <c r="C193">
        <v>5500</v>
      </c>
      <c r="D193" t="s">
        <v>67</v>
      </c>
      <c r="E193" t="s">
        <v>525</v>
      </c>
      <c r="F193" t="s">
        <v>69</v>
      </c>
      <c r="H193" t="s">
        <v>526</v>
      </c>
      <c r="I193" t="s">
        <v>71</v>
      </c>
      <c r="J193" t="b">
        <v>0</v>
      </c>
      <c r="K193" t="s">
        <v>527</v>
      </c>
      <c r="L193" t="str">
        <f>_xlfn.XLOOKUP(Transactions[[#This Row],[Account ID]],Accounts[Plaid Account ID],Accounts[Name],"Not Found",0)</f>
        <v>RBC Staff Banking</v>
      </c>
      <c r="M193" t="str">
        <f>_xlfn.XLOOKUP(Transactions[[#This Row],[Account ID]],Accounts[Plaid Account ID],Accounts[Institution Name],"Not Found",0)</f>
        <v>RBC Royal Bank</v>
      </c>
      <c r="N193" t="str">
        <f>IF(Transactions[[#This Row],[Amount]]&lt;0,"credit","debit")</f>
        <v>debit</v>
      </c>
      <c r="O193" t="str" cm="1">
        <f t="array" ref="O19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9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45147</v>
      </c>
      <c r="Q193" s="3">
        <f>DATE(YEAR(Transactions[[#This Row],[Datetime]]),MONTH(Transactions[[#This Row],[Datetime]]),1)</f>
        <v>45139</v>
      </c>
      <c r="R193" t="b">
        <f ca="1">AND(Transactions[[#This Row],[Datetime]]&gt;=EDATE(MAX(Transactions[Datetime]),-6),Transactions[[#This Row],[Datetime]]&lt;=TODAY())</f>
        <v>0</v>
      </c>
      <c r="S193" s="6">
        <f ca="1">AVERAGEIFS(Transactions[Month''s Total],Transactions[Recent],TRUE,Transactions[Custom Category],Transactions[[#This Row],[Custom Category]])</f>
        <v>12758.461333333335</v>
      </c>
      <c r="T193">
        <f>SUMIFS(Transactions[Amount],Transactions[Month],Transactions[[#This Row],[Month]],Transactions[Custom Category],Transactions[[#This Row],[Custom Category]])</f>
        <v>8500</v>
      </c>
      <c r="U193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93">
        <f>IF(Transactions[[#This Row],[Month]]=Sel_Month,Transactions[[#This Row],[Amount]],0)</f>
        <v>0</v>
      </c>
    </row>
    <row r="194" spans="1:22" x14ac:dyDescent="0.25">
      <c r="A194" t="s">
        <v>61</v>
      </c>
      <c r="B194" t="s">
        <v>66</v>
      </c>
      <c r="C194">
        <v>-5500</v>
      </c>
      <c r="D194" t="s">
        <v>99</v>
      </c>
      <c r="E194" t="s">
        <v>525</v>
      </c>
      <c r="F194" t="s">
        <v>69</v>
      </c>
      <c r="H194" t="s">
        <v>528</v>
      </c>
      <c r="I194" t="s">
        <v>71</v>
      </c>
      <c r="J194" t="b">
        <v>0</v>
      </c>
      <c r="K194" t="s">
        <v>529</v>
      </c>
      <c r="L194" t="str">
        <f>_xlfn.XLOOKUP(Transactions[[#This Row],[Account ID]],Accounts[Plaid Account ID],Accounts[Name],"Not Found",0)</f>
        <v>RBC Staff Banking</v>
      </c>
      <c r="M194" t="str">
        <f>_xlfn.XLOOKUP(Transactions[[#This Row],[Account ID]],Accounts[Plaid Account ID],Accounts[Institution Name],"Not Found",0)</f>
        <v>RBC Royal Bank</v>
      </c>
      <c r="N194" t="str">
        <f>IF(Transactions[[#This Row],[Amount]]&lt;0,"credit","debit")</f>
        <v>credit</v>
      </c>
      <c r="O194" t="str" cm="1">
        <f t="array" ref="O19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9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45147</v>
      </c>
      <c r="Q194" s="3">
        <f>DATE(YEAR(Transactions[[#This Row],[Datetime]]),MONTH(Transactions[[#This Row],[Datetime]]),1)</f>
        <v>45139</v>
      </c>
      <c r="R194" t="b">
        <f ca="1">AND(Transactions[[#This Row],[Datetime]]&gt;=EDATE(MAX(Transactions[Datetime]),-6),Transactions[[#This Row],[Datetime]]&lt;=TODAY())</f>
        <v>0</v>
      </c>
      <c r="S194" s="6">
        <f ca="1">AVERAGEIFS(Transactions[Month''s Total],Transactions[Recent],TRUE,Transactions[Custom Category],Transactions[[#This Row],[Custom Category]])</f>
        <v>14532.989714285719</v>
      </c>
      <c r="T194">
        <f>SUMIFS(Transactions[Amount],Transactions[Month],Transactions[[#This Row],[Month]],Transactions[Custom Category],Transactions[[#This Row],[Custom Category]])</f>
        <v>-8500</v>
      </c>
      <c r="U19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94">
        <f>IF(Transactions[[#This Row],[Month]]=Sel_Month,Transactions[[#This Row],[Amount]],0)</f>
        <v>0</v>
      </c>
    </row>
    <row r="195" spans="1:22" x14ac:dyDescent="0.25">
      <c r="A195" t="s">
        <v>61</v>
      </c>
      <c r="B195" t="s">
        <v>66</v>
      </c>
      <c r="C195">
        <v>3000</v>
      </c>
      <c r="D195" t="s">
        <v>67</v>
      </c>
      <c r="E195" t="s">
        <v>520</v>
      </c>
      <c r="F195" t="s">
        <v>69</v>
      </c>
      <c r="H195" t="s">
        <v>521</v>
      </c>
      <c r="I195" t="s">
        <v>71</v>
      </c>
      <c r="J195" t="b">
        <v>0</v>
      </c>
      <c r="K195" t="s">
        <v>522</v>
      </c>
      <c r="L195" t="str">
        <f>_xlfn.XLOOKUP(Transactions[[#This Row],[Account ID]],Accounts[Plaid Account ID],Accounts[Name],"Not Found",0)</f>
        <v>RBC Staff Banking</v>
      </c>
      <c r="M195" t="str">
        <f>_xlfn.XLOOKUP(Transactions[[#This Row],[Account ID]],Accounts[Plaid Account ID],Accounts[Institution Name],"Not Found",0)</f>
        <v>RBC Royal Bank</v>
      </c>
      <c r="N195" t="str">
        <f>IF(Transactions[[#This Row],[Amount]]&lt;0,"credit","debit")</f>
        <v>debit</v>
      </c>
      <c r="O195" t="str" cm="1">
        <f t="array" ref="O19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19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45151</v>
      </c>
      <c r="Q195" s="3">
        <f>DATE(YEAR(Transactions[[#This Row],[Datetime]]),MONTH(Transactions[[#This Row],[Datetime]]),1)</f>
        <v>45139</v>
      </c>
      <c r="R195" t="b">
        <f ca="1">AND(Transactions[[#This Row],[Datetime]]&gt;=EDATE(MAX(Transactions[Datetime]),-6),Transactions[[#This Row],[Datetime]]&lt;=TODAY())</f>
        <v>0</v>
      </c>
      <c r="S195" s="6">
        <f ca="1">AVERAGEIFS(Transactions[Month''s Total],Transactions[Recent],TRUE,Transactions[Custom Category],Transactions[[#This Row],[Custom Category]])</f>
        <v>12758.461333333335</v>
      </c>
      <c r="T195">
        <f>SUMIFS(Transactions[Amount],Transactions[Month],Transactions[[#This Row],[Month]],Transactions[Custom Category],Transactions[[#This Row],[Custom Category]])</f>
        <v>8500</v>
      </c>
      <c r="U19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195">
        <f>IF(Transactions[[#This Row],[Month]]=Sel_Month,Transactions[[#This Row],[Amount]],0)</f>
        <v>0</v>
      </c>
    </row>
    <row r="196" spans="1:22" x14ac:dyDescent="0.25">
      <c r="A196" t="s">
        <v>61</v>
      </c>
      <c r="B196" t="s">
        <v>66</v>
      </c>
      <c r="C196">
        <v>-3000</v>
      </c>
      <c r="D196" t="s">
        <v>99</v>
      </c>
      <c r="E196" t="s">
        <v>520</v>
      </c>
      <c r="F196" t="s">
        <v>69</v>
      </c>
      <c r="H196" t="s">
        <v>523</v>
      </c>
      <c r="I196" t="s">
        <v>71</v>
      </c>
      <c r="J196" t="b">
        <v>0</v>
      </c>
      <c r="K196" t="s">
        <v>524</v>
      </c>
      <c r="L196" t="str">
        <f>_xlfn.XLOOKUP(Transactions[[#This Row],[Account ID]],Accounts[Plaid Account ID],Accounts[Name],"Not Found",0)</f>
        <v>RBC Staff Banking</v>
      </c>
      <c r="M196" t="str">
        <f>_xlfn.XLOOKUP(Transactions[[#This Row],[Account ID]],Accounts[Plaid Account ID],Accounts[Institution Name],"Not Found",0)</f>
        <v>RBC Royal Bank</v>
      </c>
      <c r="N196" t="str">
        <f>IF(Transactions[[#This Row],[Amount]]&lt;0,"credit","debit")</f>
        <v>credit</v>
      </c>
      <c r="O196" t="str" cm="1">
        <f t="array" ref="O19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9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45151</v>
      </c>
      <c r="Q196" s="3">
        <f>DATE(YEAR(Transactions[[#This Row],[Datetime]]),MONTH(Transactions[[#This Row],[Datetime]]),1)</f>
        <v>45139</v>
      </c>
      <c r="R196" t="b">
        <f ca="1">AND(Transactions[[#This Row],[Datetime]]&gt;=EDATE(MAX(Transactions[Datetime]),-6),Transactions[[#This Row],[Datetime]]&lt;=TODAY())</f>
        <v>0</v>
      </c>
      <c r="S196" s="6">
        <f ca="1">AVERAGEIFS(Transactions[Month''s Total],Transactions[Recent],TRUE,Transactions[Custom Category],Transactions[[#This Row],[Custom Category]])</f>
        <v>14532.989714285719</v>
      </c>
      <c r="T196">
        <f>SUMIFS(Transactions[Amount],Transactions[Month],Transactions[[#This Row],[Month]],Transactions[Custom Category],Transactions[[#This Row],[Custom Category]])</f>
        <v>-8500</v>
      </c>
      <c r="U19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96">
        <f>IF(Transactions[[#This Row],[Month]]=Sel_Month,Transactions[[#This Row],[Amount]],0)</f>
        <v>0</v>
      </c>
    </row>
    <row r="197" spans="1:22" x14ac:dyDescent="0.25">
      <c r="A197" t="s">
        <v>61</v>
      </c>
      <c r="B197" t="s">
        <v>66</v>
      </c>
      <c r="C197">
        <v>-1141.3900000000001</v>
      </c>
      <c r="D197" t="s">
        <v>149</v>
      </c>
      <c r="E197" t="s">
        <v>517</v>
      </c>
      <c r="F197" t="s">
        <v>69</v>
      </c>
      <c r="H197" t="s">
        <v>518</v>
      </c>
      <c r="I197" t="s">
        <v>71</v>
      </c>
      <c r="J197" t="b">
        <v>0</v>
      </c>
      <c r="K197" t="s">
        <v>519</v>
      </c>
      <c r="L197" t="str">
        <f>_xlfn.XLOOKUP(Transactions[[#This Row],[Account ID]],Accounts[Plaid Account ID],Accounts[Name],"Not Found",0)</f>
        <v>RBC Staff Banking</v>
      </c>
      <c r="M197" t="str">
        <f>_xlfn.XLOOKUP(Transactions[[#This Row],[Account ID]],Accounts[Plaid Account ID],Accounts[Institution Name],"Not Found",0)</f>
        <v>RBC Royal Bank</v>
      </c>
      <c r="N197" t="str">
        <f>IF(Transactions[[#This Row],[Amount]]&lt;0,"credit","debit")</f>
        <v>credit</v>
      </c>
      <c r="O197" t="str" cm="1">
        <f t="array" ref="O19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19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45165</v>
      </c>
      <c r="Q197" s="3">
        <f>DATE(YEAR(Transactions[[#This Row],[Datetime]]),MONTH(Transactions[[#This Row],[Datetime]]),1)</f>
        <v>45139</v>
      </c>
      <c r="R197" t="b">
        <f ca="1">AND(Transactions[[#This Row],[Datetime]]&gt;=EDATE(MAX(Transactions[Datetime]),-6),Transactions[[#This Row],[Datetime]]&lt;=TODAY())</f>
        <v>0</v>
      </c>
      <c r="S197" s="6">
        <f ca="1">AVERAGEIFS(Transactions[Month''s Total],Transactions[Recent],TRUE,Transactions[Custom Category],Transactions[[#This Row],[Custom Category]])</f>
        <v>-18125.097037037034</v>
      </c>
      <c r="T197">
        <f>SUMIFS(Transactions[Amount],Transactions[Month],Transactions[[#This Row],[Month]],Transactions[Custom Category],Transactions[[#This Row],[Custom Category]])</f>
        <v>-1141.3900000000001</v>
      </c>
      <c r="U19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197">
        <f>IF(Transactions[[#This Row],[Month]]=Sel_Month,Transactions[[#This Row],[Amount]],0)</f>
        <v>0</v>
      </c>
    </row>
    <row r="198" spans="1:22" x14ac:dyDescent="0.25">
      <c r="A198" t="s">
        <v>61</v>
      </c>
      <c r="B198" t="s">
        <v>66</v>
      </c>
      <c r="C198">
        <v>-3000</v>
      </c>
      <c r="D198" t="s">
        <v>99</v>
      </c>
      <c r="E198" t="s">
        <v>514</v>
      </c>
      <c r="F198" t="s">
        <v>69</v>
      </c>
      <c r="H198" t="s">
        <v>515</v>
      </c>
      <c r="I198" t="s">
        <v>71</v>
      </c>
      <c r="J198" t="b">
        <v>0</v>
      </c>
      <c r="K198" t="s">
        <v>516</v>
      </c>
      <c r="L198" t="str">
        <f>_xlfn.XLOOKUP(Transactions[[#This Row],[Account ID]],Accounts[Plaid Account ID],Accounts[Name],"Not Found",0)</f>
        <v>RBC Staff Banking</v>
      </c>
      <c r="M198" t="str">
        <f>_xlfn.XLOOKUP(Transactions[[#This Row],[Account ID]],Accounts[Plaid Account ID],Accounts[Institution Name],"Not Found",0)</f>
        <v>RBC Royal Bank</v>
      </c>
      <c r="N198" t="str">
        <f>IF(Transactions[[#This Row],[Amount]]&lt;0,"credit","debit")</f>
        <v>credit</v>
      </c>
      <c r="O198" t="str" cm="1">
        <f t="array" ref="O19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9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45174</v>
      </c>
      <c r="Q198" s="3">
        <f>DATE(YEAR(Transactions[[#This Row],[Datetime]]),MONTH(Transactions[[#This Row],[Datetime]]),1)</f>
        <v>45170</v>
      </c>
      <c r="R198" t="b">
        <f ca="1">AND(Transactions[[#This Row],[Datetime]]&gt;=EDATE(MAX(Transactions[Datetime]),-6),Transactions[[#This Row],[Datetime]]&lt;=TODAY())</f>
        <v>0</v>
      </c>
      <c r="S198" s="6">
        <f ca="1">AVERAGEIFS(Transactions[Month''s Total],Transactions[Recent],TRUE,Transactions[Custom Category],Transactions[[#This Row],[Custom Category]])</f>
        <v>14532.989714285719</v>
      </c>
      <c r="T198">
        <f>SUMIFS(Transactions[Amount],Transactions[Month],Transactions[[#This Row],[Month]],Transactions[Custom Category],Transactions[[#This Row],[Custom Category]])</f>
        <v>-9151.0300000000007</v>
      </c>
      <c r="U19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98">
        <f>IF(Transactions[[#This Row],[Month]]=Sel_Month,Transactions[[#This Row],[Amount]],0)</f>
        <v>0</v>
      </c>
    </row>
    <row r="199" spans="1:22" x14ac:dyDescent="0.25">
      <c r="A199" t="s">
        <v>61</v>
      </c>
      <c r="B199" t="s">
        <v>66</v>
      </c>
      <c r="C199">
        <v>-40.67</v>
      </c>
      <c r="D199" t="s">
        <v>438</v>
      </c>
      <c r="E199" t="s">
        <v>510</v>
      </c>
      <c r="F199" t="s">
        <v>69</v>
      </c>
      <c r="H199" t="s">
        <v>439</v>
      </c>
      <c r="I199" t="s">
        <v>71</v>
      </c>
      <c r="J199" t="b">
        <v>0</v>
      </c>
      <c r="K199" t="s">
        <v>511</v>
      </c>
      <c r="L199" t="str">
        <f>_xlfn.XLOOKUP(Transactions[[#This Row],[Account ID]],Accounts[Plaid Account ID],Accounts[Name],"Not Found",0)</f>
        <v>RBC Staff Banking</v>
      </c>
      <c r="M199" t="str">
        <f>_xlfn.XLOOKUP(Transactions[[#This Row],[Account ID]],Accounts[Plaid Account ID],Accounts[Institution Name],"Not Found",0)</f>
        <v>RBC Royal Bank</v>
      </c>
      <c r="N199" t="str">
        <f>IF(Transactions[[#This Row],[Amount]]&lt;0,"credit","debit")</f>
        <v>credit</v>
      </c>
      <c r="O199" t="str" cm="1">
        <f t="array" ref="O19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19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45176</v>
      </c>
      <c r="Q199" s="3">
        <f>DATE(YEAR(Transactions[[#This Row],[Datetime]]),MONTH(Transactions[[#This Row],[Datetime]]),1)</f>
        <v>45170</v>
      </c>
      <c r="R199" t="b">
        <f ca="1">AND(Transactions[[#This Row],[Datetime]]&gt;=EDATE(MAX(Transactions[Datetime]),-6),Transactions[[#This Row],[Datetime]]&lt;=TODAY())</f>
        <v>0</v>
      </c>
      <c r="S199" s="6">
        <f ca="1">AVERAGEIFS(Transactions[Month''s Total],Transactions[Recent],TRUE,Transactions[Custom Category],Transactions[[#This Row],[Custom Category]])</f>
        <v>14532.989714285719</v>
      </c>
      <c r="T199">
        <f>SUMIFS(Transactions[Amount],Transactions[Month],Transactions[[#This Row],[Month]],Transactions[Custom Category],Transactions[[#This Row],[Custom Category]])</f>
        <v>-9151.0300000000007</v>
      </c>
      <c r="U19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199">
        <f>IF(Transactions[[#This Row],[Month]]=Sel_Month,Transactions[[#This Row],[Amount]],0)</f>
        <v>0</v>
      </c>
    </row>
    <row r="200" spans="1:22" x14ac:dyDescent="0.25">
      <c r="A200" t="s">
        <v>61</v>
      </c>
      <c r="B200" t="s">
        <v>66</v>
      </c>
      <c r="C200">
        <v>-2700</v>
      </c>
      <c r="D200" t="s">
        <v>99</v>
      </c>
      <c r="E200" t="s">
        <v>510</v>
      </c>
      <c r="F200" t="s">
        <v>69</v>
      </c>
      <c r="H200" t="s">
        <v>512</v>
      </c>
      <c r="I200" t="s">
        <v>71</v>
      </c>
      <c r="J200" t="b">
        <v>0</v>
      </c>
      <c r="K200" t="s">
        <v>513</v>
      </c>
      <c r="L200" t="str">
        <f>_xlfn.XLOOKUP(Transactions[[#This Row],[Account ID]],Accounts[Plaid Account ID],Accounts[Name],"Not Found",0)</f>
        <v>RBC Staff Banking</v>
      </c>
      <c r="M200" t="str">
        <f>_xlfn.XLOOKUP(Transactions[[#This Row],[Account ID]],Accounts[Plaid Account ID],Accounts[Institution Name],"Not Found",0)</f>
        <v>RBC Royal Bank</v>
      </c>
      <c r="N200" t="str">
        <f>IF(Transactions[[#This Row],[Amount]]&lt;0,"credit","debit")</f>
        <v>credit</v>
      </c>
      <c r="O200" t="str" cm="1">
        <f t="array" ref="O20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45176</v>
      </c>
      <c r="Q200" s="3">
        <f>DATE(YEAR(Transactions[[#This Row],[Datetime]]),MONTH(Transactions[[#This Row],[Datetime]]),1)</f>
        <v>45170</v>
      </c>
      <c r="R200" t="b">
        <f ca="1">AND(Transactions[[#This Row],[Datetime]]&gt;=EDATE(MAX(Transactions[Datetime]),-6),Transactions[[#This Row],[Datetime]]&lt;=TODAY())</f>
        <v>0</v>
      </c>
      <c r="S200" s="6">
        <f ca="1">AVERAGEIFS(Transactions[Month''s Total],Transactions[Recent],TRUE,Transactions[Custom Category],Transactions[[#This Row],[Custom Category]])</f>
        <v>14532.989714285719</v>
      </c>
      <c r="T200">
        <f>SUMIFS(Transactions[Amount],Transactions[Month],Transactions[[#This Row],[Month]],Transactions[Custom Category],Transactions[[#This Row],[Custom Category]])</f>
        <v>-9151.0300000000007</v>
      </c>
      <c r="U20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0">
        <f>IF(Transactions[[#This Row],[Month]]=Sel_Month,Transactions[[#This Row],[Amount]],0)</f>
        <v>0</v>
      </c>
    </row>
    <row r="201" spans="1:22" x14ac:dyDescent="0.25">
      <c r="A201" t="s">
        <v>61</v>
      </c>
      <c r="B201" t="s">
        <v>66</v>
      </c>
      <c r="C201">
        <v>192.58</v>
      </c>
      <c r="D201" t="s">
        <v>67</v>
      </c>
      <c r="E201" t="s">
        <v>506</v>
      </c>
      <c r="F201" t="s">
        <v>69</v>
      </c>
      <c r="H201" t="s">
        <v>471</v>
      </c>
      <c r="I201" t="s">
        <v>71</v>
      </c>
      <c r="J201" t="b">
        <v>0</v>
      </c>
      <c r="K201" t="s">
        <v>507</v>
      </c>
      <c r="L201" t="str">
        <f>_xlfn.XLOOKUP(Transactions[[#This Row],[Account ID]],Accounts[Plaid Account ID],Accounts[Name],"Not Found",0)</f>
        <v>RBC Staff Banking</v>
      </c>
      <c r="M201" t="str">
        <f>_xlfn.XLOOKUP(Transactions[[#This Row],[Account ID]],Accounts[Plaid Account ID],Accounts[Institution Name],"Not Found",0)</f>
        <v>RBC Royal Bank</v>
      </c>
      <c r="N201" t="str">
        <f>IF(Transactions[[#This Row],[Amount]]&lt;0,"credit","debit")</f>
        <v>debit</v>
      </c>
      <c r="O201" t="str" cm="1">
        <f t="array" ref="O20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45179</v>
      </c>
      <c r="Q201" s="3">
        <f>DATE(YEAR(Transactions[[#This Row],[Datetime]]),MONTH(Transactions[[#This Row],[Datetime]]),1)</f>
        <v>45170</v>
      </c>
      <c r="R201" t="b">
        <f ca="1">AND(Transactions[[#This Row],[Datetime]]&gt;=EDATE(MAX(Transactions[Datetime]),-6),Transactions[[#This Row],[Datetime]]&lt;=TODAY())</f>
        <v>0</v>
      </c>
      <c r="S201" s="6">
        <f ca="1">AVERAGEIFS(Transactions[Month''s Total],Transactions[Recent],TRUE,Transactions[Custom Category],Transactions[[#This Row],[Custom Category]])</f>
        <v>14532.989714285719</v>
      </c>
      <c r="T201">
        <f>SUMIFS(Transactions[Amount],Transactions[Month],Transactions[[#This Row],[Month]],Transactions[Custom Category],Transactions[[#This Row],[Custom Category]])</f>
        <v>-9151.0300000000007</v>
      </c>
      <c r="U20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1">
        <f>IF(Transactions[[#This Row],[Month]]=Sel_Month,Transactions[[#This Row],[Amount]],0)</f>
        <v>0</v>
      </c>
    </row>
    <row r="202" spans="1:22" x14ac:dyDescent="0.25">
      <c r="A202" t="s">
        <v>61</v>
      </c>
      <c r="B202" t="s">
        <v>66</v>
      </c>
      <c r="C202">
        <v>-3000</v>
      </c>
      <c r="D202" t="s">
        <v>99</v>
      </c>
      <c r="E202" t="s">
        <v>506</v>
      </c>
      <c r="F202" t="s">
        <v>69</v>
      </c>
      <c r="H202" t="s">
        <v>508</v>
      </c>
      <c r="I202" t="s">
        <v>71</v>
      </c>
      <c r="J202" t="b">
        <v>0</v>
      </c>
      <c r="K202" t="s">
        <v>509</v>
      </c>
      <c r="L202" t="str">
        <f>_xlfn.XLOOKUP(Transactions[[#This Row],[Account ID]],Accounts[Plaid Account ID],Accounts[Name],"Not Found",0)</f>
        <v>RBC Staff Banking</v>
      </c>
      <c r="M202" t="str">
        <f>_xlfn.XLOOKUP(Transactions[[#This Row],[Account ID]],Accounts[Plaid Account ID],Accounts[Institution Name],"Not Found",0)</f>
        <v>RBC Royal Bank</v>
      </c>
      <c r="N202" t="str">
        <f>IF(Transactions[[#This Row],[Amount]]&lt;0,"credit","debit")</f>
        <v>credit</v>
      </c>
      <c r="O202" t="str" cm="1">
        <f t="array" ref="O20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45179</v>
      </c>
      <c r="Q202" s="3">
        <f>DATE(YEAR(Transactions[[#This Row],[Datetime]]),MONTH(Transactions[[#This Row],[Datetime]]),1)</f>
        <v>45170</v>
      </c>
      <c r="R202" t="b">
        <f ca="1">AND(Transactions[[#This Row],[Datetime]]&gt;=EDATE(MAX(Transactions[Datetime]),-6),Transactions[[#This Row],[Datetime]]&lt;=TODAY())</f>
        <v>0</v>
      </c>
      <c r="S202" s="6">
        <f ca="1">AVERAGEIFS(Transactions[Month''s Total],Transactions[Recent],TRUE,Transactions[Custom Category],Transactions[[#This Row],[Custom Category]])</f>
        <v>14532.989714285719</v>
      </c>
      <c r="T202">
        <f>SUMIFS(Transactions[Amount],Transactions[Month],Transactions[[#This Row],[Month]],Transactions[Custom Category],Transactions[[#This Row],[Custom Category]])</f>
        <v>-9151.0300000000007</v>
      </c>
      <c r="U20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2">
        <f>IF(Transactions[[#This Row],[Month]]=Sel_Month,Transactions[[#This Row],[Amount]],0)</f>
        <v>0</v>
      </c>
    </row>
    <row r="203" spans="1:22" x14ac:dyDescent="0.25">
      <c r="A203" t="s">
        <v>61</v>
      </c>
      <c r="B203" t="s">
        <v>66</v>
      </c>
      <c r="C203">
        <v>74.62</v>
      </c>
      <c r="D203" t="s">
        <v>152</v>
      </c>
      <c r="E203" t="s">
        <v>504</v>
      </c>
      <c r="F203" t="s">
        <v>69</v>
      </c>
      <c r="G203" t="s">
        <v>153</v>
      </c>
      <c r="H203" t="s">
        <v>154</v>
      </c>
      <c r="I203" t="s">
        <v>132</v>
      </c>
      <c r="J203" t="b">
        <v>0</v>
      </c>
      <c r="K203" t="s">
        <v>505</v>
      </c>
      <c r="L203" t="str">
        <f>_xlfn.XLOOKUP(Transactions[[#This Row],[Account ID]],Accounts[Plaid Account ID],Accounts[Name],"Not Found",0)</f>
        <v>RBC Staff Banking</v>
      </c>
      <c r="M203" t="str">
        <f>_xlfn.XLOOKUP(Transactions[[#This Row],[Account ID]],Accounts[Plaid Account ID],Accounts[Institution Name],"Not Found",0)</f>
        <v>RBC Royal Bank</v>
      </c>
      <c r="N203" t="str">
        <f>IF(Transactions[[#This Row],[Amount]]&lt;0,"credit","debit")</f>
        <v>debit</v>
      </c>
      <c r="O203" t="str" cm="1">
        <f t="array" ref="O20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20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45180</v>
      </c>
      <c r="Q203" s="3">
        <f>DATE(YEAR(Transactions[[#This Row],[Datetime]]),MONTH(Transactions[[#This Row],[Datetime]]),1)</f>
        <v>45170</v>
      </c>
      <c r="R203" t="b">
        <f ca="1">AND(Transactions[[#This Row],[Datetime]]&gt;=EDATE(MAX(Transactions[Datetime]),-6),Transactions[[#This Row],[Datetime]]&lt;=TODAY())</f>
        <v>0</v>
      </c>
      <c r="S203" s="6">
        <f ca="1">AVERAGEIFS(Transactions[Month''s Total],Transactions[Recent],TRUE,Transactions[Custom Category],Transactions[[#This Row],[Custom Category]])</f>
        <v>153.08333333333331</v>
      </c>
      <c r="T203">
        <f>SUMIFS(Transactions[Amount],Transactions[Month],Transactions[[#This Row],[Month]],Transactions[Custom Category],Transactions[[#This Row],[Custom Category]])</f>
        <v>74.62</v>
      </c>
      <c r="U203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203">
        <f>IF(Transactions[[#This Row],[Month]]=Sel_Month,Transactions[[#This Row],[Amount]],0)</f>
        <v>0</v>
      </c>
    </row>
    <row r="204" spans="1:22" x14ac:dyDescent="0.25">
      <c r="A204" t="s">
        <v>61</v>
      </c>
      <c r="B204" t="s">
        <v>66</v>
      </c>
      <c r="C204">
        <v>31.38</v>
      </c>
      <c r="D204" t="s">
        <v>67</v>
      </c>
      <c r="E204" t="s">
        <v>502</v>
      </c>
      <c r="F204" t="s">
        <v>69</v>
      </c>
      <c r="H204" t="s">
        <v>471</v>
      </c>
      <c r="I204" t="s">
        <v>71</v>
      </c>
      <c r="J204" t="b">
        <v>0</v>
      </c>
      <c r="K204" t="s">
        <v>503</v>
      </c>
      <c r="L204" t="str">
        <f>_xlfn.XLOOKUP(Transactions[[#This Row],[Account ID]],Accounts[Plaid Account ID],Accounts[Name],"Not Found",0)</f>
        <v>RBC Staff Banking</v>
      </c>
      <c r="M204" t="str">
        <f>_xlfn.XLOOKUP(Transactions[[#This Row],[Account ID]],Accounts[Plaid Account ID],Accounts[Institution Name],"Not Found",0)</f>
        <v>RBC Royal Bank</v>
      </c>
      <c r="N204" t="str">
        <f>IF(Transactions[[#This Row],[Amount]]&lt;0,"credit","debit")</f>
        <v>debit</v>
      </c>
      <c r="O204" t="str" cm="1">
        <f t="array" ref="O20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45181</v>
      </c>
      <c r="Q204" s="3">
        <f>DATE(YEAR(Transactions[[#This Row],[Datetime]]),MONTH(Transactions[[#This Row],[Datetime]]),1)</f>
        <v>45170</v>
      </c>
      <c r="R204" t="b">
        <f ca="1">AND(Transactions[[#This Row],[Datetime]]&gt;=EDATE(MAX(Transactions[Datetime]),-6),Transactions[[#This Row],[Datetime]]&lt;=TODAY())</f>
        <v>0</v>
      </c>
      <c r="S204" s="6">
        <f ca="1">AVERAGEIFS(Transactions[Month''s Total],Transactions[Recent],TRUE,Transactions[Custom Category],Transactions[[#This Row],[Custom Category]])</f>
        <v>14532.989714285719</v>
      </c>
      <c r="T204">
        <f>SUMIFS(Transactions[Amount],Transactions[Month],Transactions[[#This Row],[Month]],Transactions[Custom Category],Transactions[[#This Row],[Custom Category]])</f>
        <v>-9151.0300000000007</v>
      </c>
      <c r="U20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4">
        <f>IF(Transactions[[#This Row],[Month]]=Sel_Month,Transactions[[#This Row],[Amount]],0)</f>
        <v>0</v>
      </c>
    </row>
    <row r="205" spans="1:22" x14ac:dyDescent="0.25">
      <c r="A205" t="s">
        <v>61</v>
      </c>
      <c r="B205" t="s">
        <v>66</v>
      </c>
      <c r="C205">
        <v>1505</v>
      </c>
      <c r="D205" t="s">
        <v>335</v>
      </c>
      <c r="E205" t="s">
        <v>497</v>
      </c>
      <c r="F205" t="s">
        <v>69</v>
      </c>
      <c r="H205" t="s">
        <v>498</v>
      </c>
      <c r="I205" t="s">
        <v>71</v>
      </c>
      <c r="J205" t="b">
        <v>0</v>
      </c>
      <c r="K205" t="s">
        <v>499</v>
      </c>
      <c r="L205" t="str">
        <f>_xlfn.XLOOKUP(Transactions[[#This Row],[Account ID]],Accounts[Plaid Account ID],Accounts[Name],"Not Found",0)</f>
        <v>RBC Staff Banking</v>
      </c>
      <c r="M205" t="str">
        <f>_xlfn.XLOOKUP(Transactions[[#This Row],[Account ID]],Accounts[Plaid Account ID],Accounts[Institution Name],"Not Found",0)</f>
        <v>RBC Royal Bank</v>
      </c>
      <c r="N205" t="str">
        <f>IF(Transactions[[#This Row],[Amount]]&lt;0,"credit","debit")</f>
        <v>debit</v>
      </c>
      <c r="O205" t="str" cm="1">
        <f t="array" ref="O20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45186</v>
      </c>
      <c r="Q205" s="3">
        <f>DATE(YEAR(Transactions[[#This Row],[Datetime]]),MONTH(Transactions[[#This Row],[Datetime]]),1)</f>
        <v>45170</v>
      </c>
      <c r="R205" t="b">
        <f ca="1">AND(Transactions[[#This Row],[Datetime]]&gt;=EDATE(MAX(Transactions[Datetime]),-6),Transactions[[#This Row],[Datetime]]&lt;=TODAY())</f>
        <v>0</v>
      </c>
      <c r="S205" s="6">
        <f ca="1">AVERAGEIFS(Transactions[Month''s Total],Transactions[Recent],TRUE,Transactions[Custom Category],Transactions[[#This Row],[Custom Category]])</f>
        <v>14532.989714285719</v>
      </c>
      <c r="T205">
        <f>SUMIFS(Transactions[Amount],Transactions[Month],Transactions[[#This Row],[Month]],Transactions[Custom Category],Transactions[[#This Row],[Custom Category]])</f>
        <v>-9151.0300000000007</v>
      </c>
      <c r="U20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5">
        <f>IF(Transactions[[#This Row],[Month]]=Sel_Month,Transactions[[#This Row],[Amount]],0)</f>
        <v>0</v>
      </c>
    </row>
    <row r="206" spans="1:22" x14ac:dyDescent="0.25">
      <c r="A206" t="s">
        <v>61</v>
      </c>
      <c r="B206" t="s">
        <v>66</v>
      </c>
      <c r="C206">
        <v>-1000</v>
      </c>
      <c r="D206" t="s">
        <v>99</v>
      </c>
      <c r="E206" t="s">
        <v>497</v>
      </c>
      <c r="F206" t="s">
        <v>69</v>
      </c>
      <c r="H206" t="s">
        <v>500</v>
      </c>
      <c r="I206" t="s">
        <v>71</v>
      </c>
      <c r="J206" t="b">
        <v>0</v>
      </c>
      <c r="K206" t="s">
        <v>501</v>
      </c>
      <c r="L206" t="str">
        <f>_xlfn.XLOOKUP(Transactions[[#This Row],[Account ID]],Accounts[Plaid Account ID],Accounts[Name],"Not Found",0)</f>
        <v>RBC Staff Banking</v>
      </c>
      <c r="M206" t="str">
        <f>_xlfn.XLOOKUP(Transactions[[#This Row],[Account ID]],Accounts[Plaid Account ID],Accounts[Institution Name],"Not Found",0)</f>
        <v>RBC Royal Bank</v>
      </c>
      <c r="N206" t="str">
        <f>IF(Transactions[[#This Row],[Amount]]&lt;0,"credit","debit")</f>
        <v>credit</v>
      </c>
      <c r="O206" t="str" cm="1">
        <f t="array" ref="O20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45186</v>
      </c>
      <c r="Q206" s="3">
        <f>DATE(YEAR(Transactions[[#This Row],[Datetime]]),MONTH(Transactions[[#This Row],[Datetime]]),1)</f>
        <v>45170</v>
      </c>
      <c r="R206" t="b">
        <f ca="1">AND(Transactions[[#This Row],[Datetime]]&gt;=EDATE(MAX(Transactions[Datetime]),-6),Transactions[[#This Row],[Datetime]]&lt;=TODAY())</f>
        <v>0</v>
      </c>
      <c r="S206" s="6">
        <f ca="1">AVERAGEIFS(Transactions[Month''s Total],Transactions[Recent],TRUE,Transactions[Custom Category],Transactions[[#This Row],[Custom Category]])</f>
        <v>14532.989714285719</v>
      </c>
      <c r="T206">
        <f>SUMIFS(Transactions[Amount],Transactions[Month],Transactions[[#This Row],[Month]],Transactions[Custom Category],Transactions[[#This Row],[Custom Category]])</f>
        <v>-9151.0300000000007</v>
      </c>
      <c r="U20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6">
        <f>IF(Transactions[[#This Row],[Month]]=Sel_Month,Transactions[[#This Row],[Amount]],0)</f>
        <v>0</v>
      </c>
    </row>
    <row r="207" spans="1:22" x14ac:dyDescent="0.25">
      <c r="A207" t="s">
        <v>61</v>
      </c>
      <c r="B207" t="s">
        <v>66</v>
      </c>
      <c r="C207">
        <v>471.41</v>
      </c>
      <c r="D207" t="s">
        <v>67</v>
      </c>
      <c r="E207" t="s">
        <v>495</v>
      </c>
      <c r="F207" t="s">
        <v>69</v>
      </c>
      <c r="H207" t="s">
        <v>471</v>
      </c>
      <c r="I207" t="s">
        <v>71</v>
      </c>
      <c r="J207" t="b">
        <v>0</v>
      </c>
      <c r="K207" t="s">
        <v>496</v>
      </c>
      <c r="L207" t="str">
        <f>_xlfn.XLOOKUP(Transactions[[#This Row],[Account ID]],Accounts[Plaid Account ID],Accounts[Name],"Not Found",0)</f>
        <v>RBC Staff Banking</v>
      </c>
      <c r="M207" t="str">
        <f>_xlfn.XLOOKUP(Transactions[[#This Row],[Account ID]],Accounts[Plaid Account ID],Accounts[Institution Name],"Not Found",0)</f>
        <v>RBC Royal Bank</v>
      </c>
      <c r="N207" t="str">
        <f>IF(Transactions[[#This Row],[Amount]]&lt;0,"credit","debit")</f>
        <v>debit</v>
      </c>
      <c r="O207" t="str" cm="1">
        <f t="array" ref="O20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45187</v>
      </c>
      <c r="Q207" s="3">
        <f>DATE(YEAR(Transactions[[#This Row],[Datetime]]),MONTH(Transactions[[#This Row],[Datetime]]),1)</f>
        <v>45170</v>
      </c>
      <c r="R207" t="b">
        <f ca="1">AND(Transactions[[#This Row],[Datetime]]&gt;=EDATE(MAX(Transactions[Datetime]),-6),Transactions[[#This Row],[Datetime]]&lt;=TODAY())</f>
        <v>0</v>
      </c>
      <c r="S207" s="6">
        <f ca="1">AVERAGEIFS(Transactions[Month''s Total],Transactions[Recent],TRUE,Transactions[Custom Category],Transactions[[#This Row],[Custom Category]])</f>
        <v>14532.989714285719</v>
      </c>
      <c r="T207">
        <f>SUMIFS(Transactions[Amount],Transactions[Month],Transactions[[#This Row],[Month]],Transactions[Custom Category],Transactions[[#This Row],[Custom Category]])</f>
        <v>-9151.0300000000007</v>
      </c>
      <c r="U20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7">
        <f>IF(Transactions[[#This Row],[Month]]=Sel_Month,Transactions[[#This Row],[Amount]],0)</f>
        <v>0</v>
      </c>
    </row>
    <row r="208" spans="1:22" x14ac:dyDescent="0.25">
      <c r="A208" t="s">
        <v>61</v>
      </c>
      <c r="B208" t="s">
        <v>66</v>
      </c>
      <c r="C208">
        <v>2991.86</v>
      </c>
      <c r="D208" t="s">
        <v>67</v>
      </c>
      <c r="E208" t="s">
        <v>486</v>
      </c>
      <c r="F208" t="s">
        <v>69</v>
      </c>
      <c r="H208" t="s">
        <v>487</v>
      </c>
      <c r="I208" t="s">
        <v>71</v>
      </c>
      <c r="J208" t="b">
        <v>0</v>
      </c>
      <c r="K208" t="s">
        <v>488</v>
      </c>
      <c r="L208" t="str">
        <f>_xlfn.XLOOKUP(Transactions[[#This Row],[Account ID]],Accounts[Plaid Account ID],Accounts[Name],"Not Found",0)</f>
        <v>RBC Staff Banking</v>
      </c>
      <c r="M208" t="str">
        <f>_xlfn.XLOOKUP(Transactions[[#This Row],[Account ID]],Accounts[Plaid Account ID],Accounts[Institution Name],"Not Found",0)</f>
        <v>RBC Royal Bank</v>
      </c>
      <c r="N208" t="str">
        <f>IF(Transactions[[#This Row],[Amount]]&lt;0,"credit","debit")</f>
        <v>debit</v>
      </c>
      <c r="O208" t="str" cm="1">
        <f t="array" ref="O20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0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45189</v>
      </c>
      <c r="Q208" s="3">
        <f>DATE(YEAR(Transactions[[#This Row],[Datetime]]),MONTH(Transactions[[#This Row],[Datetime]]),1)</f>
        <v>45170</v>
      </c>
      <c r="R208" t="b">
        <f ca="1">AND(Transactions[[#This Row],[Datetime]]&gt;=EDATE(MAX(Transactions[Datetime]),-6),Transactions[[#This Row],[Datetime]]&lt;=TODAY())</f>
        <v>0</v>
      </c>
      <c r="S208" s="6">
        <f ca="1">AVERAGEIFS(Transactions[Month''s Total],Transactions[Recent],TRUE,Transactions[Custom Category],Transactions[[#This Row],[Custom Category]])</f>
        <v>12758.461333333335</v>
      </c>
      <c r="T208">
        <f>SUMIFS(Transactions[Amount],Transactions[Month],Transactions[[#This Row],[Month]],Transactions[Custom Category],Transactions[[#This Row],[Custom Category]])</f>
        <v>2991.86</v>
      </c>
      <c r="U20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08">
        <f>IF(Transactions[[#This Row],[Month]]=Sel_Month,Transactions[[#This Row],[Amount]],0)</f>
        <v>0</v>
      </c>
    </row>
    <row r="209" spans="1:22" x14ac:dyDescent="0.25">
      <c r="A209" t="s">
        <v>61</v>
      </c>
      <c r="B209" t="s">
        <v>66</v>
      </c>
      <c r="C209">
        <v>6.5</v>
      </c>
      <c r="D209" t="s">
        <v>67</v>
      </c>
      <c r="E209" t="s">
        <v>486</v>
      </c>
      <c r="F209" t="s">
        <v>69</v>
      </c>
      <c r="H209" t="s">
        <v>474</v>
      </c>
      <c r="I209" t="s">
        <v>71</v>
      </c>
      <c r="J209" t="b">
        <v>0</v>
      </c>
      <c r="K209" t="s">
        <v>489</v>
      </c>
      <c r="L209" t="str">
        <f>_xlfn.XLOOKUP(Transactions[[#This Row],[Account ID]],Accounts[Plaid Account ID],Accounts[Name],"Not Found",0)</f>
        <v>RBC Staff Banking</v>
      </c>
      <c r="M209" t="str">
        <f>_xlfn.XLOOKUP(Transactions[[#This Row],[Account ID]],Accounts[Plaid Account ID],Accounts[Institution Name],"Not Found",0)</f>
        <v>RBC Royal Bank</v>
      </c>
      <c r="N209" t="str">
        <f>IF(Transactions[[#This Row],[Amount]]&lt;0,"credit","debit")</f>
        <v>debit</v>
      </c>
      <c r="O209" t="str" cm="1">
        <f t="array" ref="O20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0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45189</v>
      </c>
      <c r="Q209" s="3">
        <f>DATE(YEAR(Transactions[[#This Row],[Datetime]]),MONTH(Transactions[[#This Row],[Datetime]]),1)</f>
        <v>45170</v>
      </c>
      <c r="R209" t="b">
        <f ca="1">AND(Transactions[[#This Row],[Datetime]]&gt;=EDATE(MAX(Transactions[Datetime]),-6),Transactions[[#This Row],[Datetime]]&lt;=TODAY())</f>
        <v>0</v>
      </c>
      <c r="S209" s="6">
        <f ca="1">AVERAGEIFS(Transactions[Month''s Total],Transactions[Recent],TRUE,Transactions[Custom Category],Transactions[[#This Row],[Custom Category]])</f>
        <v>14532.989714285719</v>
      </c>
      <c r="T209">
        <f>SUMIFS(Transactions[Amount],Transactions[Month],Transactions[[#This Row],[Month]],Transactions[Custom Category],Transactions[[#This Row],[Custom Category]])</f>
        <v>-9151.0300000000007</v>
      </c>
      <c r="U20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09">
        <f>IF(Transactions[[#This Row],[Month]]=Sel_Month,Transactions[[#This Row],[Amount]],0)</f>
        <v>0</v>
      </c>
    </row>
    <row r="210" spans="1:22" x14ac:dyDescent="0.25">
      <c r="A210" t="s">
        <v>61</v>
      </c>
      <c r="B210" t="s">
        <v>66</v>
      </c>
      <c r="C210">
        <v>6.5</v>
      </c>
      <c r="D210" t="s">
        <v>67</v>
      </c>
      <c r="E210" t="s">
        <v>486</v>
      </c>
      <c r="F210" t="s">
        <v>69</v>
      </c>
      <c r="H210" t="s">
        <v>474</v>
      </c>
      <c r="I210" t="s">
        <v>71</v>
      </c>
      <c r="J210" t="b">
        <v>0</v>
      </c>
      <c r="K210" t="s">
        <v>490</v>
      </c>
      <c r="L210" t="str">
        <f>_xlfn.XLOOKUP(Transactions[[#This Row],[Account ID]],Accounts[Plaid Account ID],Accounts[Name],"Not Found",0)</f>
        <v>RBC Staff Banking</v>
      </c>
      <c r="M210" t="str">
        <f>_xlfn.XLOOKUP(Transactions[[#This Row],[Account ID]],Accounts[Plaid Account ID],Accounts[Institution Name],"Not Found",0)</f>
        <v>RBC Royal Bank</v>
      </c>
      <c r="N210" t="str">
        <f>IF(Transactions[[#This Row],[Amount]]&lt;0,"credit","debit")</f>
        <v>debit</v>
      </c>
      <c r="O210" t="str" cm="1">
        <f t="array" ref="O21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1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45189</v>
      </c>
      <c r="Q210" s="3">
        <f>DATE(YEAR(Transactions[[#This Row],[Datetime]]),MONTH(Transactions[[#This Row],[Datetime]]),1)</f>
        <v>45170</v>
      </c>
      <c r="R210" t="b">
        <f ca="1">AND(Transactions[[#This Row],[Datetime]]&gt;=EDATE(MAX(Transactions[Datetime]),-6),Transactions[[#This Row],[Datetime]]&lt;=TODAY())</f>
        <v>0</v>
      </c>
      <c r="S210" s="6">
        <f ca="1">AVERAGEIFS(Transactions[Month''s Total],Transactions[Recent],TRUE,Transactions[Custom Category],Transactions[[#This Row],[Custom Category]])</f>
        <v>14532.989714285719</v>
      </c>
      <c r="T210">
        <f>SUMIFS(Transactions[Amount],Transactions[Month],Transactions[[#This Row],[Month]],Transactions[Custom Category],Transactions[[#This Row],[Custom Category]])</f>
        <v>-9151.0300000000007</v>
      </c>
      <c r="U21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10">
        <f>IF(Transactions[[#This Row],[Month]]=Sel_Month,Transactions[[#This Row],[Amount]],0)</f>
        <v>0</v>
      </c>
    </row>
    <row r="211" spans="1:22" x14ac:dyDescent="0.25">
      <c r="A211" t="s">
        <v>61</v>
      </c>
      <c r="B211" t="s">
        <v>66</v>
      </c>
      <c r="C211">
        <v>-2000</v>
      </c>
      <c r="D211" t="s">
        <v>99</v>
      </c>
      <c r="E211" t="s">
        <v>486</v>
      </c>
      <c r="F211" t="s">
        <v>69</v>
      </c>
      <c r="H211" t="s">
        <v>491</v>
      </c>
      <c r="I211" t="s">
        <v>71</v>
      </c>
      <c r="J211" t="b">
        <v>0</v>
      </c>
      <c r="K211" t="s">
        <v>492</v>
      </c>
      <c r="L211" t="str">
        <f>_xlfn.XLOOKUP(Transactions[[#This Row],[Account ID]],Accounts[Plaid Account ID],Accounts[Name],"Not Found",0)</f>
        <v>RBC Staff Banking</v>
      </c>
      <c r="M211" t="str">
        <f>_xlfn.XLOOKUP(Transactions[[#This Row],[Account ID]],Accounts[Plaid Account ID],Accounts[Institution Name],"Not Found",0)</f>
        <v>RBC Royal Bank</v>
      </c>
      <c r="N211" t="str">
        <f>IF(Transactions[[#This Row],[Amount]]&lt;0,"credit","debit")</f>
        <v>credit</v>
      </c>
      <c r="O211" t="str" cm="1">
        <f t="array" ref="O21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1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45189</v>
      </c>
      <c r="Q211" s="3">
        <f>DATE(YEAR(Transactions[[#This Row],[Datetime]]),MONTH(Transactions[[#This Row],[Datetime]]),1)</f>
        <v>45170</v>
      </c>
      <c r="R211" t="b">
        <f ca="1">AND(Transactions[[#This Row],[Datetime]]&gt;=EDATE(MAX(Transactions[Datetime]),-6),Transactions[[#This Row],[Datetime]]&lt;=TODAY())</f>
        <v>0</v>
      </c>
      <c r="S211" s="6">
        <f ca="1">AVERAGEIFS(Transactions[Month''s Total],Transactions[Recent],TRUE,Transactions[Custom Category],Transactions[[#This Row],[Custom Category]])</f>
        <v>14532.989714285719</v>
      </c>
      <c r="T211">
        <f>SUMIFS(Transactions[Amount],Transactions[Month],Transactions[[#This Row],[Month]],Transactions[Custom Category],Transactions[[#This Row],[Custom Category]])</f>
        <v>-9151.0300000000007</v>
      </c>
      <c r="U21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11">
        <f>IF(Transactions[[#This Row],[Month]]=Sel_Month,Transactions[[#This Row],[Amount]],0)</f>
        <v>0</v>
      </c>
    </row>
    <row r="212" spans="1:22" x14ac:dyDescent="0.25">
      <c r="A212" t="s">
        <v>61</v>
      </c>
      <c r="B212" t="s">
        <v>66</v>
      </c>
      <c r="C212">
        <v>-6.5</v>
      </c>
      <c r="D212" t="s">
        <v>99</v>
      </c>
      <c r="E212" t="s">
        <v>486</v>
      </c>
      <c r="F212" t="s">
        <v>69</v>
      </c>
      <c r="H212" t="s">
        <v>493</v>
      </c>
      <c r="I212" t="s">
        <v>71</v>
      </c>
      <c r="J212" t="b">
        <v>0</v>
      </c>
      <c r="K212" t="s">
        <v>494</v>
      </c>
      <c r="L212" t="str">
        <f>_xlfn.XLOOKUP(Transactions[[#This Row],[Account ID]],Accounts[Plaid Account ID],Accounts[Name],"Not Found",0)</f>
        <v>RBC Staff Banking</v>
      </c>
      <c r="M212" t="str">
        <f>_xlfn.XLOOKUP(Transactions[[#This Row],[Account ID]],Accounts[Plaid Account ID],Accounts[Institution Name],"Not Found",0)</f>
        <v>RBC Royal Bank</v>
      </c>
      <c r="N212" t="str">
        <f>IF(Transactions[[#This Row],[Amount]]&lt;0,"credit","debit")</f>
        <v>credit</v>
      </c>
      <c r="O212" t="str" cm="1">
        <f t="array" ref="O21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21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45189</v>
      </c>
      <c r="Q212" s="3">
        <f>DATE(YEAR(Transactions[[#This Row],[Datetime]]),MONTH(Transactions[[#This Row],[Datetime]]),1)</f>
        <v>45170</v>
      </c>
      <c r="R212" t="b">
        <f ca="1">AND(Transactions[[#This Row],[Datetime]]&gt;=EDATE(MAX(Transactions[Datetime]),-6),Transactions[[#This Row],[Datetime]]&lt;=TODAY())</f>
        <v>0</v>
      </c>
      <c r="S212" s="6">
        <f ca="1">AVERAGEIFS(Transactions[Month''s Total],Transactions[Recent],TRUE,Transactions[Custom Category],Transactions[[#This Row],[Custom Category]])</f>
        <v>-333.34666666666664</v>
      </c>
      <c r="T212">
        <f>SUMIFS(Transactions[Amount],Transactions[Month],Transactions[[#This Row],[Month]],Transactions[Custom Category],Transactions[[#This Row],[Custom Category]])</f>
        <v>-6.5</v>
      </c>
      <c r="U212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212">
        <f>IF(Transactions[[#This Row],[Month]]=Sel_Month,Transactions[[#This Row],[Amount]],0)</f>
        <v>0</v>
      </c>
    </row>
    <row r="213" spans="1:22" x14ac:dyDescent="0.25">
      <c r="A213" t="s">
        <v>61</v>
      </c>
      <c r="B213" t="s">
        <v>66</v>
      </c>
      <c r="C213">
        <v>376.27</v>
      </c>
      <c r="D213" t="s">
        <v>67</v>
      </c>
      <c r="E213" t="s">
        <v>484</v>
      </c>
      <c r="F213" t="s">
        <v>69</v>
      </c>
      <c r="H213" t="s">
        <v>471</v>
      </c>
      <c r="I213" t="s">
        <v>71</v>
      </c>
      <c r="J213" t="b">
        <v>0</v>
      </c>
      <c r="K213" t="s">
        <v>485</v>
      </c>
      <c r="L213" t="str">
        <f>_xlfn.XLOOKUP(Transactions[[#This Row],[Account ID]],Accounts[Plaid Account ID],Accounts[Name],"Not Found",0)</f>
        <v>RBC Staff Banking</v>
      </c>
      <c r="M213" t="str">
        <f>_xlfn.XLOOKUP(Transactions[[#This Row],[Account ID]],Accounts[Plaid Account ID],Accounts[Institution Name],"Not Found",0)</f>
        <v>RBC Royal Bank</v>
      </c>
      <c r="N213" t="str">
        <f>IF(Transactions[[#This Row],[Amount]]&lt;0,"credit","debit")</f>
        <v>debit</v>
      </c>
      <c r="O213" t="str" cm="1">
        <f t="array" ref="O21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1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45197</v>
      </c>
      <c r="Q213" s="3">
        <f>DATE(YEAR(Transactions[[#This Row],[Datetime]]),MONTH(Transactions[[#This Row],[Datetime]]),1)</f>
        <v>45170</v>
      </c>
      <c r="R213" t="b">
        <f ca="1">AND(Transactions[[#This Row],[Datetime]]&gt;=EDATE(MAX(Transactions[Datetime]),-6),Transactions[[#This Row],[Datetime]]&lt;=TODAY())</f>
        <v>0</v>
      </c>
      <c r="S213" s="6">
        <f ca="1">AVERAGEIFS(Transactions[Month''s Total],Transactions[Recent],TRUE,Transactions[Custom Category],Transactions[[#This Row],[Custom Category]])</f>
        <v>14532.989714285719</v>
      </c>
      <c r="T213">
        <f>SUMIFS(Transactions[Amount],Transactions[Month],Transactions[[#This Row],[Month]],Transactions[Custom Category],Transactions[[#This Row],[Custom Category]])</f>
        <v>-9151.0300000000007</v>
      </c>
      <c r="U21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13">
        <f>IF(Transactions[[#This Row],[Month]]=Sel_Month,Transactions[[#This Row],[Amount]],0)</f>
        <v>0</v>
      </c>
    </row>
    <row r="214" spans="1:22" x14ac:dyDescent="0.25">
      <c r="A214" t="s">
        <v>61</v>
      </c>
      <c r="B214" t="s">
        <v>66</v>
      </c>
      <c r="C214">
        <v>2500</v>
      </c>
      <c r="D214" t="s">
        <v>67</v>
      </c>
      <c r="E214" t="s">
        <v>472</v>
      </c>
      <c r="F214" t="s">
        <v>69</v>
      </c>
      <c r="H214" t="s">
        <v>471</v>
      </c>
      <c r="I214" t="s">
        <v>71</v>
      </c>
      <c r="J214" t="b">
        <v>0</v>
      </c>
      <c r="K214" t="s">
        <v>473</v>
      </c>
      <c r="L214" t="str">
        <f>_xlfn.XLOOKUP(Transactions[[#This Row],[Account ID]],Accounts[Plaid Account ID],Accounts[Name],"Not Found",0)</f>
        <v>RBC Staff Banking</v>
      </c>
      <c r="M214" t="str">
        <f>_xlfn.XLOOKUP(Transactions[[#This Row],[Account ID]],Accounts[Plaid Account ID],Accounts[Institution Name],"Not Found",0)</f>
        <v>RBC Royal Bank</v>
      </c>
      <c r="N214" t="str">
        <f>IF(Transactions[[#This Row],[Amount]]&lt;0,"credit","debit")</f>
        <v>debit</v>
      </c>
      <c r="O214" t="str" cm="1">
        <f t="array" ref="O21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1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45201</v>
      </c>
      <c r="Q214" s="3">
        <f>DATE(YEAR(Transactions[[#This Row],[Datetime]]),MONTH(Transactions[[#This Row],[Datetime]]),1)</f>
        <v>45200</v>
      </c>
      <c r="R214" t="b">
        <f ca="1">AND(Transactions[[#This Row],[Datetime]]&gt;=EDATE(MAX(Transactions[Datetime]),-6),Transactions[[#This Row],[Datetime]]&lt;=TODAY())</f>
        <v>0</v>
      </c>
      <c r="S214" s="6">
        <f ca="1">AVERAGEIFS(Transactions[Month''s Total],Transactions[Recent],TRUE,Transactions[Custom Category],Transactions[[#This Row],[Custom Category]])</f>
        <v>14532.989714285719</v>
      </c>
      <c r="T214">
        <f>SUMIFS(Transactions[Amount],Transactions[Month],Transactions[[#This Row],[Month]],Transactions[Custom Category],Transactions[[#This Row],[Custom Category]])</f>
        <v>3947.8199999999993</v>
      </c>
      <c r="U21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14">
        <f>IF(Transactions[[#This Row],[Month]]=Sel_Month,Transactions[[#This Row],[Amount]],0)</f>
        <v>0</v>
      </c>
    </row>
    <row r="215" spans="1:22" x14ac:dyDescent="0.25">
      <c r="A215" t="s">
        <v>61</v>
      </c>
      <c r="B215" t="s">
        <v>66</v>
      </c>
      <c r="C215">
        <v>2292.0700000000002</v>
      </c>
      <c r="D215" t="s">
        <v>67</v>
      </c>
      <c r="E215" t="s">
        <v>472</v>
      </c>
      <c r="F215" t="s">
        <v>69</v>
      </c>
      <c r="H215" t="s">
        <v>474</v>
      </c>
      <c r="I215" t="s">
        <v>71</v>
      </c>
      <c r="J215" t="b">
        <v>0</v>
      </c>
      <c r="K215" t="s">
        <v>475</v>
      </c>
      <c r="L215" t="str">
        <f>_xlfn.XLOOKUP(Transactions[[#This Row],[Account ID]],Accounts[Plaid Account ID],Accounts[Name],"Not Found",0)</f>
        <v>RBC Staff Banking</v>
      </c>
      <c r="M215" t="str">
        <f>_xlfn.XLOOKUP(Transactions[[#This Row],[Account ID]],Accounts[Plaid Account ID],Accounts[Institution Name],"Not Found",0)</f>
        <v>RBC Royal Bank</v>
      </c>
      <c r="N215" t="str">
        <f>IF(Transactions[[#This Row],[Amount]]&lt;0,"credit","debit")</f>
        <v>debit</v>
      </c>
      <c r="O215" t="str" cm="1">
        <f t="array" ref="O21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1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45201</v>
      </c>
      <c r="Q215" s="3">
        <f>DATE(YEAR(Transactions[[#This Row],[Datetime]]),MONTH(Transactions[[#This Row],[Datetime]]),1)</f>
        <v>45200</v>
      </c>
      <c r="R215" t="b">
        <f ca="1">AND(Transactions[[#This Row],[Datetime]]&gt;=EDATE(MAX(Transactions[Datetime]),-6),Transactions[[#This Row],[Datetime]]&lt;=TODAY())</f>
        <v>0</v>
      </c>
      <c r="S215" s="6">
        <f ca="1">AVERAGEIFS(Transactions[Month''s Total],Transactions[Recent],TRUE,Transactions[Custom Category],Transactions[[#This Row],[Custom Category]])</f>
        <v>14532.989714285719</v>
      </c>
      <c r="T215">
        <f>SUMIFS(Transactions[Amount],Transactions[Month],Transactions[[#This Row],[Month]],Transactions[Custom Category],Transactions[[#This Row],[Custom Category]])</f>
        <v>3947.8199999999993</v>
      </c>
      <c r="U21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15">
        <f>IF(Transactions[[#This Row],[Month]]=Sel_Month,Transactions[[#This Row],[Amount]],0)</f>
        <v>0</v>
      </c>
    </row>
    <row r="216" spans="1:22" x14ac:dyDescent="0.25">
      <c r="A216" t="s">
        <v>61</v>
      </c>
      <c r="B216" t="s">
        <v>66</v>
      </c>
      <c r="C216">
        <v>-900</v>
      </c>
      <c r="D216" t="s">
        <v>99</v>
      </c>
      <c r="E216" t="s">
        <v>472</v>
      </c>
      <c r="F216" t="s">
        <v>69</v>
      </c>
      <c r="H216" t="s">
        <v>476</v>
      </c>
      <c r="I216" t="s">
        <v>71</v>
      </c>
      <c r="J216" t="b">
        <v>0</v>
      </c>
      <c r="K216" t="s">
        <v>477</v>
      </c>
      <c r="L216" t="str">
        <f>_xlfn.XLOOKUP(Transactions[[#This Row],[Account ID]],Accounts[Plaid Account ID],Accounts[Name],"Not Found",0)</f>
        <v>RBC Staff Banking</v>
      </c>
      <c r="M216" t="str">
        <f>_xlfn.XLOOKUP(Transactions[[#This Row],[Account ID]],Accounts[Plaid Account ID],Accounts[Institution Name],"Not Found",0)</f>
        <v>RBC Royal Bank</v>
      </c>
      <c r="N216" t="str">
        <f>IF(Transactions[[#This Row],[Amount]]&lt;0,"credit","debit")</f>
        <v>credit</v>
      </c>
      <c r="O216" t="str" cm="1">
        <f t="array" ref="O21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1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45201</v>
      </c>
      <c r="Q216" s="3">
        <f>DATE(YEAR(Transactions[[#This Row],[Datetime]]),MONTH(Transactions[[#This Row],[Datetime]]),1)</f>
        <v>45200</v>
      </c>
      <c r="R216" t="b">
        <f ca="1">AND(Transactions[[#This Row],[Datetime]]&gt;=EDATE(MAX(Transactions[Datetime]),-6),Transactions[[#This Row],[Datetime]]&lt;=TODAY())</f>
        <v>0</v>
      </c>
      <c r="S216" s="6">
        <f ca="1">AVERAGEIFS(Transactions[Month''s Total],Transactions[Recent],TRUE,Transactions[Custom Category],Transactions[[#This Row],[Custom Category]])</f>
        <v>-3209.0714285714284</v>
      </c>
      <c r="T216">
        <f>SUMIFS(Transactions[Amount],Transactions[Month],Transactions[[#This Row],[Month]],Transactions[Custom Category],Transactions[[#This Row],[Custom Category]])</f>
        <v>-4718</v>
      </c>
      <c r="U216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16">
        <f>IF(Transactions[[#This Row],[Month]]=Sel_Month,Transactions[[#This Row],[Amount]],0)</f>
        <v>0</v>
      </c>
    </row>
    <row r="217" spans="1:22" x14ac:dyDescent="0.25">
      <c r="A217" t="s">
        <v>61</v>
      </c>
      <c r="B217" t="s">
        <v>66</v>
      </c>
      <c r="C217">
        <v>-4</v>
      </c>
      <c r="D217" t="s">
        <v>99</v>
      </c>
      <c r="E217" t="s">
        <v>472</v>
      </c>
      <c r="F217" t="s">
        <v>69</v>
      </c>
      <c r="H217" t="s">
        <v>478</v>
      </c>
      <c r="I217" t="s">
        <v>71</v>
      </c>
      <c r="J217" t="b">
        <v>0</v>
      </c>
      <c r="K217" t="s">
        <v>479</v>
      </c>
      <c r="L217" t="str">
        <f>_xlfn.XLOOKUP(Transactions[[#This Row],[Account ID]],Accounts[Plaid Account ID],Accounts[Name],"Not Found",0)</f>
        <v>RBC Staff Banking</v>
      </c>
      <c r="M217" t="str">
        <f>_xlfn.XLOOKUP(Transactions[[#This Row],[Account ID]],Accounts[Plaid Account ID],Accounts[Institution Name],"Not Found",0)</f>
        <v>RBC Royal Bank</v>
      </c>
      <c r="N217" t="str">
        <f>IF(Transactions[[#This Row],[Amount]]&lt;0,"credit","debit")</f>
        <v>credit</v>
      </c>
      <c r="O217" t="str" cm="1">
        <f t="array" ref="O21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1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45201</v>
      </c>
      <c r="Q217" s="3">
        <f>DATE(YEAR(Transactions[[#This Row],[Datetime]]),MONTH(Transactions[[#This Row],[Datetime]]),1)</f>
        <v>45200</v>
      </c>
      <c r="R217" t="b">
        <f ca="1">AND(Transactions[[#This Row],[Datetime]]&gt;=EDATE(MAX(Transactions[Datetime]),-6),Transactions[[#This Row],[Datetime]]&lt;=TODAY())</f>
        <v>0</v>
      </c>
      <c r="S217" s="6">
        <f ca="1">AVERAGEIFS(Transactions[Month''s Total],Transactions[Recent],TRUE,Transactions[Custom Category],Transactions[[#This Row],[Custom Category]])</f>
        <v>-3209.0714285714284</v>
      </c>
      <c r="T217">
        <f>SUMIFS(Transactions[Amount],Transactions[Month],Transactions[[#This Row],[Month]],Transactions[Custom Category],Transactions[[#This Row],[Custom Category]])</f>
        <v>-4718</v>
      </c>
      <c r="U217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17">
        <f>IF(Transactions[[#This Row],[Month]]=Sel_Month,Transactions[[#This Row],[Amount]],0)</f>
        <v>0</v>
      </c>
    </row>
    <row r="218" spans="1:22" x14ac:dyDescent="0.25">
      <c r="A218" t="s">
        <v>61</v>
      </c>
      <c r="B218" t="s">
        <v>66</v>
      </c>
      <c r="C218">
        <v>-1470</v>
      </c>
      <c r="D218" t="s">
        <v>99</v>
      </c>
      <c r="E218" t="s">
        <v>472</v>
      </c>
      <c r="F218" t="s">
        <v>69</v>
      </c>
      <c r="H218" t="s">
        <v>480</v>
      </c>
      <c r="I218" t="s">
        <v>71</v>
      </c>
      <c r="J218" t="b">
        <v>0</v>
      </c>
      <c r="K218" t="s">
        <v>481</v>
      </c>
      <c r="L218" t="str">
        <f>_xlfn.XLOOKUP(Transactions[[#This Row],[Account ID]],Accounts[Plaid Account ID],Accounts[Name],"Not Found",0)</f>
        <v>RBC Staff Banking</v>
      </c>
      <c r="M218" t="str">
        <f>_xlfn.XLOOKUP(Transactions[[#This Row],[Account ID]],Accounts[Plaid Account ID],Accounts[Institution Name],"Not Found",0)</f>
        <v>RBC Royal Bank</v>
      </c>
      <c r="N218" t="str">
        <f>IF(Transactions[[#This Row],[Amount]]&lt;0,"credit","debit")</f>
        <v>credit</v>
      </c>
      <c r="O218" t="str" cm="1">
        <f t="array" ref="O21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1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45201</v>
      </c>
      <c r="Q218" s="3">
        <f>DATE(YEAR(Transactions[[#This Row],[Datetime]]),MONTH(Transactions[[#This Row],[Datetime]]),1)</f>
        <v>45200</v>
      </c>
      <c r="R218" t="b">
        <f ca="1">AND(Transactions[[#This Row],[Datetime]]&gt;=EDATE(MAX(Transactions[Datetime]),-6),Transactions[[#This Row],[Datetime]]&lt;=TODAY())</f>
        <v>0</v>
      </c>
      <c r="S218" s="6">
        <f ca="1">AVERAGEIFS(Transactions[Month''s Total],Transactions[Recent],TRUE,Transactions[Custom Category],Transactions[[#This Row],[Custom Category]])</f>
        <v>-3209.0714285714284</v>
      </c>
      <c r="T218">
        <f>SUMIFS(Transactions[Amount],Transactions[Month],Transactions[[#This Row],[Month]],Transactions[Custom Category],Transactions[[#This Row],[Custom Category]])</f>
        <v>-4718</v>
      </c>
      <c r="U218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18">
        <f>IF(Transactions[[#This Row],[Month]]=Sel_Month,Transactions[[#This Row],[Amount]],0)</f>
        <v>0</v>
      </c>
    </row>
    <row r="219" spans="1:22" x14ac:dyDescent="0.25">
      <c r="A219" t="s">
        <v>61</v>
      </c>
      <c r="B219" t="s">
        <v>66</v>
      </c>
      <c r="C219">
        <v>-417.84</v>
      </c>
      <c r="D219" t="s">
        <v>149</v>
      </c>
      <c r="E219" t="s">
        <v>472</v>
      </c>
      <c r="F219" t="s">
        <v>69</v>
      </c>
      <c r="H219" t="s">
        <v>482</v>
      </c>
      <c r="I219" t="s">
        <v>71</v>
      </c>
      <c r="J219" t="b">
        <v>0</v>
      </c>
      <c r="K219" t="s">
        <v>483</v>
      </c>
      <c r="L219" t="str">
        <f>_xlfn.XLOOKUP(Transactions[[#This Row],[Account ID]],Accounts[Plaid Account ID],Accounts[Name],"Not Found",0)</f>
        <v>RBC Staff Banking</v>
      </c>
      <c r="M219" t="str">
        <f>_xlfn.XLOOKUP(Transactions[[#This Row],[Account ID]],Accounts[Plaid Account ID],Accounts[Institution Name],"Not Found",0)</f>
        <v>RBC Royal Bank</v>
      </c>
      <c r="N219" t="str">
        <f>IF(Transactions[[#This Row],[Amount]]&lt;0,"credit","debit")</f>
        <v>credit</v>
      </c>
      <c r="O219" t="str" cm="1">
        <f t="array" ref="O21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1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45201</v>
      </c>
      <c r="Q219" s="3">
        <f>DATE(YEAR(Transactions[[#This Row],[Datetime]]),MONTH(Transactions[[#This Row],[Datetime]]),1)</f>
        <v>45200</v>
      </c>
      <c r="R219" t="b">
        <f ca="1">AND(Transactions[[#This Row],[Datetime]]&gt;=EDATE(MAX(Transactions[Datetime]),-6),Transactions[[#This Row],[Datetime]]&lt;=TODAY())</f>
        <v>0</v>
      </c>
      <c r="S219" s="6">
        <f ca="1">AVERAGEIFS(Transactions[Month''s Total],Transactions[Recent],TRUE,Transactions[Custom Category],Transactions[[#This Row],[Custom Category]])</f>
        <v>-18125.097037037034</v>
      </c>
      <c r="T219">
        <f>SUMIFS(Transactions[Amount],Transactions[Month],Transactions[[#This Row],[Month]],Transactions[Custom Category],Transactions[[#This Row],[Custom Category]])</f>
        <v>-1434.43</v>
      </c>
      <c r="U219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19">
        <f>IF(Transactions[[#This Row],[Month]]=Sel_Month,Transactions[[#This Row],[Amount]],0)</f>
        <v>0</v>
      </c>
    </row>
    <row r="220" spans="1:22" x14ac:dyDescent="0.25">
      <c r="A220" t="s">
        <v>61</v>
      </c>
      <c r="B220" t="s">
        <v>66</v>
      </c>
      <c r="C220">
        <v>192.58</v>
      </c>
      <c r="D220" t="s">
        <v>134</v>
      </c>
      <c r="E220" t="s">
        <v>467</v>
      </c>
      <c r="F220" t="s">
        <v>69</v>
      </c>
      <c r="G220" t="s">
        <v>135</v>
      </c>
      <c r="H220" t="s">
        <v>136</v>
      </c>
      <c r="I220" t="s">
        <v>132</v>
      </c>
      <c r="J220" t="b">
        <v>0</v>
      </c>
      <c r="K220" t="s">
        <v>468</v>
      </c>
      <c r="L220" t="str">
        <f>_xlfn.XLOOKUP(Transactions[[#This Row],[Account ID]],Accounts[Plaid Account ID],Accounts[Name],"Not Found",0)</f>
        <v>RBC Staff Banking</v>
      </c>
      <c r="M220" t="str">
        <f>_xlfn.XLOOKUP(Transactions[[#This Row],[Account ID]],Accounts[Plaid Account ID],Accounts[Institution Name],"Not Found",0)</f>
        <v>RBC Royal Bank</v>
      </c>
      <c r="N220" t="str">
        <f>IF(Transactions[[#This Row],[Amount]]&lt;0,"credit","debit")</f>
        <v>debit</v>
      </c>
      <c r="O220" t="str" cm="1">
        <f t="array" ref="O22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22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45204</v>
      </c>
      <c r="Q220" s="3">
        <f>DATE(YEAR(Transactions[[#This Row],[Datetime]]),MONTH(Transactions[[#This Row],[Datetime]]),1)</f>
        <v>45200</v>
      </c>
      <c r="R220" t="b">
        <f ca="1">AND(Transactions[[#This Row],[Datetime]]&gt;=EDATE(MAX(Transactions[Datetime]),-6),Transactions[[#This Row],[Datetime]]&lt;=TODAY())</f>
        <v>0</v>
      </c>
      <c r="S220" s="6">
        <f ca="1">AVERAGEIFS(Transactions[Month''s Total],Transactions[Recent],TRUE,Transactions[Custom Category],Transactions[[#This Row],[Custom Category]])</f>
        <v>624.12818181818193</v>
      </c>
      <c r="T220">
        <f>SUMIFS(Transactions[Amount],Transactions[Month],Transactions[[#This Row],[Month]],Transactions[Custom Category],Transactions[[#This Row],[Custom Category]])</f>
        <v>385.16</v>
      </c>
      <c r="U220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220">
        <f>IF(Transactions[[#This Row],[Month]]=Sel_Month,Transactions[[#This Row],[Amount]],0)</f>
        <v>0</v>
      </c>
    </row>
    <row r="221" spans="1:22" x14ac:dyDescent="0.25">
      <c r="A221" t="s">
        <v>61</v>
      </c>
      <c r="B221" t="s">
        <v>66</v>
      </c>
      <c r="C221">
        <v>24.8</v>
      </c>
      <c r="D221" t="s">
        <v>67</v>
      </c>
      <c r="E221" t="s">
        <v>467</v>
      </c>
      <c r="F221" t="s">
        <v>69</v>
      </c>
      <c r="H221" t="s">
        <v>469</v>
      </c>
      <c r="I221" t="s">
        <v>71</v>
      </c>
      <c r="J221" t="b">
        <v>0</v>
      </c>
      <c r="K221" t="s">
        <v>470</v>
      </c>
      <c r="L221" t="str">
        <f>_xlfn.XLOOKUP(Transactions[[#This Row],[Account ID]],Accounts[Plaid Account ID],Accounts[Name],"Not Found",0)</f>
        <v>RBC Staff Banking</v>
      </c>
      <c r="M221" t="str">
        <f>_xlfn.XLOOKUP(Transactions[[#This Row],[Account ID]],Accounts[Plaid Account ID],Accounts[Institution Name],"Not Found",0)</f>
        <v>RBC Royal Bank</v>
      </c>
      <c r="N221" t="str">
        <f>IF(Transactions[[#This Row],[Amount]]&lt;0,"credit","debit")</f>
        <v>debit</v>
      </c>
      <c r="O221" t="str" cm="1">
        <f t="array" ref="O22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2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45204</v>
      </c>
      <c r="Q221" s="3">
        <f>DATE(YEAR(Transactions[[#This Row],[Datetime]]),MONTH(Transactions[[#This Row],[Datetime]]),1)</f>
        <v>45200</v>
      </c>
      <c r="R221" t="b">
        <f ca="1">AND(Transactions[[#This Row],[Datetime]]&gt;=EDATE(MAX(Transactions[Datetime]),-6),Transactions[[#This Row],[Datetime]]&lt;=TODAY())</f>
        <v>0</v>
      </c>
      <c r="S221" s="6">
        <f ca="1">AVERAGEIFS(Transactions[Month''s Total],Transactions[Recent],TRUE,Transactions[Custom Category],Transactions[[#This Row],[Custom Category]])</f>
        <v>12758.461333333335</v>
      </c>
      <c r="T221">
        <f>SUMIFS(Transactions[Amount],Transactions[Month],Transactions[[#This Row],[Month]],Transactions[Custom Category],Transactions[[#This Row],[Custom Category]])</f>
        <v>1148.73</v>
      </c>
      <c r="U22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21">
        <f>IF(Transactions[[#This Row],[Month]]=Sel_Month,Transactions[[#This Row],[Amount]],0)</f>
        <v>0</v>
      </c>
    </row>
    <row r="222" spans="1:22" x14ac:dyDescent="0.25">
      <c r="A222" t="s">
        <v>61</v>
      </c>
      <c r="B222" t="s">
        <v>66</v>
      </c>
      <c r="C222">
        <v>-0.34</v>
      </c>
      <c r="D222" t="s">
        <v>213</v>
      </c>
      <c r="E222" t="s">
        <v>463</v>
      </c>
      <c r="F222" t="s">
        <v>69</v>
      </c>
      <c r="H222" t="s">
        <v>214</v>
      </c>
      <c r="I222" t="s">
        <v>71</v>
      </c>
      <c r="J222" t="b">
        <v>0</v>
      </c>
      <c r="K222" t="s">
        <v>464</v>
      </c>
      <c r="L222" t="str">
        <f>_xlfn.XLOOKUP(Transactions[[#This Row],[Account ID]],Accounts[Plaid Account ID],Accounts[Name],"Not Found",0)</f>
        <v>RBC Staff Banking</v>
      </c>
      <c r="M222" t="str">
        <f>_xlfn.XLOOKUP(Transactions[[#This Row],[Account ID]],Accounts[Plaid Account ID],Accounts[Institution Name],"Not Found",0)</f>
        <v>RBC Royal Bank</v>
      </c>
      <c r="N222" t="str">
        <f>IF(Transactions[[#This Row],[Amount]]&lt;0,"credit","debit")</f>
        <v>credit</v>
      </c>
      <c r="O222" t="str" cm="1">
        <f t="array" ref="O22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2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45208</v>
      </c>
      <c r="Q222" s="3">
        <f>DATE(YEAR(Transactions[[#This Row],[Datetime]]),MONTH(Transactions[[#This Row],[Datetime]]),1)</f>
        <v>45200</v>
      </c>
      <c r="R222" t="b">
        <f ca="1">AND(Transactions[[#This Row],[Datetime]]&gt;=EDATE(MAX(Transactions[Datetime]),-6),Transactions[[#This Row],[Datetime]]&lt;=TODAY())</f>
        <v>0</v>
      </c>
      <c r="S222" s="6">
        <f ca="1">AVERAGEIFS(Transactions[Month''s Total],Transactions[Recent],TRUE,Transactions[Custom Category],Transactions[[#This Row],[Custom Category]])</f>
        <v>14532.989714285719</v>
      </c>
      <c r="T222">
        <f>SUMIFS(Transactions[Amount],Transactions[Month],Transactions[[#This Row],[Month]],Transactions[Custom Category],Transactions[[#This Row],[Custom Category]])</f>
        <v>3947.8199999999993</v>
      </c>
      <c r="U22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22">
        <f>IF(Transactions[[#This Row],[Month]]=Sel_Month,Transactions[[#This Row],[Amount]],0)</f>
        <v>0</v>
      </c>
    </row>
    <row r="223" spans="1:22" x14ac:dyDescent="0.25">
      <c r="A223" t="s">
        <v>61</v>
      </c>
      <c r="B223" t="s">
        <v>66</v>
      </c>
      <c r="C223">
        <v>-1500</v>
      </c>
      <c r="D223" t="s">
        <v>99</v>
      </c>
      <c r="E223" t="s">
        <v>463</v>
      </c>
      <c r="F223" t="s">
        <v>69</v>
      </c>
      <c r="H223" t="s">
        <v>465</v>
      </c>
      <c r="I223" t="s">
        <v>71</v>
      </c>
      <c r="J223" t="b">
        <v>0</v>
      </c>
      <c r="K223" t="s">
        <v>466</v>
      </c>
      <c r="L223" t="str">
        <f>_xlfn.XLOOKUP(Transactions[[#This Row],[Account ID]],Accounts[Plaid Account ID],Accounts[Name],"Not Found",0)</f>
        <v>RBC Staff Banking</v>
      </c>
      <c r="M223" t="str">
        <f>_xlfn.XLOOKUP(Transactions[[#This Row],[Account ID]],Accounts[Plaid Account ID],Accounts[Institution Name],"Not Found",0)</f>
        <v>RBC Royal Bank</v>
      </c>
      <c r="N223" t="str">
        <f>IF(Transactions[[#This Row],[Amount]]&lt;0,"credit","debit")</f>
        <v>credit</v>
      </c>
      <c r="O223" t="str" cm="1">
        <f t="array" ref="O22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2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45208</v>
      </c>
      <c r="Q223" s="3">
        <f>DATE(YEAR(Transactions[[#This Row],[Datetime]]),MONTH(Transactions[[#This Row],[Datetime]]),1)</f>
        <v>45200</v>
      </c>
      <c r="R223" t="b">
        <f ca="1">AND(Transactions[[#This Row],[Datetime]]&gt;=EDATE(MAX(Transactions[Datetime]),-6),Transactions[[#This Row],[Datetime]]&lt;=TODAY())</f>
        <v>0</v>
      </c>
      <c r="S223" s="6">
        <f ca="1">AVERAGEIFS(Transactions[Month''s Total],Transactions[Recent],TRUE,Transactions[Custom Category],Transactions[[#This Row],[Custom Category]])</f>
        <v>14532.989714285719</v>
      </c>
      <c r="T223">
        <f>SUMIFS(Transactions[Amount],Transactions[Month],Transactions[[#This Row],[Month]],Transactions[Custom Category],Transactions[[#This Row],[Custom Category]])</f>
        <v>3947.8199999999993</v>
      </c>
      <c r="U22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23">
        <f>IF(Transactions[[#This Row],[Month]]=Sel_Month,Transactions[[#This Row],[Amount]],0)</f>
        <v>0</v>
      </c>
    </row>
    <row r="224" spans="1:22" x14ac:dyDescent="0.25">
      <c r="A224" t="s">
        <v>61</v>
      </c>
      <c r="B224" t="s">
        <v>66</v>
      </c>
      <c r="C224">
        <v>50</v>
      </c>
      <c r="D224" t="s">
        <v>67</v>
      </c>
      <c r="E224" t="s">
        <v>460</v>
      </c>
      <c r="F224" t="s">
        <v>69</v>
      </c>
      <c r="H224" t="s">
        <v>461</v>
      </c>
      <c r="I224" t="s">
        <v>71</v>
      </c>
      <c r="J224" t="b">
        <v>0</v>
      </c>
      <c r="K224" t="s">
        <v>462</v>
      </c>
      <c r="L224" t="str">
        <f>_xlfn.XLOOKUP(Transactions[[#This Row],[Account ID]],Accounts[Plaid Account ID],Accounts[Name],"Not Found",0)</f>
        <v>RBC Staff Banking</v>
      </c>
      <c r="M224" t="str">
        <f>_xlfn.XLOOKUP(Transactions[[#This Row],[Account ID]],Accounts[Plaid Account ID],Accounts[Institution Name],"Not Found",0)</f>
        <v>RBC Royal Bank</v>
      </c>
      <c r="N224" t="str">
        <f>IF(Transactions[[#This Row],[Amount]]&lt;0,"credit","debit")</f>
        <v>debit</v>
      </c>
      <c r="O224" t="str" cm="1">
        <f t="array" ref="O22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2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45209</v>
      </c>
      <c r="Q224" s="3">
        <f>DATE(YEAR(Transactions[[#This Row],[Datetime]]),MONTH(Transactions[[#This Row],[Datetime]]),1)</f>
        <v>45200</v>
      </c>
      <c r="R224" t="b">
        <f ca="1">AND(Transactions[[#This Row],[Datetime]]&gt;=EDATE(MAX(Transactions[Datetime]),-6),Transactions[[#This Row],[Datetime]]&lt;=TODAY())</f>
        <v>0</v>
      </c>
      <c r="S224" s="6">
        <f ca="1">AVERAGEIFS(Transactions[Month''s Total],Transactions[Recent],TRUE,Transactions[Custom Category],Transactions[[#This Row],[Custom Category]])</f>
        <v>12758.461333333335</v>
      </c>
      <c r="T224">
        <f>SUMIFS(Transactions[Amount],Transactions[Month],Transactions[[#This Row],[Month]],Transactions[Custom Category],Transactions[[#This Row],[Custom Category]])</f>
        <v>1148.73</v>
      </c>
      <c r="U22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24">
        <f>IF(Transactions[[#This Row],[Month]]=Sel_Month,Transactions[[#This Row],[Amount]],0)</f>
        <v>0</v>
      </c>
    </row>
    <row r="225" spans="1:22" x14ac:dyDescent="0.25">
      <c r="A225" t="s">
        <v>61</v>
      </c>
      <c r="B225" t="s">
        <v>66</v>
      </c>
      <c r="C225">
        <v>150.52000000000001</v>
      </c>
      <c r="D225" t="s">
        <v>165</v>
      </c>
      <c r="E225" t="s">
        <v>455</v>
      </c>
      <c r="F225" t="s">
        <v>69</v>
      </c>
      <c r="G225" t="s">
        <v>166</v>
      </c>
      <c r="H225" t="s">
        <v>167</v>
      </c>
      <c r="I225" t="s">
        <v>132</v>
      </c>
      <c r="J225" t="b">
        <v>0</v>
      </c>
      <c r="K225" t="s">
        <v>456</v>
      </c>
      <c r="L225" t="str">
        <f>_xlfn.XLOOKUP(Transactions[[#This Row],[Account ID]],Accounts[Plaid Account ID],Accounts[Name],"Not Found",0)</f>
        <v>RBC Staff Banking</v>
      </c>
      <c r="M225" t="str">
        <f>_xlfn.XLOOKUP(Transactions[[#This Row],[Account ID]],Accounts[Plaid Account ID],Accounts[Institution Name],"Not Found",0)</f>
        <v>RBC Royal Bank</v>
      </c>
      <c r="N225" t="str">
        <f>IF(Transactions[[#This Row],[Amount]]&lt;0,"credit","debit")</f>
        <v>debit</v>
      </c>
      <c r="O225" t="str" cm="1">
        <f t="array" ref="O22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Utilities,Electric</v>
      </c>
      <c r="P22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45210</v>
      </c>
      <c r="Q225" s="3">
        <f>DATE(YEAR(Transactions[[#This Row],[Datetime]]),MONTH(Transactions[[#This Row],[Datetime]]),1)</f>
        <v>45200</v>
      </c>
      <c r="R225" t="b">
        <f ca="1">AND(Transactions[[#This Row],[Datetime]]&gt;=EDATE(MAX(Transactions[Datetime]),-6),Transactions[[#This Row],[Datetime]]&lt;=TODAY())</f>
        <v>0</v>
      </c>
      <c r="S225" s="6">
        <f ca="1">AVERAGEIFS(Transactions[Month''s Total],Transactions[Recent],TRUE,Transactions[Custom Category],Transactions[[#This Row],[Custom Category]])</f>
        <v>139.88333333333333</v>
      </c>
      <c r="T225">
        <f>SUMIFS(Transactions[Amount],Transactions[Month],Transactions[[#This Row],[Month]],Transactions[Custom Category],Transactions[[#This Row],[Custom Category]])</f>
        <v>150.52000000000001</v>
      </c>
      <c r="U225">
        <f ca="1">IF(COUNTIF(Budgets[Custom Category],Transactions[[#This Row],[Custom Category]])=0,Transactions[[#This Row],[6M AVG]],_xlfn.XLOOKUP(Transactions[[#This Row],[Custom Category]],Budgets[Custom Category],Budgets[Monthly],0,0))</f>
        <v>139.88333333333333</v>
      </c>
      <c r="V225">
        <f>IF(Transactions[[#This Row],[Month]]=Sel_Month,Transactions[[#This Row],[Amount]],0)</f>
        <v>0</v>
      </c>
    </row>
    <row r="226" spans="1:22" x14ac:dyDescent="0.25">
      <c r="A226" t="s">
        <v>61</v>
      </c>
      <c r="B226" t="s">
        <v>66</v>
      </c>
      <c r="C226">
        <v>81.93</v>
      </c>
      <c r="D226" t="s">
        <v>152</v>
      </c>
      <c r="E226" t="s">
        <v>455</v>
      </c>
      <c r="F226" t="s">
        <v>69</v>
      </c>
      <c r="G226" t="s">
        <v>153</v>
      </c>
      <c r="H226" t="s">
        <v>154</v>
      </c>
      <c r="I226" t="s">
        <v>132</v>
      </c>
      <c r="J226" t="b">
        <v>0</v>
      </c>
      <c r="K226" t="s">
        <v>457</v>
      </c>
      <c r="L226" t="str">
        <f>_xlfn.XLOOKUP(Transactions[[#This Row],[Account ID]],Accounts[Plaid Account ID],Accounts[Name],"Not Found",0)</f>
        <v>RBC Staff Banking</v>
      </c>
      <c r="M226" t="str">
        <f>_xlfn.XLOOKUP(Transactions[[#This Row],[Account ID]],Accounts[Plaid Account ID],Accounts[Institution Name],"Not Found",0)</f>
        <v>RBC Royal Bank</v>
      </c>
      <c r="N226" t="str">
        <f>IF(Transactions[[#This Row],[Amount]]&lt;0,"credit","debit")</f>
        <v>debit</v>
      </c>
      <c r="O226" t="str" cm="1">
        <f t="array" ref="O22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22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45210</v>
      </c>
      <c r="Q226" s="3">
        <f>DATE(YEAR(Transactions[[#This Row],[Datetime]]),MONTH(Transactions[[#This Row],[Datetime]]),1)</f>
        <v>45200</v>
      </c>
      <c r="R226" t="b">
        <f ca="1">AND(Transactions[[#This Row],[Datetime]]&gt;=EDATE(MAX(Transactions[Datetime]),-6),Transactions[[#This Row],[Datetime]]&lt;=TODAY())</f>
        <v>0</v>
      </c>
      <c r="S226" s="6">
        <f ca="1">AVERAGEIFS(Transactions[Month''s Total],Transactions[Recent],TRUE,Transactions[Custom Category],Transactions[[#This Row],[Custom Category]])</f>
        <v>153.08333333333331</v>
      </c>
      <c r="T226">
        <f>SUMIFS(Transactions[Amount],Transactions[Month],Transactions[[#This Row],[Month]],Transactions[Custom Category],Transactions[[#This Row],[Custom Category]])</f>
        <v>81.93</v>
      </c>
      <c r="U226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226">
        <f>IF(Transactions[[#This Row],[Month]]=Sel_Month,Transactions[[#This Row],[Amount]],0)</f>
        <v>0</v>
      </c>
    </row>
    <row r="227" spans="1:22" x14ac:dyDescent="0.25">
      <c r="A227" t="s">
        <v>61</v>
      </c>
      <c r="B227" t="s">
        <v>66</v>
      </c>
      <c r="C227">
        <v>16</v>
      </c>
      <c r="D227" t="s">
        <v>67</v>
      </c>
      <c r="E227" t="s">
        <v>455</v>
      </c>
      <c r="F227" t="s">
        <v>69</v>
      </c>
      <c r="H227" t="s">
        <v>458</v>
      </c>
      <c r="I227" t="s">
        <v>71</v>
      </c>
      <c r="J227" t="b">
        <v>0</v>
      </c>
      <c r="K227" t="s">
        <v>459</v>
      </c>
      <c r="L227" t="str">
        <f>_xlfn.XLOOKUP(Transactions[[#This Row],[Account ID]],Accounts[Plaid Account ID],Accounts[Name],"Not Found",0)</f>
        <v>RBC Staff Banking</v>
      </c>
      <c r="M227" t="str">
        <f>_xlfn.XLOOKUP(Transactions[[#This Row],[Account ID]],Accounts[Plaid Account ID],Accounts[Institution Name],"Not Found",0)</f>
        <v>RBC Royal Bank</v>
      </c>
      <c r="N227" t="str">
        <f>IF(Transactions[[#This Row],[Amount]]&lt;0,"credit","debit")</f>
        <v>debit</v>
      </c>
      <c r="O227" t="str" cm="1">
        <f t="array" ref="O22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2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45210</v>
      </c>
      <c r="Q227" s="3">
        <f>DATE(YEAR(Transactions[[#This Row],[Datetime]]),MONTH(Transactions[[#This Row],[Datetime]]),1)</f>
        <v>45200</v>
      </c>
      <c r="R227" t="b">
        <f ca="1">AND(Transactions[[#This Row],[Datetime]]&gt;=EDATE(MAX(Transactions[Datetime]),-6),Transactions[[#This Row],[Datetime]]&lt;=TODAY())</f>
        <v>0</v>
      </c>
      <c r="S227" s="6">
        <f ca="1">AVERAGEIFS(Transactions[Month''s Total],Transactions[Recent],TRUE,Transactions[Custom Category],Transactions[[#This Row],[Custom Category]])</f>
        <v>14532.989714285719</v>
      </c>
      <c r="T227">
        <f>SUMIFS(Transactions[Amount],Transactions[Month],Transactions[[#This Row],[Month]],Transactions[Custom Category],Transactions[[#This Row],[Custom Category]])</f>
        <v>3947.8199999999993</v>
      </c>
      <c r="U22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27">
        <f>IF(Transactions[[#This Row],[Month]]=Sel_Month,Transactions[[#This Row],[Amount]],0)</f>
        <v>0</v>
      </c>
    </row>
    <row r="228" spans="1:22" x14ac:dyDescent="0.25">
      <c r="A228" t="s">
        <v>61</v>
      </c>
      <c r="B228" t="s">
        <v>66</v>
      </c>
      <c r="C228">
        <v>-244</v>
      </c>
      <c r="D228" t="s">
        <v>275</v>
      </c>
      <c r="E228" t="s">
        <v>452</v>
      </c>
      <c r="F228" t="s">
        <v>69</v>
      </c>
      <c r="H228" t="s">
        <v>453</v>
      </c>
      <c r="I228" t="s">
        <v>71</v>
      </c>
      <c r="J228" t="b">
        <v>0</v>
      </c>
      <c r="K228" t="s">
        <v>454</v>
      </c>
      <c r="L228" t="str">
        <f>_xlfn.XLOOKUP(Transactions[[#This Row],[Account ID]],Accounts[Plaid Account ID],Accounts[Name],"Not Found",0)</f>
        <v>RBC Staff Banking</v>
      </c>
      <c r="M228" t="str">
        <f>_xlfn.XLOOKUP(Transactions[[#This Row],[Account ID]],Accounts[Plaid Account ID],Accounts[Institution Name],"Not Found",0)</f>
        <v>RBC Royal Bank</v>
      </c>
      <c r="N228" t="str">
        <f>IF(Transactions[[#This Row],[Amount]]&lt;0,"credit","debit")</f>
        <v>credit</v>
      </c>
      <c r="O228" t="str" cm="1">
        <f t="array" ref="O22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Payroll, Benefits</v>
      </c>
      <c r="P22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45211</v>
      </c>
      <c r="Q228" s="3">
        <f>DATE(YEAR(Transactions[[#This Row],[Datetime]]),MONTH(Transactions[[#This Row],[Datetime]]),1)</f>
        <v>45200</v>
      </c>
      <c r="R228" t="b">
        <f ca="1">AND(Transactions[[#This Row],[Datetime]]&gt;=EDATE(MAX(Transactions[Datetime]),-6),Transactions[[#This Row],[Datetime]]&lt;=TODAY())</f>
        <v>0</v>
      </c>
      <c r="S228" s="6">
        <f ca="1">AVERAGEIFS(Transactions[Month''s Total],Transactions[Recent],TRUE,Transactions[Custom Category],Transactions[[#This Row],[Custom Category]])</f>
        <v>-244</v>
      </c>
      <c r="T228">
        <f>SUMIFS(Transactions[Amount],Transactions[Month],Transactions[[#This Row],[Month]],Transactions[Custom Category],Transactions[[#This Row],[Custom Category]])</f>
        <v>-244</v>
      </c>
      <c r="U228">
        <f ca="1">IF(COUNTIF(Budgets[Custom Category],Transactions[[#This Row],[Custom Category]])=0,Transactions[[#This Row],[6M AVG]],_xlfn.XLOOKUP(Transactions[[#This Row],[Custom Category]],Budgets[Custom Category],Budgets[Monthly],0,0))</f>
        <v>-244</v>
      </c>
      <c r="V228">
        <f>IF(Transactions[[#This Row],[Month]]=Sel_Month,Transactions[[#This Row],[Amount]],0)</f>
        <v>0</v>
      </c>
    </row>
    <row r="229" spans="1:22" x14ac:dyDescent="0.25">
      <c r="A229" t="s">
        <v>61</v>
      </c>
      <c r="B229" t="s">
        <v>66</v>
      </c>
      <c r="C229">
        <v>1652.35</v>
      </c>
      <c r="D229" t="s">
        <v>174</v>
      </c>
      <c r="E229" t="s">
        <v>443</v>
      </c>
      <c r="F229" t="s">
        <v>69</v>
      </c>
      <c r="H229" t="s">
        <v>176</v>
      </c>
      <c r="I229" t="s">
        <v>71</v>
      </c>
      <c r="J229" t="b">
        <v>0</v>
      </c>
      <c r="K229" t="s">
        <v>444</v>
      </c>
      <c r="L229" t="str">
        <f>_xlfn.XLOOKUP(Transactions[[#This Row],[Account ID]],Accounts[Plaid Account ID],Accounts[Name],"Not Found",0)</f>
        <v>RBC Staff Banking</v>
      </c>
      <c r="M229" t="str">
        <f>_xlfn.XLOOKUP(Transactions[[#This Row],[Account ID]],Accounts[Plaid Account ID],Accounts[Institution Name],"Not Found",0)</f>
        <v>RBC Royal Bank</v>
      </c>
      <c r="N229" t="str">
        <f>IF(Transactions[[#This Row],[Amount]]&lt;0,"credit","debit")</f>
        <v>debit</v>
      </c>
      <c r="O229" t="str" cm="1">
        <f t="array" ref="O22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2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45214</v>
      </c>
      <c r="Q229" s="3">
        <f>DATE(YEAR(Transactions[[#This Row],[Datetime]]),MONTH(Transactions[[#This Row],[Datetime]]),1)</f>
        <v>45200</v>
      </c>
      <c r="R229" t="b">
        <f ca="1">AND(Transactions[[#This Row],[Datetime]]&gt;=EDATE(MAX(Transactions[Datetime]),-6),Transactions[[#This Row],[Datetime]]&lt;=TODAY())</f>
        <v>0</v>
      </c>
      <c r="S229" s="6">
        <f ca="1">AVERAGEIFS(Transactions[Month''s Total],Transactions[Recent],TRUE,Transactions[Custom Category],Transactions[[#This Row],[Custom Category]])</f>
        <v>14532.989714285719</v>
      </c>
      <c r="T229">
        <f>SUMIFS(Transactions[Amount],Transactions[Month],Transactions[[#This Row],[Month]],Transactions[Custom Category],Transactions[[#This Row],[Custom Category]])</f>
        <v>3947.8199999999993</v>
      </c>
      <c r="U22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29">
        <f>IF(Transactions[[#This Row],[Month]]=Sel_Month,Transactions[[#This Row],[Amount]],0)</f>
        <v>0</v>
      </c>
    </row>
    <row r="230" spans="1:22" x14ac:dyDescent="0.25">
      <c r="A230" t="s">
        <v>61</v>
      </c>
      <c r="B230" t="s">
        <v>66</v>
      </c>
      <c r="C230">
        <v>420.55</v>
      </c>
      <c r="D230" t="s">
        <v>129</v>
      </c>
      <c r="E230" t="s">
        <v>443</v>
      </c>
      <c r="F230" t="s">
        <v>69</v>
      </c>
      <c r="G230" t="s">
        <v>130</v>
      </c>
      <c r="H230" t="s">
        <v>131</v>
      </c>
      <c r="I230" t="s">
        <v>132</v>
      </c>
      <c r="J230" t="b">
        <v>0</v>
      </c>
      <c r="K230" t="s">
        <v>445</v>
      </c>
      <c r="L230" t="str">
        <f>_xlfn.XLOOKUP(Transactions[[#This Row],[Account ID]],Accounts[Plaid Account ID],Accounts[Name],"Not Found",0)</f>
        <v>RBC Staff Banking</v>
      </c>
      <c r="M230" t="str">
        <f>_xlfn.XLOOKUP(Transactions[[#This Row],[Account ID]],Accounts[Plaid Account ID],Accounts[Institution Name],"Not Found",0)</f>
        <v>RBC Royal Bank</v>
      </c>
      <c r="N230" t="str">
        <f>IF(Transactions[[#This Row],[Amount]]&lt;0,"credit","debit")</f>
        <v>debit</v>
      </c>
      <c r="O230" t="str" cm="1">
        <f t="array" ref="O23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Insurance,Car</v>
      </c>
      <c r="P23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45214</v>
      </c>
      <c r="Q230" s="3">
        <f>DATE(YEAR(Transactions[[#This Row],[Datetime]]),MONTH(Transactions[[#This Row],[Datetime]]),1)</f>
        <v>45200</v>
      </c>
      <c r="R230" t="b">
        <f ca="1">AND(Transactions[[#This Row],[Datetime]]&gt;=EDATE(MAX(Transactions[Datetime]),-6),Transactions[[#This Row],[Datetime]]&lt;=TODAY())</f>
        <v>0</v>
      </c>
      <c r="S230" s="6">
        <f ca="1">AVERAGEIFS(Transactions[Month''s Total],Transactions[Recent],TRUE,Transactions[Custom Category],Transactions[[#This Row],[Custom Category]])</f>
        <v>432.99599999999998</v>
      </c>
      <c r="T230">
        <f>SUMIFS(Transactions[Amount],Transactions[Month],Transactions[[#This Row],[Month]],Transactions[Custom Category],Transactions[[#This Row],[Custom Category]])</f>
        <v>420.55</v>
      </c>
      <c r="U230">
        <f ca="1">IF(COUNTIF(Budgets[Custom Category],Transactions[[#This Row],[Custom Category]])=0,Transactions[[#This Row],[6M AVG]],_xlfn.XLOOKUP(Transactions[[#This Row],[Custom Category]],Budgets[Custom Category],Budgets[Monthly],0,0))</f>
        <v>432.99599999999998</v>
      </c>
      <c r="V230">
        <f>IF(Transactions[[#This Row],[Month]]=Sel_Month,Transactions[[#This Row],[Amount]],0)</f>
        <v>0</v>
      </c>
    </row>
    <row r="231" spans="1:22" x14ac:dyDescent="0.25">
      <c r="A231" t="s">
        <v>61</v>
      </c>
      <c r="B231" t="s">
        <v>66</v>
      </c>
      <c r="C231">
        <v>65.7</v>
      </c>
      <c r="D231" t="s">
        <v>129</v>
      </c>
      <c r="E231" t="s">
        <v>443</v>
      </c>
      <c r="F231" t="s">
        <v>69</v>
      </c>
      <c r="G231" t="s">
        <v>138</v>
      </c>
      <c r="H231" t="s">
        <v>139</v>
      </c>
      <c r="I231" t="s">
        <v>132</v>
      </c>
      <c r="J231" t="b">
        <v>0</v>
      </c>
      <c r="K231" t="s">
        <v>446</v>
      </c>
      <c r="L231" t="str">
        <f>_xlfn.XLOOKUP(Transactions[[#This Row],[Account ID]],Accounts[Plaid Account ID],Accounts[Name],"Not Found",0)</f>
        <v>RBC Staff Banking</v>
      </c>
      <c r="M231" t="str">
        <f>_xlfn.XLOOKUP(Transactions[[#This Row],[Account ID]],Accounts[Plaid Account ID],Accounts[Institution Name],"Not Found",0)</f>
        <v>RBC Royal Bank</v>
      </c>
      <c r="N231" t="str">
        <f>IF(Transactions[[#This Row],[Amount]]&lt;0,"credit","debit")</f>
        <v>debit</v>
      </c>
      <c r="O231" t="str" cm="1">
        <f t="array" ref="O23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Insurance,Life</v>
      </c>
      <c r="P23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45214</v>
      </c>
      <c r="Q231" s="3">
        <f>DATE(YEAR(Transactions[[#This Row],[Datetime]]),MONTH(Transactions[[#This Row],[Datetime]]),1)</f>
        <v>45200</v>
      </c>
      <c r="R231" t="b">
        <f ca="1">AND(Transactions[[#This Row],[Datetime]]&gt;=EDATE(MAX(Transactions[Datetime]),-6),Transactions[[#This Row],[Datetime]]&lt;=TODAY())</f>
        <v>0</v>
      </c>
      <c r="S231" s="6">
        <f ca="1">AVERAGEIFS(Transactions[Month''s Total],Transactions[Recent],TRUE,Transactions[Custom Category],Transactions[[#This Row],[Custom Category]])</f>
        <v>65.7</v>
      </c>
      <c r="T231">
        <f>SUMIFS(Transactions[Amount],Transactions[Month],Transactions[[#This Row],[Month]],Transactions[Custom Category],Transactions[[#This Row],[Custom Category]])</f>
        <v>65.7</v>
      </c>
      <c r="U231">
        <f ca="1">IF(COUNTIF(Budgets[Custom Category],Transactions[[#This Row],[Custom Category]])=0,Transactions[[#This Row],[6M AVG]],_xlfn.XLOOKUP(Transactions[[#This Row],[Custom Category]],Budgets[Custom Category],Budgets[Monthly],0,0))</f>
        <v>65.7</v>
      </c>
      <c r="V231">
        <f>IF(Transactions[[#This Row],[Month]]=Sel_Month,Transactions[[#This Row],[Amount]],0)</f>
        <v>0</v>
      </c>
    </row>
    <row r="232" spans="1:22" x14ac:dyDescent="0.25">
      <c r="A232" t="s">
        <v>61</v>
      </c>
      <c r="B232" t="s">
        <v>66</v>
      </c>
      <c r="C232">
        <v>50.86</v>
      </c>
      <c r="D232" t="s">
        <v>129</v>
      </c>
      <c r="E232" t="s">
        <v>443</v>
      </c>
      <c r="F232" t="s">
        <v>69</v>
      </c>
      <c r="G232" t="s">
        <v>130</v>
      </c>
      <c r="H232" t="s">
        <v>131</v>
      </c>
      <c r="I232" t="s">
        <v>132</v>
      </c>
      <c r="J232" t="b">
        <v>0</v>
      </c>
      <c r="K232" t="s">
        <v>447</v>
      </c>
      <c r="L232" t="str">
        <f>_xlfn.XLOOKUP(Transactions[[#This Row],[Account ID]],Accounts[Plaid Account ID],Accounts[Name],"Not Found",0)</f>
        <v>RBC Staff Banking</v>
      </c>
      <c r="M232" t="str">
        <f>_xlfn.XLOOKUP(Transactions[[#This Row],[Account ID]],Accounts[Plaid Account ID],Accounts[Institution Name],"Not Found",0)</f>
        <v>RBC Royal Bank</v>
      </c>
      <c r="N232" t="str">
        <f>IF(Transactions[[#This Row],[Amount]]&lt;0,"credit","debit")</f>
        <v>debit</v>
      </c>
      <c r="O232" t="str" cm="1">
        <f t="array" ref="O23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Insurance,Home</v>
      </c>
      <c r="P23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45214</v>
      </c>
      <c r="Q232" s="3">
        <f>DATE(YEAR(Transactions[[#This Row],[Datetime]]),MONTH(Transactions[[#This Row],[Datetime]]),1)</f>
        <v>45200</v>
      </c>
      <c r="R232" t="b">
        <f ca="1">AND(Transactions[[#This Row],[Datetime]]&gt;=EDATE(MAX(Transactions[Datetime]),-6),Transactions[[#This Row],[Datetime]]&lt;=TODAY())</f>
        <v>0</v>
      </c>
      <c r="S232" s="6">
        <f ca="1">AVERAGEIFS(Transactions[Month''s Total],Transactions[Recent],TRUE,Transactions[Custom Category],Transactions[[#This Row],[Custom Category]])</f>
        <v>57.905000000000001</v>
      </c>
      <c r="T232">
        <f>SUMIFS(Transactions[Amount],Transactions[Month],Transactions[[#This Row],[Month]],Transactions[Custom Category],Transactions[[#This Row],[Custom Category]])</f>
        <v>50.86</v>
      </c>
      <c r="U232">
        <f ca="1">IF(COUNTIF(Budgets[Custom Category],Transactions[[#This Row],[Custom Category]])=0,Transactions[[#This Row],[6M AVG]],_xlfn.XLOOKUP(Transactions[[#This Row],[Custom Category]],Budgets[Custom Category],Budgets[Monthly],0,0))</f>
        <v>57.905000000000001</v>
      </c>
      <c r="V232">
        <f>IF(Transactions[[#This Row],[Month]]=Sel_Month,Transactions[[#This Row],[Amount]],0)</f>
        <v>0</v>
      </c>
    </row>
    <row r="233" spans="1:22" x14ac:dyDescent="0.25">
      <c r="A233" t="s">
        <v>61</v>
      </c>
      <c r="B233" t="s">
        <v>66</v>
      </c>
      <c r="C233">
        <v>-240</v>
      </c>
      <c r="D233" t="s">
        <v>99</v>
      </c>
      <c r="E233" t="s">
        <v>443</v>
      </c>
      <c r="F233" t="s">
        <v>69</v>
      </c>
      <c r="H233" t="s">
        <v>448</v>
      </c>
      <c r="I233" t="s">
        <v>71</v>
      </c>
      <c r="J233" t="b">
        <v>0</v>
      </c>
      <c r="K233" t="s">
        <v>449</v>
      </c>
      <c r="L233" t="str">
        <f>_xlfn.XLOOKUP(Transactions[[#This Row],[Account ID]],Accounts[Plaid Account ID],Accounts[Name],"Not Found",0)</f>
        <v>RBC Staff Banking</v>
      </c>
      <c r="M233" t="str">
        <f>_xlfn.XLOOKUP(Transactions[[#This Row],[Account ID]],Accounts[Plaid Account ID],Accounts[Institution Name],"Not Found",0)</f>
        <v>RBC Royal Bank</v>
      </c>
      <c r="N233" t="str">
        <f>IF(Transactions[[#This Row],[Amount]]&lt;0,"credit","debit")</f>
        <v>credit</v>
      </c>
      <c r="O233" t="str" cm="1">
        <f t="array" ref="O23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3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45214</v>
      </c>
      <c r="Q233" s="3">
        <f>DATE(YEAR(Transactions[[#This Row],[Datetime]]),MONTH(Transactions[[#This Row],[Datetime]]),1)</f>
        <v>45200</v>
      </c>
      <c r="R233" t="b">
        <f ca="1">AND(Transactions[[#This Row],[Datetime]]&gt;=EDATE(MAX(Transactions[Datetime]),-6),Transactions[[#This Row],[Datetime]]&lt;=TODAY())</f>
        <v>0</v>
      </c>
      <c r="S233" s="6">
        <f ca="1">AVERAGEIFS(Transactions[Month''s Total],Transactions[Recent],TRUE,Transactions[Custom Category],Transactions[[#This Row],[Custom Category]])</f>
        <v>-3209.0714285714284</v>
      </c>
      <c r="T233">
        <f>SUMIFS(Transactions[Amount],Transactions[Month],Transactions[[#This Row],[Month]],Transactions[Custom Category],Transactions[[#This Row],[Custom Category]])</f>
        <v>-4718</v>
      </c>
      <c r="U233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33">
        <f>IF(Transactions[[#This Row],[Month]]=Sel_Month,Transactions[[#This Row],[Amount]],0)</f>
        <v>0</v>
      </c>
    </row>
    <row r="234" spans="1:22" x14ac:dyDescent="0.25">
      <c r="A234" t="s">
        <v>61</v>
      </c>
      <c r="B234" t="s">
        <v>66</v>
      </c>
      <c r="C234">
        <v>-1022.62</v>
      </c>
      <c r="D234" t="s">
        <v>149</v>
      </c>
      <c r="E234" t="s">
        <v>443</v>
      </c>
      <c r="F234" t="s">
        <v>69</v>
      </c>
      <c r="H234" t="s">
        <v>450</v>
      </c>
      <c r="I234" t="s">
        <v>71</v>
      </c>
      <c r="J234" t="b">
        <v>0</v>
      </c>
      <c r="K234" t="s">
        <v>451</v>
      </c>
      <c r="L234" t="str">
        <f>_xlfn.XLOOKUP(Transactions[[#This Row],[Account ID]],Accounts[Plaid Account ID],Accounts[Name],"Not Found",0)</f>
        <v>RBC Staff Banking</v>
      </c>
      <c r="M234" t="str">
        <f>_xlfn.XLOOKUP(Transactions[[#This Row],[Account ID]],Accounts[Plaid Account ID],Accounts[Institution Name],"Not Found",0)</f>
        <v>RBC Royal Bank</v>
      </c>
      <c r="N234" t="str">
        <f>IF(Transactions[[#This Row],[Amount]]&lt;0,"credit","debit")</f>
        <v>credit</v>
      </c>
      <c r="O234" t="str" cm="1">
        <f t="array" ref="O23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3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45214</v>
      </c>
      <c r="Q234" s="3">
        <f>DATE(YEAR(Transactions[[#This Row],[Datetime]]),MONTH(Transactions[[#This Row],[Datetime]]),1)</f>
        <v>45200</v>
      </c>
      <c r="R234" t="b">
        <f ca="1">AND(Transactions[[#This Row],[Datetime]]&gt;=EDATE(MAX(Transactions[Datetime]),-6),Transactions[[#This Row],[Datetime]]&lt;=TODAY())</f>
        <v>0</v>
      </c>
      <c r="S234" s="6">
        <f ca="1">AVERAGEIFS(Transactions[Month''s Total],Transactions[Recent],TRUE,Transactions[Custom Category],Transactions[[#This Row],[Custom Category]])</f>
        <v>-18125.097037037034</v>
      </c>
      <c r="T234">
        <f>SUMIFS(Transactions[Amount],Transactions[Month],Transactions[[#This Row],[Month]],Transactions[Custom Category],Transactions[[#This Row],[Custom Category]])</f>
        <v>-1434.43</v>
      </c>
      <c r="U234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34">
        <f>IF(Transactions[[#This Row],[Month]]=Sel_Month,Transactions[[#This Row],[Amount]],0)</f>
        <v>0</v>
      </c>
    </row>
    <row r="235" spans="1:22" x14ac:dyDescent="0.25">
      <c r="A235" t="s">
        <v>61</v>
      </c>
      <c r="B235" t="s">
        <v>66</v>
      </c>
      <c r="C235">
        <v>0.46</v>
      </c>
      <c r="D235" t="s">
        <v>95</v>
      </c>
      <c r="E235" t="s">
        <v>436</v>
      </c>
      <c r="F235" t="s">
        <v>69</v>
      </c>
      <c r="H235" t="s">
        <v>118</v>
      </c>
      <c r="I235" t="s">
        <v>71</v>
      </c>
      <c r="J235" t="b">
        <v>0</v>
      </c>
      <c r="K235" t="s">
        <v>437</v>
      </c>
      <c r="L235" t="str">
        <f>_xlfn.XLOOKUP(Transactions[[#This Row],[Account ID]],Accounts[Plaid Account ID],Accounts[Name],"Not Found",0)</f>
        <v>RBC Staff Banking</v>
      </c>
      <c r="M235" t="str">
        <f>_xlfn.XLOOKUP(Transactions[[#This Row],[Account ID]],Accounts[Plaid Account ID],Accounts[Institution Name],"Not Found",0)</f>
        <v>RBC Royal Bank</v>
      </c>
      <c r="N235" t="str">
        <f>IF(Transactions[[#This Row],[Amount]]&lt;0,"credit","debit")</f>
        <v>debit</v>
      </c>
      <c r="O235" t="str" cm="1">
        <f t="array" ref="O23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23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45215</v>
      </c>
      <c r="Q235" s="3">
        <f>DATE(YEAR(Transactions[[#This Row],[Datetime]]),MONTH(Transactions[[#This Row],[Datetime]]),1)</f>
        <v>45200</v>
      </c>
      <c r="R235" t="b">
        <f ca="1">AND(Transactions[[#This Row],[Datetime]]&gt;=EDATE(MAX(Transactions[Datetime]),-6),Transactions[[#This Row],[Datetime]]&lt;=TODAY())</f>
        <v>0</v>
      </c>
      <c r="S235" s="6">
        <f ca="1">AVERAGEIFS(Transactions[Month''s Total],Transactions[Recent],TRUE,Transactions[Custom Category],Transactions[[#This Row],[Custom Category]])</f>
        <v>2.5077777777777777</v>
      </c>
      <c r="T235">
        <f>SUMIFS(Transactions[Amount],Transactions[Month],Transactions[[#This Row],[Month]],Transactions[Custom Category],Transactions[[#This Row],[Custom Category]])</f>
        <v>0.46</v>
      </c>
      <c r="U235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235">
        <f>IF(Transactions[[#This Row],[Month]]=Sel_Month,Transactions[[#This Row],[Amount]],0)</f>
        <v>0</v>
      </c>
    </row>
    <row r="236" spans="1:22" x14ac:dyDescent="0.25">
      <c r="A236" t="s">
        <v>61</v>
      </c>
      <c r="B236" t="s">
        <v>66</v>
      </c>
      <c r="C236">
        <v>-40.67</v>
      </c>
      <c r="D236" t="s">
        <v>438</v>
      </c>
      <c r="E236" t="s">
        <v>436</v>
      </c>
      <c r="F236" t="s">
        <v>69</v>
      </c>
      <c r="H236" t="s">
        <v>439</v>
      </c>
      <c r="I236" t="s">
        <v>71</v>
      </c>
      <c r="J236" t="b">
        <v>0</v>
      </c>
      <c r="K236" t="s">
        <v>440</v>
      </c>
      <c r="L236" t="str">
        <f>_xlfn.XLOOKUP(Transactions[[#This Row],[Account ID]],Accounts[Plaid Account ID],Accounts[Name],"Not Found",0)</f>
        <v>RBC Staff Banking</v>
      </c>
      <c r="M236" t="str">
        <f>_xlfn.XLOOKUP(Transactions[[#This Row],[Account ID]],Accounts[Plaid Account ID],Accounts[Institution Name],"Not Found",0)</f>
        <v>RBC Royal Bank</v>
      </c>
      <c r="N236" t="str">
        <f>IF(Transactions[[#This Row],[Amount]]&lt;0,"credit","debit")</f>
        <v>credit</v>
      </c>
      <c r="O236" t="str" cm="1">
        <f t="array" ref="O23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3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45215</v>
      </c>
      <c r="Q236" s="3">
        <f>DATE(YEAR(Transactions[[#This Row],[Datetime]]),MONTH(Transactions[[#This Row],[Datetime]]),1)</f>
        <v>45200</v>
      </c>
      <c r="R236" t="b">
        <f ca="1">AND(Transactions[[#This Row],[Datetime]]&gt;=EDATE(MAX(Transactions[Datetime]),-6),Transactions[[#This Row],[Datetime]]&lt;=TODAY())</f>
        <v>0</v>
      </c>
      <c r="S236" s="6">
        <f ca="1">AVERAGEIFS(Transactions[Month''s Total],Transactions[Recent],TRUE,Transactions[Custom Category],Transactions[[#This Row],[Custom Category]])</f>
        <v>14532.989714285719</v>
      </c>
      <c r="T236">
        <f>SUMIFS(Transactions[Amount],Transactions[Month],Transactions[[#This Row],[Month]],Transactions[Custom Category],Transactions[[#This Row],[Custom Category]])</f>
        <v>3947.8199999999993</v>
      </c>
      <c r="U23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36">
        <f>IF(Transactions[[#This Row],[Month]]=Sel_Month,Transactions[[#This Row],[Amount]],0)</f>
        <v>0</v>
      </c>
    </row>
    <row r="237" spans="1:22" x14ac:dyDescent="0.25">
      <c r="A237" t="s">
        <v>61</v>
      </c>
      <c r="B237" t="s">
        <v>66</v>
      </c>
      <c r="C237">
        <v>50</v>
      </c>
      <c r="D237" t="s">
        <v>67</v>
      </c>
      <c r="E237" t="s">
        <v>436</v>
      </c>
      <c r="F237" t="s">
        <v>69</v>
      </c>
      <c r="H237" t="s">
        <v>441</v>
      </c>
      <c r="I237" t="s">
        <v>71</v>
      </c>
      <c r="J237" t="b">
        <v>0</v>
      </c>
      <c r="K237" t="s">
        <v>442</v>
      </c>
      <c r="L237" t="str">
        <f>_xlfn.XLOOKUP(Transactions[[#This Row],[Account ID]],Accounts[Plaid Account ID],Accounts[Name],"Not Found",0)</f>
        <v>RBC Staff Banking</v>
      </c>
      <c r="M237" t="str">
        <f>_xlfn.XLOOKUP(Transactions[[#This Row],[Account ID]],Accounts[Plaid Account ID],Accounts[Institution Name],"Not Found",0)</f>
        <v>RBC Royal Bank</v>
      </c>
      <c r="N237" t="str">
        <f>IF(Transactions[[#This Row],[Amount]]&lt;0,"credit","debit")</f>
        <v>debit</v>
      </c>
      <c r="O237" t="str" cm="1">
        <f t="array" ref="O23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3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45215</v>
      </c>
      <c r="Q237" s="3">
        <f>DATE(YEAR(Transactions[[#This Row],[Datetime]]),MONTH(Transactions[[#This Row],[Datetime]]),1)</f>
        <v>45200</v>
      </c>
      <c r="R237" t="b">
        <f ca="1">AND(Transactions[[#This Row],[Datetime]]&gt;=EDATE(MAX(Transactions[Datetime]),-6),Transactions[[#This Row],[Datetime]]&lt;=TODAY())</f>
        <v>0</v>
      </c>
      <c r="S237" s="6">
        <f ca="1">AVERAGEIFS(Transactions[Month''s Total],Transactions[Recent],TRUE,Transactions[Custom Category],Transactions[[#This Row],[Custom Category]])</f>
        <v>12758.461333333335</v>
      </c>
      <c r="T237">
        <f>SUMIFS(Transactions[Amount],Transactions[Month],Transactions[[#This Row],[Month]],Transactions[Custom Category],Transactions[[#This Row],[Custom Category]])</f>
        <v>1148.73</v>
      </c>
      <c r="U23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37">
        <f>IF(Transactions[[#This Row],[Month]]=Sel_Month,Transactions[[#This Row],[Amount]],0)</f>
        <v>0</v>
      </c>
    </row>
    <row r="238" spans="1:22" x14ac:dyDescent="0.25">
      <c r="A238" t="s">
        <v>61</v>
      </c>
      <c r="B238" t="s">
        <v>66</v>
      </c>
      <c r="C238">
        <v>973.93</v>
      </c>
      <c r="D238" t="s">
        <v>67</v>
      </c>
      <c r="E238" t="s">
        <v>431</v>
      </c>
      <c r="F238" t="s">
        <v>69</v>
      </c>
      <c r="H238" t="s">
        <v>432</v>
      </c>
      <c r="I238" t="s">
        <v>71</v>
      </c>
      <c r="J238" t="b">
        <v>0</v>
      </c>
      <c r="K238" t="s">
        <v>433</v>
      </c>
      <c r="L238" t="str">
        <f>_xlfn.XLOOKUP(Transactions[[#This Row],[Account ID]],Accounts[Plaid Account ID],Accounts[Name],"Not Found",0)</f>
        <v>RBC Staff Banking</v>
      </c>
      <c r="M238" t="str">
        <f>_xlfn.XLOOKUP(Transactions[[#This Row],[Account ID]],Accounts[Plaid Account ID],Accounts[Institution Name],"Not Found",0)</f>
        <v>RBC Royal Bank</v>
      </c>
      <c r="N238" t="str">
        <f>IF(Transactions[[#This Row],[Amount]]&lt;0,"credit","debit")</f>
        <v>debit</v>
      </c>
      <c r="O238" t="str" cm="1">
        <f t="array" ref="O23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3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45217</v>
      </c>
      <c r="Q238" s="3">
        <f>DATE(YEAR(Transactions[[#This Row],[Datetime]]),MONTH(Transactions[[#This Row],[Datetime]]),1)</f>
        <v>45200</v>
      </c>
      <c r="R238" t="b">
        <f ca="1">AND(Transactions[[#This Row],[Datetime]]&gt;=EDATE(MAX(Transactions[Datetime]),-6),Transactions[[#This Row],[Datetime]]&lt;=TODAY())</f>
        <v>0</v>
      </c>
      <c r="S238" s="6">
        <f ca="1">AVERAGEIFS(Transactions[Month''s Total],Transactions[Recent],TRUE,Transactions[Custom Category],Transactions[[#This Row],[Custom Category]])</f>
        <v>12758.461333333335</v>
      </c>
      <c r="T238">
        <f>SUMIFS(Transactions[Amount],Transactions[Month],Transactions[[#This Row],[Month]],Transactions[Custom Category],Transactions[[#This Row],[Custom Category]])</f>
        <v>1148.73</v>
      </c>
      <c r="U23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38">
        <f>IF(Transactions[[#This Row],[Month]]=Sel_Month,Transactions[[#This Row],[Amount]],0)</f>
        <v>0</v>
      </c>
    </row>
    <row r="239" spans="1:22" x14ac:dyDescent="0.25">
      <c r="A239" t="s">
        <v>61</v>
      </c>
      <c r="B239" t="s">
        <v>66</v>
      </c>
      <c r="C239">
        <v>-660</v>
      </c>
      <c r="D239" t="s">
        <v>99</v>
      </c>
      <c r="E239" t="s">
        <v>431</v>
      </c>
      <c r="F239" t="s">
        <v>69</v>
      </c>
      <c r="H239" t="s">
        <v>434</v>
      </c>
      <c r="I239" t="s">
        <v>71</v>
      </c>
      <c r="J239" t="b">
        <v>0</v>
      </c>
      <c r="K239" t="s">
        <v>435</v>
      </c>
      <c r="L239" t="str">
        <f>_xlfn.XLOOKUP(Transactions[[#This Row],[Account ID]],Accounts[Plaid Account ID],Accounts[Name],"Not Found",0)</f>
        <v>RBC Staff Banking</v>
      </c>
      <c r="M239" t="str">
        <f>_xlfn.XLOOKUP(Transactions[[#This Row],[Account ID]],Accounts[Plaid Account ID],Accounts[Institution Name],"Not Found",0)</f>
        <v>RBC Royal Bank</v>
      </c>
      <c r="N239" t="str">
        <f>IF(Transactions[[#This Row],[Amount]]&lt;0,"credit","debit")</f>
        <v>credit</v>
      </c>
      <c r="O239" t="str" cm="1">
        <f t="array" ref="O23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3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45217</v>
      </c>
      <c r="Q239" s="3">
        <f>DATE(YEAR(Transactions[[#This Row],[Datetime]]),MONTH(Transactions[[#This Row],[Datetime]]),1)</f>
        <v>45200</v>
      </c>
      <c r="R239" t="b">
        <f ca="1">AND(Transactions[[#This Row],[Datetime]]&gt;=EDATE(MAX(Transactions[Datetime]),-6),Transactions[[#This Row],[Datetime]]&lt;=TODAY())</f>
        <v>0</v>
      </c>
      <c r="S239" s="6">
        <f ca="1">AVERAGEIFS(Transactions[Month''s Total],Transactions[Recent],TRUE,Transactions[Custom Category],Transactions[[#This Row],[Custom Category]])</f>
        <v>14532.989714285719</v>
      </c>
      <c r="T239">
        <f>SUMIFS(Transactions[Amount],Transactions[Month],Transactions[[#This Row],[Month]],Transactions[Custom Category],Transactions[[#This Row],[Custom Category]])</f>
        <v>3947.8199999999993</v>
      </c>
      <c r="U23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39">
        <f>IF(Transactions[[#This Row],[Month]]=Sel_Month,Transactions[[#This Row],[Amount]],0)</f>
        <v>0</v>
      </c>
    </row>
    <row r="240" spans="1:22" x14ac:dyDescent="0.25">
      <c r="A240" t="s">
        <v>61</v>
      </c>
      <c r="B240" t="s">
        <v>66</v>
      </c>
      <c r="C240">
        <v>192.58</v>
      </c>
      <c r="D240" t="s">
        <v>134</v>
      </c>
      <c r="E240" t="s">
        <v>429</v>
      </c>
      <c r="F240" t="s">
        <v>69</v>
      </c>
      <c r="G240" t="s">
        <v>135</v>
      </c>
      <c r="H240" t="s">
        <v>136</v>
      </c>
      <c r="I240" t="s">
        <v>132</v>
      </c>
      <c r="J240" t="b">
        <v>0</v>
      </c>
      <c r="K240" t="s">
        <v>430</v>
      </c>
      <c r="L240" t="str">
        <f>_xlfn.XLOOKUP(Transactions[[#This Row],[Account ID]],Accounts[Plaid Account ID],Accounts[Name],"Not Found",0)</f>
        <v>RBC Staff Banking</v>
      </c>
      <c r="M240" t="str">
        <f>_xlfn.XLOOKUP(Transactions[[#This Row],[Account ID]],Accounts[Plaid Account ID],Accounts[Institution Name],"Not Found",0)</f>
        <v>RBC Royal Bank</v>
      </c>
      <c r="N240" t="str">
        <f>IF(Transactions[[#This Row],[Amount]]&lt;0,"credit","debit")</f>
        <v>debit</v>
      </c>
      <c r="O240" t="str" cm="1">
        <f t="array" ref="O24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24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45218</v>
      </c>
      <c r="Q240" s="3">
        <f>DATE(YEAR(Transactions[[#This Row],[Datetime]]),MONTH(Transactions[[#This Row],[Datetime]]),1)</f>
        <v>45200</v>
      </c>
      <c r="R240" t="b">
        <f ca="1">AND(Transactions[[#This Row],[Datetime]]&gt;=EDATE(MAX(Transactions[Datetime]),-6),Transactions[[#This Row],[Datetime]]&lt;=TODAY())</f>
        <v>0</v>
      </c>
      <c r="S240" s="6">
        <f ca="1">AVERAGEIFS(Transactions[Month''s Total],Transactions[Recent],TRUE,Transactions[Custom Category],Transactions[[#This Row],[Custom Category]])</f>
        <v>624.12818181818193</v>
      </c>
      <c r="T240">
        <f>SUMIFS(Transactions[Amount],Transactions[Month],Transactions[[#This Row],[Month]],Transactions[Custom Category],Transactions[[#This Row],[Custom Category]])</f>
        <v>385.16</v>
      </c>
      <c r="U240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240">
        <f>IF(Transactions[[#This Row],[Month]]=Sel_Month,Transactions[[#This Row],[Amount]],0)</f>
        <v>0</v>
      </c>
    </row>
    <row r="241" spans="1:22" x14ac:dyDescent="0.25">
      <c r="A241" t="s">
        <v>61</v>
      </c>
      <c r="B241" t="s">
        <v>66</v>
      </c>
      <c r="C241">
        <v>50</v>
      </c>
      <c r="D241" t="s">
        <v>67</v>
      </c>
      <c r="E241" t="s">
        <v>424</v>
      </c>
      <c r="F241" t="s">
        <v>69</v>
      </c>
      <c r="H241" t="s">
        <v>425</v>
      </c>
      <c r="I241" t="s">
        <v>71</v>
      </c>
      <c r="J241" t="b">
        <v>0</v>
      </c>
      <c r="K241" t="s">
        <v>426</v>
      </c>
      <c r="L241" t="str">
        <f>_xlfn.XLOOKUP(Transactions[[#This Row],[Account ID]],Accounts[Plaid Account ID],Accounts[Name],"Not Found",0)</f>
        <v>RBC Staff Banking</v>
      </c>
      <c r="M241" t="str">
        <f>_xlfn.XLOOKUP(Transactions[[#This Row],[Account ID]],Accounts[Plaid Account ID],Accounts[Institution Name],"Not Found",0)</f>
        <v>RBC Royal Bank</v>
      </c>
      <c r="N241" t="str">
        <f>IF(Transactions[[#This Row],[Amount]]&lt;0,"credit","debit")</f>
        <v>debit</v>
      </c>
      <c r="O241" t="str" cm="1">
        <f t="array" ref="O24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4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45221</v>
      </c>
      <c r="Q241" s="3">
        <f>DATE(YEAR(Transactions[[#This Row],[Datetime]]),MONTH(Transactions[[#This Row],[Datetime]]),1)</f>
        <v>45200</v>
      </c>
      <c r="R241" t="b">
        <f ca="1">AND(Transactions[[#This Row],[Datetime]]&gt;=EDATE(MAX(Transactions[Datetime]),-6),Transactions[[#This Row],[Datetime]]&lt;=TODAY())</f>
        <v>0</v>
      </c>
      <c r="S241" s="6">
        <f ca="1">AVERAGEIFS(Transactions[Month''s Total],Transactions[Recent],TRUE,Transactions[Custom Category],Transactions[[#This Row],[Custom Category]])</f>
        <v>12758.461333333335</v>
      </c>
      <c r="T241">
        <f>SUMIFS(Transactions[Amount],Transactions[Month],Transactions[[#This Row],[Month]],Transactions[Custom Category],Transactions[[#This Row],[Custom Category]])</f>
        <v>1148.73</v>
      </c>
      <c r="U24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41">
        <f>IF(Transactions[[#This Row],[Month]]=Sel_Month,Transactions[[#This Row],[Amount]],0)</f>
        <v>0</v>
      </c>
    </row>
    <row r="242" spans="1:22" x14ac:dyDescent="0.25">
      <c r="A242" t="s">
        <v>61</v>
      </c>
      <c r="B242" t="s">
        <v>66</v>
      </c>
      <c r="C242">
        <v>-479</v>
      </c>
      <c r="D242" t="s">
        <v>99</v>
      </c>
      <c r="E242" t="s">
        <v>424</v>
      </c>
      <c r="F242" t="s">
        <v>69</v>
      </c>
      <c r="H242" t="s">
        <v>427</v>
      </c>
      <c r="I242" t="s">
        <v>71</v>
      </c>
      <c r="J242" t="b">
        <v>0</v>
      </c>
      <c r="K242" t="s">
        <v>428</v>
      </c>
      <c r="L242" t="str">
        <f>_xlfn.XLOOKUP(Transactions[[#This Row],[Account ID]],Accounts[Plaid Account ID],Accounts[Name],"Not Found",0)</f>
        <v>RBC Staff Banking</v>
      </c>
      <c r="M242" t="str">
        <f>_xlfn.XLOOKUP(Transactions[[#This Row],[Account ID]],Accounts[Plaid Account ID],Accounts[Institution Name],"Not Found",0)</f>
        <v>RBC Royal Bank</v>
      </c>
      <c r="N242" t="str">
        <f>IF(Transactions[[#This Row],[Amount]]&lt;0,"credit","debit")</f>
        <v>credit</v>
      </c>
      <c r="O242" t="str" cm="1">
        <f t="array" ref="O24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4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45221</v>
      </c>
      <c r="Q242" s="3">
        <f>DATE(YEAR(Transactions[[#This Row],[Datetime]]),MONTH(Transactions[[#This Row],[Datetime]]),1)</f>
        <v>45200</v>
      </c>
      <c r="R242" t="b">
        <f ca="1">AND(Transactions[[#This Row],[Datetime]]&gt;=EDATE(MAX(Transactions[Datetime]),-6),Transactions[[#This Row],[Datetime]]&lt;=TODAY())</f>
        <v>0</v>
      </c>
      <c r="S242" s="6">
        <f ca="1">AVERAGEIFS(Transactions[Month''s Total],Transactions[Recent],TRUE,Transactions[Custom Category],Transactions[[#This Row],[Custom Category]])</f>
        <v>14532.989714285719</v>
      </c>
      <c r="T242">
        <f>SUMIFS(Transactions[Amount],Transactions[Month],Transactions[[#This Row],[Month]],Transactions[Custom Category],Transactions[[#This Row],[Custom Category]])</f>
        <v>3947.8199999999993</v>
      </c>
      <c r="U24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42">
        <f>IF(Transactions[[#This Row],[Month]]=Sel_Month,Transactions[[#This Row],[Amount]],0)</f>
        <v>0</v>
      </c>
    </row>
    <row r="243" spans="1:22" x14ac:dyDescent="0.25">
      <c r="A243" t="s">
        <v>61</v>
      </c>
      <c r="B243" t="s">
        <v>66</v>
      </c>
      <c r="C243">
        <v>6.03</v>
      </c>
      <c r="D243" t="s">
        <v>67</v>
      </c>
      <c r="E243" t="s">
        <v>421</v>
      </c>
      <c r="F243" t="s">
        <v>69</v>
      </c>
      <c r="H243" t="s">
        <v>422</v>
      </c>
      <c r="I243" t="s">
        <v>71</v>
      </c>
      <c r="J243" t="b">
        <v>0</v>
      </c>
      <c r="K243" t="s">
        <v>423</v>
      </c>
      <c r="L243" t="str">
        <f>_xlfn.XLOOKUP(Transactions[[#This Row],[Account ID]],Accounts[Plaid Account ID],Accounts[Name],"Not Found",0)</f>
        <v>RBC Staff Banking</v>
      </c>
      <c r="M243" t="str">
        <f>_xlfn.XLOOKUP(Transactions[[#This Row],[Account ID]],Accounts[Plaid Account ID],Accounts[Institution Name],"Not Found",0)</f>
        <v>RBC Royal Bank</v>
      </c>
      <c r="N243" t="str">
        <f>IF(Transactions[[#This Row],[Amount]]&lt;0,"credit","debit")</f>
        <v>debit</v>
      </c>
      <c r="O243" t="str" cm="1">
        <f t="array" ref="O24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4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45223</v>
      </c>
      <c r="Q243" s="3">
        <f>DATE(YEAR(Transactions[[#This Row],[Datetime]]),MONTH(Transactions[[#This Row],[Datetime]]),1)</f>
        <v>45200</v>
      </c>
      <c r="R243" t="b">
        <f ca="1">AND(Transactions[[#This Row],[Datetime]]&gt;=EDATE(MAX(Transactions[Datetime]),-6),Transactions[[#This Row],[Datetime]]&lt;=TODAY())</f>
        <v>0</v>
      </c>
      <c r="S243" s="6">
        <f ca="1">AVERAGEIFS(Transactions[Month''s Total],Transactions[Recent],TRUE,Transactions[Custom Category],Transactions[[#This Row],[Custom Category]])</f>
        <v>-18125.097037037034</v>
      </c>
      <c r="T243">
        <f>SUMIFS(Transactions[Amount],Transactions[Month],Transactions[[#This Row],[Month]],Transactions[Custom Category],Transactions[[#This Row],[Custom Category]])</f>
        <v>-1434.43</v>
      </c>
      <c r="U24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43">
        <f>IF(Transactions[[#This Row],[Month]]=Sel_Month,Transactions[[#This Row],[Amount]],0)</f>
        <v>0</v>
      </c>
    </row>
    <row r="244" spans="1:22" x14ac:dyDescent="0.25">
      <c r="A244" t="s">
        <v>61</v>
      </c>
      <c r="B244" t="s">
        <v>66</v>
      </c>
      <c r="C244">
        <v>0.06</v>
      </c>
      <c r="D244" t="s">
        <v>366</v>
      </c>
      <c r="E244" t="s">
        <v>412</v>
      </c>
      <c r="F244" t="s">
        <v>69</v>
      </c>
      <c r="G244" t="s">
        <v>413</v>
      </c>
      <c r="H244" t="s">
        <v>414</v>
      </c>
      <c r="I244" t="s">
        <v>132</v>
      </c>
      <c r="J244" t="b">
        <v>0</v>
      </c>
      <c r="K244" t="s">
        <v>415</v>
      </c>
      <c r="L244" t="str">
        <f>_xlfn.XLOOKUP(Transactions[[#This Row],[Account ID]],Accounts[Plaid Account ID],Accounts[Name],"Not Found",0)</f>
        <v>RBC Staff Banking</v>
      </c>
      <c r="M244" t="str">
        <f>_xlfn.XLOOKUP(Transactions[[#This Row],[Account ID]],Accounts[Plaid Account ID],Accounts[Institution Name],"Not Found",0)</f>
        <v>RBC Royal Bank</v>
      </c>
      <c r="N244" t="str">
        <f>IF(Transactions[[#This Row],[Amount]]&lt;0,"credit","debit")</f>
        <v>debit</v>
      </c>
      <c r="O244" t="str" cm="1">
        <f t="array" ref="O24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4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45228</v>
      </c>
      <c r="Q244" s="3">
        <f>DATE(YEAR(Transactions[[#This Row],[Datetime]]),MONTH(Transactions[[#This Row],[Datetime]]),1)</f>
        <v>45200</v>
      </c>
      <c r="R244" t="b">
        <f ca="1">AND(Transactions[[#This Row],[Datetime]]&gt;=EDATE(MAX(Transactions[Datetime]),-6),Transactions[[#This Row],[Datetime]]&lt;=TODAY())</f>
        <v>0</v>
      </c>
      <c r="S244" s="6">
        <f ca="1">AVERAGEIFS(Transactions[Month''s Total],Transactions[Recent],TRUE,Transactions[Custom Category],Transactions[[#This Row],[Custom Category]])</f>
        <v>14532.989714285719</v>
      </c>
      <c r="T244">
        <f>SUMIFS(Transactions[Amount],Transactions[Month],Transactions[[#This Row],[Month]],Transactions[Custom Category],Transactions[[#This Row],[Custom Category]])</f>
        <v>3947.8199999999993</v>
      </c>
      <c r="U24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44">
        <f>IF(Transactions[[#This Row],[Month]]=Sel_Month,Transactions[[#This Row],[Amount]],0)</f>
        <v>0</v>
      </c>
    </row>
    <row r="245" spans="1:22" x14ac:dyDescent="0.25">
      <c r="A245" t="s">
        <v>61</v>
      </c>
      <c r="B245" t="s">
        <v>66</v>
      </c>
      <c r="C245">
        <v>-0.05</v>
      </c>
      <c r="D245" t="s">
        <v>213</v>
      </c>
      <c r="E245" t="s">
        <v>412</v>
      </c>
      <c r="F245" t="s">
        <v>69</v>
      </c>
      <c r="H245" t="s">
        <v>414</v>
      </c>
      <c r="I245" t="s">
        <v>71</v>
      </c>
      <c r="J245" t="b">
        <v>0</v>
      </c>
      <c r="K245" t="s">
        <v>416</v>
      </c>
      <c r="L245" t="str">
        <f>_xlfn.XLOOKUP(Transactions[[#This Row],[Account ID]],Accounts[Plaid Account ID],Accounts[Name],"Not Found",0)</f>
        <v>RBC Staff Banking</v>
      </c>
      <c r="M245" t="str">
        <f>_xlfn.XLOOKUP(Transactions[[#This Row],[Account ID]],Accounts[Plaid Account ID],Accounts[Institution Name],"Not Found",0)</f>
        <v>RBC Royal Bank</v>
      </c>
      <c r="N245" t="str">
        <f>IF(Transactions[[#This Row],[Amount]]&lt;0,"credit","debit")</f>
        <v>credit</v>
      </c>
      <c r="O245" t="str" cm="1">
        <f t="array" ref="O24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4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45228</v>
      </c>
      <c r="Q245" s="3">
        <f>DATE(YEAR(Transactions[[#This Row],[Datetime]]),MONTH(Transactions[[#This Row],[Datetime]]),1)</f>
        <v>45200</v>
      </c>
      <c r="R245" t="b">
        <f ca="1">AND(Transactions[[#This Row],[Datetime]]&gt;=EDATE(MAX(Transactions[Datetime]),-6),Transactions[[#This Row],[Datetime]]&lt;=TODAY())</f>
        <v>0</v>
      </c>
      <c r="S245" s="6">
        <f ca="1">AVERAGEIFS(Transactions[Month''s Total],Transactions[Recent],TRUE,Transactions[Custom Category],Transactions[[#This Row],[Custom Category]])</f>
        <v>14532.989714285719</v>
      </c>
      <c r="T245">
        <f>SUMIFS(Transactions[Amount],Transactions[Month],Transactions[[#This Row],[Month]],Transactions[Custom Category],Transactions[[#This Row],[Custom Category]])</f>
        <v>3947.8199999999993</v>
      </c>
      <c r="U24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45">
        <f>IF(Transactions[[#This Row],[Month]]=Sel_Month,Transactions[[#This Row],[Amount]],0)</f>
        <v>0</v>
      </c>
    </row>
    <row r="246" spans="1:22" x14ac:dyDescent="0.25">
      <c r="A246" t="s">
        <v>61</v>
      </c>
      <c r="B246" t="s">
        <v>66</v>
      </c>
      <c r="C246">
        <v>-0.01</v>
      </c>
      <c r="D246" t="s">
        <v>213</v>
      </c>
      <c r="E246" t="s">
        <v>412</v>
      </c>
      <c r="F246" t="s">
        <v>69</v>
      </c>
      <c r="H246" t="s">
        <v>414</v>
      </c>
      <c r="I246" t="s">
        <v>71</v>
      </c>
      <c r="J246" t="b">
        <v>0</v>
      </c>
      <c r="K246" t="s">
        <v>417</v>
      </c>
      <c r="L246" t="str">
        <f>_xlfn.XLOOKUP(Transactions[[#This Row],[Account ID]],Accounts[Plaid Account ID],Accounts[Name],"Not Found",0)</f>
        <v>RBC Staff Banking</v>
      </c>
      <c r="M246" t="str">
        <f>_xlfn.XLOOKUP(Transactions[[#This Row],[Account ID]],Accounts[Plaid Account ID],Accounts[Institution Name],"Not Found",0)</f>
        <v>RBC Royal Bank</v>
      </c>
      <c r="N246" t="str">
        <f>IF(Transactions[[#This Row],[Amount]]&lt;0,"credit","debit")</f>
        <v>credit</v>
      </c>
      <c r="O246" t="str" cm="1">
        <f t="array" ref="O24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4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45228</v>
      </c>
      <c r="Q246" s="3">
        <f>DATE(YEAR(Transactions[[#This Row],[Datetime]]),MONTH(Transactions[[#This Row],[Datetime]]),1)</f>
        <v>45200</v>
      </c>
      <c r="R246" t="b">
        <f ca="1">AND(Transactions[[#This Row],[Datetime]]&gt;=EDATE(MAX(Transactions[Datetime]),-6),Transactions[[#This Row],[Datetime]]&lt;=TODAY())</f>
        <v>0</v>
      </c>
      <c r="S246" s="6">
        <f ca="1">AVERAGEIFS(Transactions[Month''s Total],Transactions[Recent],TRUE,Transactions[Custom Category],Transactions[[#This Row],[Custom Category]])</f>
        <v>14532.989714285719</v>
      </c>
      <c r="T246">
        <f>SUMIFS(Transactions[Amount],Transactions[Month],Transactions[[#This Row],[Month]],Transactions[Custom Category],Transactions[[#This Row],[Custom Category]])</f>
        <v>3947.8199999999993</v>
      </c>
      <c r="U24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46">
        <f>IF(Transactions[[#This Row],[Month]]=Sel_Month,Transactions[[#This Row],[Amount]],0)</f>
        <v>0</v>
      </c>
    </row>
    <row r="247" spans="1:22" x14ac:dyDescent="0.25">
      <c r="A247" t="s">
        <v>61</v>
      </c>
      <c r="B247" t="s">
        <v>66</v>
      </c>
      <c r="C247">
        <v>-233.55</v>
      </c>
      <c r="D247" t="s">
        <v>366</v>
      </c>
      <c r="E247" t="s">
        <v>412</v>
      </c>
      <c r="F247" t="s">
        <v>69</v>
      </c>
      <c r="H247" t="s">
        <v>368</v>
      </c>
      <c r="I247" t="s">
        <v>71</v>
      </c>
      <c r="J247" t="b">
        <v>0</v>
      </c>
      <c r="K247" t="s">
        <v>418</v>
      </c>
      <c r="L247" t="str">
        <f>_xlfn.XLOOKUP(Transactions[[#This Row],[Account ID]],Accounts[Plaid Account ID],Accounts[Name],"Not Found",0)</f>
        <v>RBC Staff Banking</v>
      </c>
      <c r="M247" t="str">
        <f>_xlfn.XLOOKUP(Transactions[[#This Row],[Account ID]],Accounts[Plaid Account ID],Accounts[Institution Name],"Not Found",0)</f>
        <v>RBC Royal Bank</v>
      </c>
      <c r="N247" t="str">
        <f>IF(Transactions[[#This Row],[Amount]]&lt;0,"credit","debit")</f>
        <v>credit</v>
      </c>
      <c r="O247" t="str" cm="1">
        <f t="array" ref="O24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4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45228</v>
      </c>
      <c r="Q247" s="3">
        <f>DATE(YEAR(Transactions[[#This Row],[Datetime]]),MONTH(Transactions[[#This Row],[Datetime]]),1)</f>
        <v>45200</v>
      </c>
      <c r="R247" t="b">
        <f ca="1">AND(Transactions[[#This Row],[Datetime]]&gt;=EDATE(MAX(Transactions[Datetime]),-6),Transactions[[#This Row],[Datetime]]&lt;=TODAY())</f>
        <v>0</v>
      </c>
      <c r="S247" s="6">
        <f ca="1">AVERAGEIFS(Transactions[Month''s Total],Transactions[Recent],TRUE,Transactions[Custom Category],Transactions[[#This Row],[Custom Category]])</f>
        <v>14532.989714285719</v>
      </c>
      <c r="T247">
        <f>SUMIFS(Transactions[Amount],Transactions[Month],Transactions[[#This Row],[Month]],Transactions[Custom Category],Transactions[[#This Row],[Custom Category]])</f>
        <v>3947.8199999999993</v>
      </c>
      <c r="U24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47">
        <f>IF(Transactions[[#This Row],[Month]]=Sel_Month,Transactions[[#This Row],[Amount]],0)</f>
        <v>0</v>
      </c>
    </row>
    <row r="248" spans="1:22" x14ac:dyDescent="0.25">
      <c r="A248" t="s">
        <v>61</v>
      </c>
      <c r="B248" t="s">
        <v>66</v>
      </c>
      <c r="C248">
        <v>400</v>
      </c>
      <c r="D248" t="s">
        <v>67</v>
      </c>
      <c r="E248" t="s">
        <v>412</v>
      </c>
      <c r="F248" t="s">
        <v>69</v>
      </c>
      <c r="H248" t="s">
        <v>419</v>
      </c>
      <c r="I248" t="s">
        <v>71</v>
      </c>
      <c r="J248" t="b">
        <v>0</v>
      </c>
      <c r="K248" t="s">
        <v>420</v>
      </c>
      <c r="L248" t="str">
        <f>_xlfn.XLOOKUP(Transactions[[#This Row],[Account ID]],Accounts[Plaid Account ID],Accounts[Name],"Not Found",0)</f>
        <v>RBC Staff Banking</v>
      </c>
      <c r="M248" t="str">
        <f>_xlfn.XLOOKUP(Transactions[[#This Row],[Account ID]],Accounts[Plaid Account ID],Accounts[Institution Name],"Not Found",0)</f>
        <v>RBC Royal Bank</v>
      </c>
      <c r="N248" t="str">
        <f>IF(Transactions[[#This Row],[Amount]]&lt;0,"credit","debit")</f>
        <v>debit</v>
      </c>
      <c r="O248" t="str" cm="1">
        <f t="array" ref="O24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4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45228</v>
      </c>
      <c r="Q248" s="3">
        <f>DATE(YEAR(Transactions[[#This Row],[Datetime]]),MONTH(Transactions[[#This Row],[Datetime]]),1)</f>
        <v>45200</v>
      </c>
      <c r="R248" t="b">
        <f ca="1">AND(Transactions[[#This Row],[Datetime]]&gt;=EDATE(MAX(Transactions[Datetime]),-6),Transactions[[#This Row],[Datetime]]&lt;=TODAY())</f>
        <v>0</v>
      </c>
      <c r="S248" s="6">
        <f ca="1">AVERAGEIFS(Transactions[Month''s Total],Transactions[Recent],TRUE,Transactions[Custom Category],Transactions[[#This Row],[Custom Category]])</f>
        <v>14532.989714285719</v>
      </c>
      <c r="T248">
        <f>SUMIFS(Transactions[Amount],Transactions[Month],Transactions[[#This Row],[Month]],Transactions[Custom Category],Transactions[[#This Row],[Custom Category]])</f>
        <v>3947.8199999999993</v>
      </c>
      <c r="U24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48">
        <f>IF(Transactions[[#This Row],[Month]]=Sel_Month,Transactions[[#This Row],[Amount]],0)</f>
        <v>0</v>
      </c>
    </row>
    <row r="249" spans="1:22" x14ac:dyDescent="0.25">
      <c r="A249" t="s">
        <v>61</v>
      </c>
      <c r="B249" t="s">
        <v>66</v>
      </c>
      <c r="C249">
        <v>2000</v>
      </c>
      <c r="D249" t="s">
        <v>67</v>
      </c>
      <c r="E249" t="s">
        <v>403</v>
      </c>
      <c r="F249" t="s">
        <v>69</v>
      </c>
      <c r="H249" t="s">
        <v>404</v>
      </c>
      <c r="I249" t="s">
        <v>71</v>
      </c>
      <c r="J249" t="b">
        <v>0</v>
      </c>
      <c r="K249" t="s">
        <v>405</v>
      </c>
      <c r="L249" t="str">
        <f>_xlfn.XLOOKUP(Transactions[[#This Row],[Account ID]],Accounts[Plaid Account ID],Accounts[Name],"Not Found",0)</f>
        <v>RBC Staff Banking</v>
      </c>
      <c r="M249" t="str">
        <f>_xlfn.XLOOKUP(Transactions[[#This Row],[Account ID]],Accounts[Plaid Account ID],Accounts[Institution Name],"Not Found",0)</f>
        <v>RBC Royal Bank</v>
      </c>
      <c r="N249" t="str">
        <f>IF(Transactions[[#This Row],[Amount]]&lt;0,"credit","debit")</f>
        <v>debit</v>
      </c>
      <c r="O249" t="str" cm="1">
        <f t="array" ref="O24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Rent</v>
      </c>
      <c r="P24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45230</v>
      </c>
      <c r="Q249" s="3">
        <f>DATE(YEAR(Transactions[[#This Row],[Datetime]]),MONTH(Transactions[[#This Row],[Datetime]]),1)</f>
        <v>45200</v>
      </c>
      <c r="R249" t="b">
        <f ca="1">AND(Transactions[[#This Row],[Datetime]]&gt;=EDATE(MAX(Transactions[Datetime]),-6),Transactions[[#This Row],[Datetime]]&lt;=TODAY())</f>
        <v>0</v>
      </c>
      <c r="S249" s="6">
        <f ca="1">AVERAGEIFS(Transactions[Month''s Total],Transactions[Recent],TRUE,Transactions[Custom Category],Transactions[[#This Row],[Custom Category]])</f>
        <v>5076</v>
      </c>
      <c r="T249">
        <f>SUMIFS(Transactions[Amount],Transactions[Month],Transactions[[#This Row],[Month]],Transactions[Custom Category],Transactions[[#This Row],[Custom Category]])</f>
        <v>2000</v>
      </c>
      <c r="U249">
        <f ca="1">IF(COUNTIF(Budgets[Custom Category],Transactions[[#This Row],[Custom Category]])=0,Transactions[[#This Row],[6M AVG]],_xlfn.XLOOKUP(Transactions[[#This Row],[Custom Category]],Budgets[Custom Category],Budgets[Monthly],0,0))</f>
        <v>5076</v>
      </c>
      <c r="V249">
        <f>IF(Transactions[[#This Row],[Month]]=Sel_Month,Transactions[[#This Row],[Amount]],0)</f>
        <v>0</v>
      </c>
    </row>
    <row r="250" spans="1:22" x14ac:dyDescent="0.25">
      <c r="A250" t="s">
        <v>61</v>
      </c>
      <c r="B250" t="s">
        <v>66</v>
      </c>
      <c r="C250">
        <v>0.96</v>
      </c>
      <c r="D250" t="s">
        <v>67</v>
      </c>
      <c r="E250" t="s">
        <v>403</v>
      </c>
      <c r="F250" t="s">
        <v>69</v>
      </c>
      <c r="H250" t="s">
        <v>406</v>
      </c>
      <c r="I250" t="s">
        <v>71</v>
      </c>
      <c r="J250" t="b">
        <v>0</v>
      </c>
      <c r="K250" t="s">
        <v>407</v>
      </c>
      <c r="L250" t="str">
        <f>_xlfn.XLOOKUP(Transactions[[#This Row],[Account ID]],Accounts[Plaid Account ID],Accounts[Name],"Not Found",0)</f>
        <v>RBC Staff Banking</v>
      </c>
      <c r="M250" t="str">
        <f>_xlfn.XLOOKUP(Transactions[[#This Row],[Account ID]],Accounts[Plaid Account ID],Accounts[Institution Name],"Not Found",0)</f>
        <v>RBC Royal Bank</v>
      </c>
      <c r="N250" t="str">
        <f>IF(Transactions[[#This Row],[Amount]]&lt;0,"credit","debit")</f>
        <v>debit</v>
      </c>
      <c r="O250" t="str" cm="1">
        <f t="array" ref="O25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5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45230</v>
      </c>
      <c r="Q250" s="3">
        <f>DATE(YEAR(Transactions[[#This Row],[Datetime]]),MONTH(Transactions[[#This Row],[Datetime]]),1)</f>
        <v>45200</v>
      </c>
      <c r="R250" t="b">
        <f ca="1">AND(Transactions[[#This Row],[Datetime]]&gt;=EDATE(MAX(Transactions[Datetime]),-6),Transactions[[#This Row],[Datetime]]&lt;=TODAY())</f>
        <v>0</v>
      </c>
      <c r="S250" s="6">
        <f ca="1">AVERAGEIFS(Transactions[Month''s Total],Transactions[Recent],TRUE,Transactions[Custom Category],Transactions[[#This Row],[Custom Category]])</f>
        <v>14532.989714285719</v>
      </c>
      <c r="T250">
        <f>SUMIFS(Transactions[Amount],Transactions[Month],Transactions[[#This Row],[Month]],Transactions[Custom Category],Transactions[[#This Row],[Custom Category]])</f>
        <v>3947.8199999999993</v>
      </c>
      <c r="U25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50">
        <f>IF(Transactions[[#This Row],[Month]]=Sel_Month,Transactions[[#This Row],[Amount]],0)</f>
        <v>0</v>
      </c>
    </row>
    <row r="251" spans="1:22" x14ac:dyDescent="0.25">
      <c r="A251" t="s">
        <v>61</v>
      </c>
      <c r="B251" t="s">
        <v>66</v>
      </c>
      <c r="C251">
        <v>-1200</v>
      </c>
      <c r="D251" t="s">
        <v>99</v>
      </c>
      <c r="E251" t="s">
        <v>403</v>
      </c>
      <c r="F251" t="s">
        <v>69</v>
      </c>
      <c r="H251" t="s">
        <v>408</v>
      </c>
      <c r="I251" t="s">
        <v>71</v>
      </c>
      <c r="J251" t="b">
        <v>0</v>
      </c>
      <c r="K251" t="s">
        <v>409</v>
      </c>
      <c r="L251" t="str">
        <f>_xlfn.XLOOKUP(Transactions[[#This Row],[Account ID]],Accounts[Plaid Account ID],Accounts[Name],"Not Found",0)</f>
        <v>RBC Staff Banking</v>
      </c>
      <c r="M251" t="str">
        <f>_xlfn.XLOOKUP(Transactions[[#This Row],[Account ID]],Accounts[Plaid Account ID],Accounts[Institution Name],"Not Found",0)</f>
        <v>RBC Royal Bank</v>
      </c>
      <c r="N251" t="str">
        <f>IF(Transactions[[#This Row],[Amount]]&lt;0,"credit","debit")</f>
        <v>credit</v>
      </c>
      <c r="O251" t="str" cm="1">
        <f t="array" ref="O25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5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45230</v>
      </c>
      <c r="Q251" s="3">
        <f>DATE(YEAR(Transactions[[#This Row],[Datetime]]),MONTH(Transactions[[#This Row],[Datetime]]),1)</f>
        <v>45200</v>
      </c>
      <c r="R251" t="b">
        <f ca="1">AND(Transactions[[#This Row],[Datetime]]&gt;=EDATE(MAX(Transactions[Datetime]),-6),Transactions[[#This Row],[Datetime]]&lt;=TODAY())</f>
        <v>0</v>
      </c>
      <c r="S251" s="6">
        <f ca="1">AVERAGEIFS(Transactions[Month''s Total],Transactions[Recent],TRUE,Transactions[Custom Category],Transactions[[#This Row],[Custom Category]])</f>
        <v>-3209.0714285714284</v>
      </c>
      <c r="T251">
        <f>SUMIFS(Transactions[Amount],Transactions[Month],Transactions[[#This Row],[Month]],Transactions[Custom Category],Transactions[[#This Row],[Custom Category]])</f>
        <v>-4718</v>
      </c>
      <c r="U251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51">
        <f>IF(Transactions[[#This Row],[Month]]=Sel_Month,Transactions[[#This Row],[Amount]],0)</f>
        <v>0</v>
      </c>
    </row>
    <row r="252" spans="1:22" x14ac:dyDescent="0.25">
      <c r="A252" t="s">
        <v>61</v>
      </c>
      <c r="B252" t="s">
        <v>66</v>
      </c>
      <c r="C252">
        <v>-904</v>
      </c>
      <c r="D252" t="s">
        <v>99</v>
      </c>
      <c r="E252" t="s">
        <v>403</v>
      </c>
      <c r="F252" t="s">
        <v>69</v>
      </c>
      <c r="H252" t="s">
        <v>410</v>
      </c>
      <c r="I252" t="s">
        <v>71</v>
      </c>
      <c r="J252" t="b">
        <v>0</v>
      </c>
      <c r="K252" t="s">
        <v>411</v>
      </c>
      <c r="L252" t="str">
        <f>_xlfn.XLOOKUP(Transactions[[#This Row],[Account ID]],Accounts[Plaid Account ID],Accounts[Name],"Not Found",0)</f>
        <v>RBC Staff Banking</v>
      </c>
      <c r="M252" t="str">
        <f>_xlfn.XLOOKUP(Transactions[[#This Row],[Account ID]],Accounts[Plaid Account ID],Accounts[Institution Name],"Not Found",0)</f>
        <v>RBC Royal Bank</v>
      </c>
      <c r="N252" t="str">
        <f>IF(Transactions[[#This Row],[Amount]]&lt;0,"credit","debit")</f>
        <v>credit</v>
      </c>
      <c r="O252" t="str" cm="1">
        <f t="array" ref="O25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5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45230</v>
      </c>
      <c r="Q252" s="3">
        <f>DATE(YEAR(Transactions[[#This Row],[Datetime]]),MONTH(Transactions[[#This Row],[Datetime]]),1)</f>
        <v>45200</v>
      </c>
      <c r="R252" t="b">
        <f ca="1">AND(Transactions[[#This Row],[Datetime]]&gt;=EDATE(MAX(Transactions[Datetime]),-6),Transactions[[#This Row],[Datetime]]&lt;=TODAY())</f>
        <v>0</v>
      </c>
      <c r="S252" s="6">
        <f ca="1">AVERAGEIFS(Transactions[Month''s Total],Transactions[Recent],TRUE,Transactions[Custom Category],Transactions[[#This Row],[Custom Category]])</f>
        <v>-3209.0714285714284</v>
      </c>
      <c r="T252">
        <f>SUMIFS(Transactions[Amount],Transactions[Month],Transactions[[#This Row],[Month]],Transactions[Custom Category],Transactions[[#This Row],[Custom Category]])</f>
        <v>-4718</v>
      </c>
      <c r="U252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52">
        <f>IF(Transactions[[#This Row],[Month]]=Sel_Month,Transactions[[#This Row],[Amount]],0)</f>
        <v>0</v>
      </c>
    </row>
    <row r="253" spans="1:22" x14ac:dyDescent="0.25">
      <c r="A253" t="s">
        <v>61</v>
      </c>
      <c r="B253" t="s">
        <v>66</v>
      </c>
      <c r="C253">
        <v>192.58</v>
      </c>
      <c r="D253" t="s">
        <v>134</v>
      </c>
      <c r="E253" t="s">
        <v>396</v>
      </c>
      <c r="F253" t="s">
        <v>69</v>
      </c>
      <c r="G253" t="s">
        <v>135</v>
      </c>
      <c r="H253" t="s">
        <v>136</v>
      </c>
      <c r="I253" t="s">
        <v>132</v>
      </c>
      <c r="J253" t="b">
        <v>0</v>
      </c>
      <c r="K253" t="s">
        <v>397</v>
      </c>
      <c r="L253" t="str">
        <f>_xlfn.XLOOKUP(Transactions[[#This Row],[Account ID]],Accounts[Plaid Account ID],Accounts[Name],"Not Found",0)</f>
        <v>RBC Staff Banking</v>
      </c>
      <c r="M253" t="str">
        <f>_xlfn.XLOOKUP(Transactions[[#This Row],[Account ID]],Accounts[Plaid Account ID],Accounts[Institution Name],"Not Found",0)</f>
        <v>RBC Royal Bank</v>
      </c>
      <c r="N253" t="str">
        <f>IF(Transactions[[#This Row],[Amount]]&lt;0,"credit","debit")</f>
        <v>debit</v>
      </c>
      <c r="O253" t="str" cm="1">
        <f t="array" ref="O25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25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45232</v>
      </c>
      <c r="Q253" s="3">
        <f>DATE(YEAR(Transactions[[#This Row],[Datetime]]),MONTH(Transactions[[#This Row],[Datetime]]),1)</f>
        <v>45231</v>
      </c>
      <c r="R253" t="b">
        <f ca="1">AND(Transactions[[#This Row],[Datetime]]&gt;=EDATE(MAX(Transactions[Datetime]),-6),Transactions[[#This Row],[Datetime]]&lt;=TODAY())</f>
        <v>0</v>
      </c>
      <c r="S253" s="6">
        <f ca="1">AVERAGEIFS(Transactions[Month''s Total],Transactions[Recent],TRUE,Transactions[Custom Category],Transactions[[#This Row],[Custom Category]])</f>
        <v>624.12818181818193</v>
      </c>
      <c r="T253">
        <f>SUMIFS(Transactions[Amount],Transactions[Month],Transactions[[#This Row],[Month]],Transactions[Custom Category],Transactions[[#This Row],[Custom Category]])</f>
        <v>577.74</v>
      </c>
      <c r="U253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253">
        <f>IF(Transactions[[#This Row],[Month]]=Sel_Month,Transactions[[#This Row],[Amount]],0)</f>
        <v>0</v>
      </c>
    </row>
    <row r="254" spans="1:22" x14ac:dyDescent="0.25">
      <c r="A254" t="s">
        <v>61</v>
      </c>
      <c r="B254" t="s">
        <v>66</v>
      </c>
      <c r="C254">
        <v>-245.35</v>
      </c>
      <c r="D254" t="s">
        <v>366</v>
      </c>
      <c r="E254" t="s">
        <v>396</v>
      </c>
      <c r="F254" t="s">
        <v>69</v>
      </c>
      <c r="H254" t="s">
        <v>368</v>
      </c>
      <c r="I254" t="s">
        <v>71</v>
      </c>
      <c r="J254" t="b">
        <v>0</v>
      </c>
      <c r="K254" t="s">
        <v>398</v>
      </c>
      <c r="L254" t="str">
        <f>_xlfn.XLOOKUP(Transactions[[#This Row],[Account ID]],Accounts[Plaid Account ID],Accounts[Name],"Not Found",0)</f>
        <v>RBC Staff Banking</v>
      </c>
      <c r="M254" t="str">
        <f>_xlfn.XLOOKUP(Transactions[[#This Row],[Account ID]],Accounts[Plaid Account ID],Accounts[Institution Name],"Not Found",0)</f>
        <v>RBC Royal Bank</v>
      </c>
      <c r="N254" t="str">
        <f>IF(Transactions[[#This Row],[Amount]]&lt;0,"credit","debit")</f>
        <v>credit</v>
      </c>
      <c r="O254" t="str" cm="1">
        <f t="array" ref="O25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5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45232</v>
      </c>
      <c r="Q254" s="3">
        <f>DATE(YEAR(Transactions[[#This Row],[Datetime]]),MONTH(Transactions[[#This Row],[Datetime]]),1)</f>
        <v>45231</v>
      </c>
      <c r="R254" t="b">
        <f ca="1">AND(Transactions[[#This Row],[Datetime]]&gt;=EDATE(MAX(Transactions[Datetime]),-6),Transactions[[#This Row],[Datetime]]&lt;=TODAY())</f>
        <v>0</v>
      </c>
      <c r="S254" s="6">
        <f ca="1">AVERAGEIFS(Transactions[Month''s Total],Transactions[Recent],TRUE,Transactions[Custom Category],Transactions[[#This Row],[Custom Category]])</f>
        <v>14532.989714285719</v>
      </c>
      <c r="T254">
        <f>SUMIFS(Transactions[Amount],Transactions[Month],Transactions[[#This Row],[Month]],Transactions[Custom Category],Transactions[[#This Row],[Custom Category]])</f>
        <v>1819.79</v>
      </c>
      <c r="U25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54">
        <f>IF(Transactions[[#This Row],[Month]]=Sel_Month,Transactions[[#This Row],[Amount]],0)</f>
        <v>0</v>
      </c>
    </row>
    <row r="255" spans="1:22" x14ac:dyDescent="0.25">
      <c r="A255" t="s">
        <v>61</v>
      </c>
      <c r="B255" t="s">
        <v>66</v>
      </c>
      <c r="C255">
        <v>74.12</v>
      </c>
      <c r="D255" t="s">
        <v>67</v>
      </c>
      <c r="E255" t="s">
        <v>396</v>
      </c>
      <c r="F255" t="s">
        <v>69</v>
      </c>
      <c r="H255" t="s">
        <v>399</v>
      </c>
      <c r="I255" t="s">
        <v>71</v>
      </c>
      <c r="J255" t="b">
        <v>0</v>
      </c>
      <c r="K255" t="s">
        <v>400</v>
      </c>
      <c r="L255" t="str">
        <f>_xlfn.XLOOKUP(Transactions[[#This Row],[Account ID]],Accounts[Plaid Account ID],Accounts[Name],"Not Found",0)</f>
        <v>RBC Staff Banking</v>
      </c>
      <c r="M255" t="str">
        <f>_xlfn.XLOOKUP(Transactions[[#This Row],[Account ID]],Accounts[Plaid Account ID],Accounts[Institution Name],"Not Found",0)</f>
        <v>RBC Royal Bank</v>
      </c>
      <c r="N255" t="str">
        <f>IF(Transactions[[#This Row],[Amount]]&lt;0,"credit","debit")</f>
        <v>debit</v>
      </c>
      <c r="O255" t="str" cm="1">
        <f t="array" ref="O25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5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45232</v>
      </c>
      <c r="Q255" s="3">
        <f>DATE(YEAR(Transactions[[#This Row],[Datetime]]),MONTH(Transactions[[#This Row],[Datetime]]),1)</f>
        <v>45231</v>
      </c>
      <c r="R255" t="b">
        <f ca="1">AND(Transactions[[#This Row],[Datetime]]&gt;=EDATE(MAX(Transactions[Datetime]),-6),Transactions[[#This Row],[Datetime]]&lt;=TODAY())</f>
        <v>0</v>
      </c>
      <c r="S255" s="6">
        <f ca="1">AVERAGEIFS(Transactions[Month''s Total],Transactions[Recent],TRUE,Transactions[Custom Category],Transactions[[#This Row],[Custom Category]])</f>
        <v>12758.461333333335</v>
      </c>
      <c r="T255">
        <f>SUMIFS(Transactions[Amount],Transactions[Month],Transactions[[#This Row],[Month]],Transactions[Custom Category],Transactions[[#This Row],[Custom Category]])</f>
        <v>114.12</v>
      </c>
      <c r="U25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55">
        <f>IF(Transactions[[#This Row],[Month]]=Sel_Month,Transactions[[#This Row],[Amount]],0)</f>
        <v>0</v>
      </c>
    </row>
    <row r="256" spans="1:22" x14ac:dyDescent="0.25">
      <c r="A256" t="s">
        <v>61</v>
      </c>
      <c r="B256" t="s">
        <v>66</v>
      </c>
      <c r="C256">
        <v>340.96</v>
      </c>
      <c r="D256" t="s">
        <v>67</v>
      </c>
      <c r="E256" t="s">
        <v>396</v>
      </c>
      <c r="F256" t="s">
        <v>69</v>
      </c>
      <c r="H256" t="s">
        <v>401</v>
      </c>
      <c r="I256" t="s">
        <v>71</v>
      </c>
      <c r="J256" t="b">
        <v>0</v>
      </c>
      <c r="K256" t="s">
        <v>402</v>
      </c>
      <c r="L256" t="str">
        <f>_xlfn.XLOOKUP(Transactions[[#This Row],[Account ID]],Accounts[Plaid Account ID],Accounts[Name],"Not Found",0)</f>
        <v>RBC Staff Banking</v>
      </c>
      <c r="M256" t="str">
        <f>_xlfn.XLOOKUP(Transactions[[#This Row],[Account ID]],Accounts[Plaid Account ID],Accounts[Institution Name],"Not Found",0)</f>
        <v>RBC Royal Bank</v>
      </c>
      <c r="N256" t="str">
        <f>IF(Transactions[[#This Row],[Amount]]&lt;0,"credit","debit")</f>
        <v>debit</v>
      </c>
      <c r="O256" t="str" cm="1">
        <f t="array" ref="O25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5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45232</v>
      </c>
      <c r="Q256" s="3">
        <f>DATE(YEAR(Transactions[[#This Row],[Datetime]]),MONTH(Transactions[[#This Row],[Datetime]]),1)</f>
        <v>45231</v>
      </c>
      <c r="R256" t="b">
        <f ca="1">AND(Transactions[[#This Row],[Datetime]]&gt;=EDATE(MAX(Transactions[Datetime]),-6),Transactions[[#This Row],[Datetime]]&lt;=TODAY())</f>
        <v>0</v>
      </c>
      <c r="S256" s="6">
        <f ca="1">AVERAGEIFS(Transactions[Month''s Total],Transactions[Recent],TRUE,Transactions[Custom Category],Transactions[[#This Row],[Custom Category]])</f>
        <v>14532.989714285719</v>
      </c>
      <c r="T256">
        <f>SUMIFS(Transactions[Amount],Transactions[Month],Transactions[[#This Row],[Month]],Transactions[Custom Category],Transactions[[#This Row],[Custom Category]])</f>
        <v>1819.79</v>
      </c>
      <c r="U25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56">
        <f>IF(Transactions[[#This Row],[Month]]=Sel_Month,Transactions[[#This Row],[Amount]],0)</f>
        <v>0</v>
      </c>
    </row>
    <row r="257" spans="1:22" x14ac:dyDescent="0.25">
      <c r="A257" t="s">
        <v>61</v>
      </c>
      <c r="B257" t="s">
        <v>66</v>
      </c>
      <c r="C257">
        <v>111.64</v>
      </c>
      <c r="D257" t="s">
        <v>165</v>
      </c>
      <c r="E257" t="s">
        <v>392</v>
      </c>
      <c r="F257" t="s">
        <v>69</v>
      </c>
      <c r="G257" t="s">
        <v>166</v>
      </c>
      <c r="H257" t="s">
        <v>167</v>
      </c>
      <c r="I257" t="s">
        <v>132</v>
      </c>
      <c r="J257" t="b">
        <v>0</v>
      </c>
      <c r="K257" t="s">
        <v>393</v>
      </c>
      <c r="L257" t="str">
        <f>_xlfn.XLOOKUP(Transactions[[#This Row],[Account ID]],Accounts[Plaid Account ID],Accounts[Name],"Not Found",0)</f>
        <v>RBC Staff Banking</v>
      </c>
      <c r="M257" t="str">
        <f>_xlfn.XLOOKUP(Transactions[[#This Row],[Account ID]],Accounts[Plaid Account ID],Accounts[Institution Name],"Not Found",0)</f>
        <v>RBC Royal Bank</v>
      </c>
      <c r="N257" t="str">
        <f>IF(Transactions[[#This Row],[Amount]]&lt;0,"credit","debit")</f>
        <v>debit</v>
      </c>
      <c r="O257" t="str" cm="1">
        <f t="array" ref="O25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Utilities,Electric</v>
      </c>
      <c r="P25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45238</v>
      </c>
      <c r="Q257" s="3">
        <f>DATE(YEAR(Transactions[[#This Row],[Datetime]]),MONTH(Transactions[[#This Row],[Datetime]]),1)</f>
        <v>45231</v>
      </c>
      <c r="R257" t="b">
        <f ca="1">AND(Transactions[[#This Row],[Datetime]]&gt;=EDATE(MAX(Transactions[Datetime]),-6),Transactions[[#This Row],[Datetime]]&lt;=TODAY())</f>
        <v>0</v>
      </c>
      <c r="S257" s="6">
        <f ca="1">AVERAGEIFS(Transactions[Month''s Total],Transactions[Recent],TRUE,Transactions[Custom Category],Transactions[[#This Row],[Custom Category]])</f>
        <v>139.88333333333333</v>
      </c>
      <c r="T257">
        <f>SUMIFS(Transactions[Amount],Transactions[Month],Transactions[[#This Row],[Month]],Transactions[Custom Category],Transactions[[#This Row],[Custom Category]])</f>
        <v>111.64</v>
      </c>
      <c r="U257">
        <f ca="1">IF(COUNTIF(Budgets[Custom Category],Transactions[[#This Row],[Custom Category]])=0,Transactions[[#This Row],[6M AVG]],_xlfn.XLOOKUP(Transactions[[#This Row],[Custom Category]],Budgets[Custom Category],Budgets[Monthly],0,0))</f>
        <v>139.88333333333333</v>
      </c>
      <c r="V257">
        <f>IF(Transactions[[#This Row],[Month]]=Sel_Month,Transactions[[#This Row],[Amount]],0)</f>
        <v>0</v>
      </c>
    </row>
    <row r="258" spans="1:22" x14ac:dyDescent="0.25">
      <c r="A258" t="s">
        <v>61</v>
      </c>
      <c r="B258" t="s">
        <v>66</v>
      </c>
      <c r="C258">
        <v>-753.14</v>
      </c>
      <c r="D258" t="s">
        <v>99</v>
      </c>
      <c r="E258" t="s">
        <v>392</v>
      </c>
      <c r="F258" t="s">
        <v>69</v>
      </c>
      <c r="H258" t="s">
        <v>394</v>
      </c>
      <c r="I258" t="s">
        <v>71</v>
      </c>
      <c r="J258" t="b">
        <v>0</v>
      </c>
      <c r="K258" t="s">
        <v>395</v>
      </c>
      <c r="L258" t="str">
        <f>_xlfn.XLOOKUP(Transactions[[#This Row],[Account ID]],Accounts[Plaid Account ID],Accounts[Name],"Not Found",0)</f>
        <v>RBC Staff Banking</v>
      </c>
      <c r="M258" t="str">
        <f>_xlfn.XLOOKUP(Transactions[[#This Row],[Account ID]],Accounts[Plaid Account ID],Accounts[Institution Name],"Not Found",0)</f>
        <v>RBC Royal Bank</v>
      </c>
      <c r="N258" t="str">
        <f>IF(Transactions[[#This Row],[Amount]]&lt;0,"credit","debit")</f>
        <v>credit</v>
      </c>
      <c r="O258" t="str" cm="1">
        <f t="array" ref="O25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25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45238</v>
      </c>
      <c r="Q258" s="3">
        <f>DATE(YEAR(Transactions[[#This Row],[Datetime]]),MONTH(Transactions[[#This Row],[Datetime]]),1)</f>
        <v>45231</v>
      </c>
      <c r="R258" t="b">
        <f ca="1">AND(Transactions[[#This Row],[Datetime]]&gt;=EDATE(MAX(Transactions[Datetime]),-6),Transactions[[#This Row],[Datetime]]&lt;=TODAY())</f>
        <v>0</v>
      </c>
      <c r="S258" s="6">
        <f ca="1">AVERAGEIFS(Transactions[Month''s Total],Transactions[Recent],TRUE,Transactions[Custom Category],Transactions[[#This Row],[Custom Category]])</f>
        <v>-333.34666666666664</v>
      </c>
      <c r="T258">
        <f>SUMIFS(Transactions[Amount],Transactions[Month],Transactions[[#This Row],[Month]],Transactions[Custom Category],Transactions[[#This Row],[Custom Category]])</f>
        <v>-5808.97</v>
      </c>
      <c r="U258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258">
        <f>IF(Transactions[[#This Row],[Month]]=Sel_Month,Transactions[[#This Row],[Amount]],0)</f>
        <v>0</v>
      </c>
    </row>
    <row r="259" spans="1:22" x14ac:dyDescent="0.25">
      <c r="A259" t="s">
        <v>61</v>
      </c>
      <c r="B259" t="s">
        <v>66</v>
      </c>
      <c r="C259">
        <v>76.56</v>
      </c>
      <c r="D259" t="s">
        <v>152</v>
      </c>
      <c r="E259" t="s">
        <v>388</v>
      </c>
      <c r="F259" t="s">
        <v>69</v>
      </c>
      <c r="G259" t="s">
        <v>153</v>
      </c>
      <c r="H259" t="s">
        <v>154</v>
      </c>
      <c r="I259" t="s">
        <v>132</v>
      </c>
      <c r="J259" t="b">
        <v>0</v>
      </c>
      <c r="K259" t="s">
        <v>389</v>
      </c>
      <c r="L259" t="str">
        <f>_xlfn.XLOOKUP(Transactions[[#This Row],[Account ID]],Accounts[Plaid Account ID],Accounts[Name],"Not Found",0)</f>
        <v>RBC Staff Banking</v>
      </c>
      <c r="M259" t="str">
        <f>_xlfn.XLOOKUP(Transactions[[#This Row],[Account ID]],Accounts[Plaid Account ID],Accounts[Institution Name],"Not Found",0)</f>
        <v>RBC Royal Bank</v>
      </c>
      <c r="N259" t="str">
        <f>IF(Transactions[[#This Row],[Amount]]&lt;0,"credit","debit")</f>
        <v>debit</v>
      </c>
      <c r="O259" t="str" cm="1">
        <f t="array" ref="O25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25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45243</v>
      </c>
      <c r="Q259" s="3">
        <f>DATE(YEAR(Transactions[[#This Row],[Datetime]]),MONTH(Transactions[[#This Row],[Datetime]]),1)</f>
        <v>45231</v>
      </c>
      <c r="R259" t="b">
        <f ca="1">AND(Transactions[[#This Row],[Datetime]]&gt;=EDATE(MAX(Transactions[Datetime]),-6),Transactions[[#This Row],[Datetime]]&lt;=TODAY())</f>
        <v>0</v>
      </c>
      <c r="S259" s="6">
        <f ca="1">AVERAGEIFS(Transactions[Month''s Total],Transactions[Recent],TRUE,Transactions[Custom Category],Transactions[[#This Row],[Custom Category]])</f>
        <v>153.08333333333331</v>
      </c>
      <c r="T259">
        <f>SUMIFS(Transactions[Amount],Transactions[Month],Transactions[[#This Row],[Month]],Transactions[Custom Category],Transactions[[#This Row],[Custom Category]])</f>
        <v>76.56</v>
      </c>
      <c r="U259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259">
        <f>IF(Transactions[[#This Row],[Month]]=Sel_Month,Transactions[[#This Row],[Amount]],0)</f>
        <v>0</v>
      </c>
    </row>
    <row r="260" spans="1:22" x14ac:dyDescent="0.25">
      <c r="A260" t="s">
        <v>61</v>
      </c>
      <c r="B260" t="s">
        <v>66</v>
      </c>
      <c r="C260">
        <v>448.92</v>
      </c>
      <c r="D260" t="s">
        <v>67</v>
      </c>
      <c r="E260" t="s">
        <v>388</v>
      </c>
      <c r="F260" t="s">
        <v>69</v>
      </c>
      <c r="H260" t="s">
        <v>390</v>
      </c>
      <c r="I260" t="s">
        <v>71</v>
      </c>
      <c r="J260" t="b">
        <v>0</v>
      </c>
      <c r="K260" t="s">
        <v>391</v>
      </c>
      <c r="L260" t="str">
        <f>_xlfn.XLOOKUP(Transactions[[#This Row],[Account ID]],Accounts[Plaid Account ID],Accounts[Name],"Not Found",0)</f>
        <v>RBC Staff Banking</v>
      </c>
      <c r="M260" t="str">
        <f>_xlfn.XLOOKUP(Transactions[[#This Row],[Account ID]],Accounts[Plaid Account ID],Accounts[Institution Name],"Not Found",0)</f>
        <v>RBC Royal Bank</v>
      </c>
      <c r="N260" t="str">
        <f>IF(Transactions[[#This Row],[Amount]]&lt;0,"credit","debit")</f>
        <v>debit</v>
      </c>
      <c r="O260" t="str" cm="1">
        <f t="array" ref="O26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6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45243</v>
      </c>
      <c r="Q260" s="3">
        <f>DATE(YEAR(Transactions[[#This Row],[Datetime]]),MONTH(Transactions[[#This Row],[Datetime]]),1)</f>
        <v>45231</v>
      </c>
      <c r="R260" t="b">
        <f ca="1">AND(Transactions[[#This Row],[Datetime]]&gt;=EDATE(MAX(Transactions[Datetime]),-6),Transactions[[#This Row],[Datetime]]&lt;=TODAY())</f>
        <v>0</v>
      </c>
      <c r="S260" s="6">
        <f ca="1">AVERAGEIFS(Transactions[Month''s Total],Transactions[Recent],TRUE,Transactions[Custom Category],Transactions[[#This Row],[Custom Category]])</f>
        <v>14532.989714285719</v>
      </c>
      <c r="T260">
        <f>SUMIFS(Transactions[Amount],Transactions[Month],Transactions[[#This Row],[Month]],Transactions[Custom Category],Transactions[[#This Row],[Custom Category]])</f>
        <v>1819.79</v>
      </c>
      <c r="U26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60">
        <f>IF(Transactions[[#This Row],[Month]]=Sel_Month,Transactions[[#This Row],[Amount]],0)</f>
        <v>0</v>
      </c>
    </row>
    <row r="261" spans="1:22" x14ac:dyDescent="0.25">
      <c r="A261" t="s">
        <v>61</v>
      </c>
      <c r="B261" t="s">
        <v>66</v>
      </c>
      <c r="C261">
        <v>420.55</v>
      </c>
      <c r="D261" t="s">
        <v>129</v>
      </c>
      <c r="E261" t="s">
        <v>384</v>
      </c>
      <c r="F261" t="s">
        <v>69</v>
      </c>
      <c r="G261" t="s">
        <v>130</v>
      </c>
      <c r="H261" t="s">
        <v>131</v>
      </c>
      <c r="I261" t="s">
        <v>132</v>
      </c>
      <c r="J261" t="b">
        <v>0</v>
      </c>
      <c r="K261" t="s">
        <v>385</v>
      </c>
      <c r="L261" t="str">
        <f>_xlfn.XLOOKUP(Transactions[[#This Row],[Account ID]],Accounts[Plaid Account ID],Accounts[Name],"Not Found",0)</f>
        <v>RBC Staff Banking</v>
      </c>
      <c r="M261" t="str">
        <f>_xlfn.XLOOKUP(Transactions[[#This Row],[Account ID]],Accounts[Plaid Account ID],Accounts[Institution Name],"Not Found",0)</f>
        <v>RBC Royal Bank</v>
      </c>
      <c r="N261" t="str">
        <f>IF(Transactions[[#This Row],[Amount]]&lt;0,"credit","debit")</f>
        <v>debit</v>
      </c>
      <c r="O261" t="str" cm="1">
        <f t="array" ref="O26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Insurance,Car</v>
      </c>
      <c r="P26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45244</v>
      </c>
      <c r="Q261" s="3">
        <f>DATE(YEAR(Transactions[[#This Row],[Datetime]]),MONTH(Transactions[[#This Row],[Datetime]]),1)</f>
        <v>45231</v>
      </c>
      <c r="R261" t="b">
        <f ca="1">AND(Transactions[[#This Row],[Datetime]]&gt;=EDATE(MAX(Transactions[Datetime]),-6),Transactions[[#This Row],[Datetime]]&lt;=TODAY())</f>
        <v>0</v>
      </c>
      <c r="S261" s="6">
        <f ca="1">AVERAGEIFS(Transactions[Month''s Total],Transactions[Recent],TRUE,Transactions[Custom Category],Transactions[[#This Row],[Custom Category]])</f>
        <v>432.99599999999998</v>
      </c>
      <c r="T261">
        <f>SUMIFS(Transactions[Amount],Transactions[Month],Transactions[[#This Row],[Month]],Transactions[Custom Category],Transactions[[#This Row],[Custom Category]])</f>
        <v>420.55</v>
      </c>
      <c r="U261">
        <f ca="1">IF(COUNTIF(Budgets[Custom Category],Transactions[[#This Row],[Custom Category]])=0,Transactions[[#This Row],[6M AVG]],_xlfn.XLOOKUP(Transactions[[#This Row],[Custom Category]],Budgets[Custom Category],Budgets[Monthly],0,0))</f>
        <v>432.99599999999998</v>
      </c>
      <c r="V261">
        <f>IF(Transactions[[#This Row],[Month]]=Sel_Month,Transactions[[#This Row],[Amount]],0)</f>
        <v>0</v>
      </c>
    </row>
    <row r="262" spans="1:22" x14ac:dyDescent="0.25">
      <c r="A262" t="s">
        <v>61</v>
      </c>
      <c r="B262" t="s">
        <v>66</v>
      </c>
      <c r="C262">
        <v>65.7</v>
      </c>
      <c r="D262" t="s">
        <v>129</v>
      </c>
      <c r="E262" t="s">
        <v>384</v>
      </c>
      <c r="F262" t="s">
        <v>69</v>
      </c>
      <c r="G262" t="s">
        <v>138</v>
      </c>
      <c r="H262" t="s">
        <v>139</v>
      </c>
      <c r="I262" t="s">
        <v>132</v>
      </c>
      <c r="J262" t="b">
        <v>0</v>
      </c>
      <c r="K262" t="s">
        <v>386</v>
      </c>
      <c r="L262" t="str">
        <f>_xlfn.XLOOKUP(Transactions[[#This Row],[Account ID]],Accounts[Plaid Account ID],Accounts[Name],"Not Found",0)</f>
        <v>RBC Staff Banking</v>
      </c>
      <c r="M262" t="str">
        <f>_xlfn.XLOOKUP(Transactions[[#This Row],[Account ID]],Accounts[Plaid Account ID],Accounts[Institution Name],"Not Found",0)</f>
        <v>RBC Royal Bank</v>
      </c>
      <c r="N262" t="str">
        <f>IF(Transactions[[#This Row],[Amount]]&lt;0,"credit","debit")</f>
        <v>debit</v>
      </c>
      <c r="O262" t="str" cm="1">
        <f t="array" ref="O26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Insurance,Life</v>
      </c>
      <c r="P26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45244</v>
      </c>
      <c r="Q262" s="3">
        <f>DATE(YEAR(Transactions[[#This Row],[Datetime]]),MONTH(Transactions[[#This Row],[Datetime]]),1)</f>
        <v>45231</v>
      </c>
      <c r="R262" t="b">
        <f ca="1">AND(Transactions[[#This Row],[Datetime]]&gt;=EDATE(MAX(Transactions[Datetime]),-6),Transactions[[#This Row],[Datetime]]&lt;=TODAY())</f>
        <v>0</v>
      </c>
      <c r="S262" s="6">
        <f ca="1">AVERAGEIFS(Transactions[Month''s Total],Transactions[Recent],TRUE,Transactions[Custom Category],Transactions[[#This Row],[Custom Category]])</f>
        <v>65.7</v>
      </c>
      <c r="T262">
        <f>SUMIFS(Transactions[Amount],Transactions[Month],Transactions[[#This Row],[Month]],Transactions[Custom Category],Transactions[[#This Row],[Custom Category]])</f>
        <v>65.7</v>
      </c>
      <c r="U262">
        <f ca="1">IF(COUNTIF(Budgets[Custom Category],Transactions[[#This Row],[Custom Category]])=0,Transactions[[#This Row],[6M AVG]],_xlfn.XLOOKUP(Transactions[[#This Row],[Custom Category]],Budgets[Custom Category],Budgets[Monthly],0,0))</f>
        <v>65.7</v>
      </c>
      <c r="V262">
        <f>IF(Transactions[[#This Row],[Month]]=Sel_Month,Transactions[[#This Row],[Amount]],0)</f>
        <v>0</v>
      </c>
    </row>
    <row r="263" spans="1:22" x14ac:dyDescent="0.25">
      <c r="A263" t="s">
        <v>61</v>
      </c>
      <c r="B263" t="s">
        <v>66</v>
      </c>
      <c r="C263">
        <v>50.86</v>
      </c>
      <c r="D263" t="s">
        <v>129</v>
      </c>
      <c r="E263" t="s">
        <v>384</v>
      </c>
      <c r="F263" t="s">
        <v>69</v>
      </c>
      <c r="G263" t="s">
        <v>130</v>
      </c>
      <c r="H263" t="s">
        <v>131</v>
      </c>
      <c r="I263" t="s">
        <v>132</v>
      </c>
      <c r="J263" t="b">
        <v>0</v>
      </c>
      <c r="K263" t="s">
        <v>387</v>
      </c>
      <c r="L263" t="str">
        <f>_xlfn.XLOOKUP(Transactions[[#This Row],[Account ID]],Accounts[Plaid Account ID],Accounts[Name],"Not Found",0)</f>
        <v>RBC Staff Banking</v>
      </c>
      <c r="M263" t="str">
        <f>_xlfn.XLOOKUP(Transactions[[#This Row],[Account ID]],Accounts[Plaid Account ID],Accounts[Institution Name],"Not Found",0)</f>
        <v>RBC Royal Bank</v>
      </c>
      <c r="N263" t="str">
        <f>IF(Transactions[[#This Row],[Amount]]&lt;0,"credit","debit")</f>
        <v>debit</v>
      </c>
      <c r="O263" t="str" cm="1">
        <f t="array" ref="O26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Insurance,Home</v>
      </c>
      <c r="P26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45244</v>
      </c>
      <c r="Q263" s="3">
        <f>DATE(YEAR(Transactions[[#This Row],[Datetime]]),MONTH(Transactions[[#This Row],[Datetime]]),1)</f>
        <v>45231</v>
      </c>
      <c r="R263" t="b">
        <f ca="1">AND(Transactions[[#This Row],[Datetime]]&gt;=EDATE(MAX(Transactions[Datetime]),-6),Transactions[[#This Row],[Datetime]]&lt;=TODAY())</f>
        <v>0</v>
      </c>
      <c r="S263" s="6">
        <f ca="1">AVERAGEIFS(Transactions[Month''s Total],Transactions[Recent],TRUE,Transactions[Custom Category],Transactions[[#This Row],[Custom Category]])</f>
        <v>57.905000000000001</v>
      </c>
      <c r="T263">
        <f>SUMIFS(Transactions[Amount],Transactions[Month],Transactions[[#This Row],[Month]],Transactions[Custom Category],Transactions[[#This Row],[Custom Category]])</f>
        <v>50.86</v>
      </c>
      <c r="U263">
        <f ca="1">IF(COUNTIF(Budgets[Custom Category],Transactions[[#This Row],[Custom Category]])=0,Transactions[[#This Row],[6M AVG]],_xlfn.XLOOKUP(Transactions[[#This Row],[Custom Category]],Budgets[Custom Category],Budgets[Monthly],0,0))</f>
        <v>57.905000000000001</v>
      </c>
      <c r="V263">
        <f>IF(Transactions[[#This Row],[Month]]=Sel_Month,Transactions[[#This Row],[Amount]],0)</f>
        <v>0</v>
      </c>
    </row>
    <row r="264" spans="1:22" x14ac:dyDescent="0.25">
      <c r="A264" t="s">
        <v>61</v>
      </c>
      <c r="B264" t="s">
        <v>66</v>
      </c>
      <c r="C264">
        <v>-700</v>
      </c>
      <c r="D264" t="s">
        <v>99</v>
      </c>
      <c r="E264" t="s">
        <v>381</v>
      </c>
      <c r="F264" t="s">
        <v>69</v>
      </c>
      <c r="H264" t="s">
        <v>382</v>
      </c>
      <c r="I264" t="s">
        <v>71</v>
      </c>
      <c r="J264" t="b">
        <v>0</v>
      </c>
      <c r="K264" t="s">
        <v>383</v>
      </c>
      <c r="L264" t="str">
        <f>_xlfn.XLOOKUP(Transactions[[#This Row],[Account ID]],Accounts[Plaid Account ID],Accounts[Name],"Not Found",0)</f>
        <v>RBC Staff Banking</v>
      </c>
      <c r="M264" t="str">
        <f>_xlfn.XLOOKUP(Transactions[[#This Row],[Account ID]],Accounts[Plaid Account ID],Accounts[Institution Name],"Not Found",0)</f>
        <v>RBC Royal Bank</v>
      </c>
      <c r="N264" t="str">
        <f>IF(Transactions[[#This Row],[Amount]]&lt;0,"credit","debit")</f>
        <v>credit</v>
      </c>
      <c r="O264" t="str" cm="1">
        <f t="array" ref="O26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6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45245</v>
      </c>
      <c r="Q264" s="3">
        <f>DATE(YEAR(Transactions[[#This Row],[Datetime]]),MONTH(Transactions[[#This Row],[Datetime]]),1)</f>
        <v>45231</v>
      </c>
      <c r="R264" t="b">
        <f ca="1">AND(Transactions[[#This Row],[Datetime]]&gt;=EDATE(MAX(Transactions[Datetime]),-6),Transactions[[#This Row],[Datetime]]&lt;=TODAY())</f>
        <v>0</v>
      </c>
      <c r="S264" s="6">
        <f ca="1">AVERAGEIFS(Transactions[Month''s Total],Transactions[Recent],TRUE,Transactions[Custom Category],Transactions[[#This Row],[Custom Category]])</f>
        <v>14532.989714285719</v>
      </c>
      <c r="T264">
        <f>SUMIFS(Transactions[Amount],Transactions[Month],Transactions[[#This Row],[Month]],Transactions[Custom Category],Transactions[[#This Row],[Custom Category]])</f>
        <v>1819.79</v>
      </c>
      <c r="U26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64">
        <f>IF(Transactions[[#This Row],[Month]]=Sel_Month,Transactions[[#This Row],[Amount]],0)</f>
        <v>0</v>
      </c>
    </row>
    <row r="265" spans="1:22" x14ac:dyDescent="0.25">
      <c r="A265" t="s">
        <v>61</v>
      </c>
      <c r="B265" t="s">
        <v>66</v>
      </c>
      <c r="C265">
        <v>1.45</v>
      </c>
      <c r="D265" t="s">
        <v>95</v>
      </c>
      <c r="E265" t="s">
        <v>378</v>
      </c>
      <c r="F265" t="s">
        <v>69</v>
      </c>
      <c r="H265" t="s">
        <v>118</v>
      </c>
      <c r="I265" t="s">
        <v>71</v>
      </c>
      <c r="J265" t="b">
        <v>0</v>
      </c>
      <c r="K265" t="s">
        <v>379</v>
      </c>
      <c r="L265" t="str">
        <f>_xlfn.XLOOKUP(Transactions[[#This Row],[Account ID]],Accounts[Plaid Account ID],Accounts[Name],"Not Found",0)</f>
        <v>RBC Staff Banking</v>
      </c>
      <c r="M265" t="str">
        <f>_xlfn.XLOOKUP(Transactions[[#This Row],[Account ID]],Accounts[Plaid Account ID],Accounts[Institution Name],"Not Found",0)</f>
        <v>RBC Royal Bank</v>
      </c>
      <c r="N265" t="str">
        <f>IF(Transactions[[#This Row],[Amount]]&lt;0,"credit","debit")</f>
        <v>debit</v>
      </c>
      <c r="O265" t="str" cm="1">
        <f t="array" ref="O26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26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45246</v>
      </c>
      <c r="Q265" s="3">
        <f>DATE(YEAR(Transactions[[#This Row],[Datetime]]),MONTH(Transactions[[#This Row],[Datetime]]),1)</f>
        <v>45231</v>
      </c>
      <c r="R265" t="b">
        <f ca="1">AND(Transactions[[#This Row],[Datetime]]&gt;=EDATE(MAX(Transactions[Datetime]),-6),Transactions[[#This Row],[Datetime]]&lt;=TODAY())</f>
        <v>0</v>
      </c>
      <c r="S265" s="6">
        <f ca="1">AVERAGEIFS(Transactions[Month''s Total],Transactions[Recent],TRUE,Transactions[Custom Category],Transactions[[#This Row],[Custom Category]])</f>
        <v>2.5077777777777777</v>
      </c>
      <c r="T265">
        <f>SUMIFS(Transactions[Amount],Transactions[Month],Transactions[[#This Row],[Month]],Transactions[Custom Category],Transactions[[#This Row],[Custom Category]])</f>
        <v>18.45</v>
      </c>
      <c r="U265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265">
        <f>IF(Transactions[[#This Row],[Month]]=Sel_Month,Transactions[[#This Row],[Amount]],0)</f>
        <v>0</v>
      </c>
    </row>
    <row r="266" spans="1:22" x14ac:dyDescent="0.25">
      <c r="A266" t="s">
        <v>61</v>
      </c>
      <c r="B266" t="s">
        <v>66</v>
      </c>
      <c r="C266">
        <v>192.58</v>
      </c>
      <c r="D266" t="s">
        <v>134</v>
      </c>
      <c r="E266" t="s">
        <v>378</v>
      </c>
      <c r="F266" t="s">
        <v>69</v>
      </c>
      <c r="G266" t="s">
        <v>135</v>
      </c>
      <c r="H266" t="s">
        <v>136</v>
      </c>
      <c r="I266" t="s">
        <v>132</v>
      </c>
      <c r="J266" t="b">
        <v>0</v>
      </c>
      <c r="K266" t="s">
        <v>380</v>
      </c>
      <c r="L266" t="str">
        <f>_xlfn.XLOOKUP(Transactions[[#This Row],[Account ID]],Accounts[Plaid Account ID],Accounts[Name],"Not Found",0)</f>
        <v>RBC Staff Banking</v>
      </c>
      <c r="M266" t="str">
        <f>_xlfn.XLOOKUP(Transactions[[#This Row],[Account ID]],Accounts[Plaid Account ID],Accounts[Institution Name],"Not Found",0)</f>
        <v>RBC Royal Bank</v>
      </c>
      <c r="N266" t="str">
        <f>IF(Transactions[[#This Row],[Amount]]&lt;0,"credit","debit")</f>
        <v>debit</v>
      </c>
      <c r="O266" t="str" cm="1">
        <f t="array" ref="O26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26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45246</v>
      </c>
      <c r="Q266" s="3">
        <f>DATE(YEAR(Transactions[[#This Row],[Datetime]]),MONTH(Transactions[[#This Row],[Datetime]]),1)</f>
        <v>45231</v>
      </c>
      <c r="R266" t="b">
        <f ca="1">AND(Transactions[[#This Row],[Datetime]]&gt;=EDATE(MAX(Transactions[Datetime]),-6),Transactions[[#This Row],[Datetime]]&lt;=TODAY())</f>
        <v>0</v>
      </c>
      <c r="S266" s="6">
        <f ca="1">AVERAGEIFS(Transactions[Month''s Total],Transactions[Recent],TRUE,Transactions[Custom Category],Transactions[[#This Row],[Custom Category]])</f>
        <v>624.12818181818193</v>
      </c>
      <c r="T266">
        <f>SUMIFS(Transactions[Amount],Transactions[Month],Transactions[[#This Row],[Month]],Transactions[Custom Category],Transactions[[#This Row],[Custom Category]])</f>
        <v>577.74</v>
      </c>
      <c r="U266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266">
        <f>IF(Transactions[[#This Row],[Month]]=Sel_Month,Transactions[[#This Row],[Amount]],0)</f>
        <v>0</v>
      </c>
    </row>
    <row r="267" spans="1:22" x14ac:dyDescent="0.25">
      <c r="A267" t="s">
        <v>61</v>
      </c>
      <c r="B267" t="s">
        <v>66</v>
      </c>
      <c r="C267">
        <v>-110</v>
      </c>
      <c r="D267" t="s">
        <v>99</v>
      </c>
      <c r="E267" t="s">
        <v>375</v>
      </c>
      <c r="F267" t="s">
        <v>69</v>
      </c>
      <c r="H267" t="s">
        <v>376</v>
      </c>
      <c r="I267" t="s">
        <v>71</v>
      </c>
      <c r="J267" t="b">
        <v>0</v>
      </c>
      <c r="K267" t="s">
        <v>377</v>
      </c>
      <c r="L267" t="str">
        <f>_xlfn.XLOOKUP(Transactions[[#This Row],[Account ID]],Accounts[Plaid Account ID],Accounts[Name],"Not Found",0)</f>
        <v>RBC Staff Banking</v>
      </c>
      <c r="M267" t="str">
        <f>_xlfn.XLOOKUP(Transactions[[#This Row],[Account ID]],Accounts[Plaid Account ID],Accounts[Institution Name],"Not Found",0)</f>
        <v>RBC Royal Bank</v>
      </c>
      <c r="N267" t="str">
        <f>IF(Transactions[[#This Row],[Amount]]&lt;0,"credit","debit")</f>
        <v>credit</v>
      </c>
      <c r="O267" t="str" cm="1">
        <f t="array" ref="O26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6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45249</v>
      </c>
      <c r="Q267" s="3">
        <f>DATE(YEAR(Transactions[[#This Row],[Datetime]]),MONTH(Transactions[[#This Row],[Datetime]]),1)</f>
        <v>45231</v>
      </c>
      <c r="R267" t="b">
        <f ca="1">AND(Transactions[[#This Row],[Datetime]]&gt;=EDATE(MAX(Transactions[Datetime]),-6),Transactions[[#This Row],[Datetime]]&lt;=TODAY())</f>
        <v>0</v>
      </c>
      <c r="S267" s="6">
        <f ca="1">AVERAGEIFS(Transactions[Month''s Total],Transactions[Recent],TRUE,Transactions[Custom Category],Transactions[[#This Row],[Custom Category]])</f>
        <v>14532.989714285719</v>
      </c>
      <c r="T267">
        <f>SUMIFS(Transactions[Amount],Transactions[Month],Transactions[[#This Row],[Month]],Transactions[Custom Category],Transactions[[#This Row],[Custom Category]])</f>
        <v>1819.79</v>
      </c>
      <c r="U26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67">
        <f>IF(Transactions[[#This Row],[Month]]=Sel_Month,Transactions[[#This Row],[Amount]],0)</f>
        <v>0</v>
      </c>
    </row>
    <row r="268" spans="1:22" x14ac:dyDescent="0.25">
      <c r="A268" t="s">
        <v>61</v>
      </c>
      <c r="B268" t="s">
        <v>66</v>
      </c>
      <c r="C268">
        <v>-5000</v>
      </c>
      <c r="D268" t="s">
        <v>99</v>
      </c>
      <c r="E268" t="s">
        <v>372</v>
      </c>
      <c r="F268" t="s">
        <v>69</v>
      </c>
      <c r="H268" t="s">
        <v>373</v>
      </c>
      <c r="I268" t="s">
        <v>71</v>
      </c>
      <c r="J268" t="b">
        <v>0</v>
      </c>
      <c r="K268" t="s">
        <v>374</v>
      </c>
      <c r="L268" t="str">
        <f>_xlfn.XLOOKUP(Transactions[[#This Row],[Account ID]],Accounts[Plaid Account ID],Accounts[Name],"Not Found",0)</f>
        <v>RBC Staff Banking</v>
      </c>
      <c r="M268" t="str">
        <f>_xlfn.XLOOKUP(Transactions[[#This Row],[Account ID]],Accounts[Plaid Account ID],Accounts[Institution Name],"Not Found",0)</f>
        <v>RBC Royal Bank</v>
      </c>
      <c r="N268" t="str">
        <f>IF(Transactions[[#This Row],[Amount]]&lt;0,"credit","debit")</f>
        <v>credit</v>
      </c>
      <c r="O268" t="str" cm="1">
        <f t="array" ref="O26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6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45250</v>
      </c>
      <c r="Q268" s="3">
        <f>DATE(YEAR(Transactions[[#This Row],[Datetime]]),MONTH(Transactions[[#This Row],[Datetime]]),1)</f>
        <v>45231</v>
      </c>
      <c r="R268" t="b">
        <f ca="1">AND(Transactions[[#This Row],[Datetime]]&gt;=EDATE(MAX(Transactions[Datetime]),-6),Transactions[[#This Row],[Datetime]]&lt;=TODAY())</f>
        <v>0</v>
      </c>
      <c r="S268" s="6">
        <f ca="1">AVERAGEIFS(Transactions[Month''s Total],Transactions[Recent],TRUE,Transactions[Custom Category],Transactions[[#This Row],[Custom Category]])</f>
        <v>-18125.097037037034</v>
      </c>
      <c r="T268">
        <f>SUMIFS(Transactions[Amount],Transactions[Month],Transactions[[#This Row],[Month]],Transactions[Custom Category],Transactions[[#This Row],[Custom Category]])</f>
        <v>-6101.97</v>
      </c>
      <c r="U26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68">
        <f>IF(Transactions[[#This Row],[Month]]=Sel_Month,Transactions[[#This Row],[Amount]],0)</f>
        <v>0</v>
      </c>
    </row>
    <row r="269" spans="1:22" x14ac:dyDescent="0.25">
      <c r="A269" t="s">
        <v>61</v>
      </c>
      <c r="B269" t="s">
        <v>66</v>
      </c>
      <c r="C269">
        <v>-46.74</v>
      </c>
      <c r="D269" t="s">
        <v>366</v>
      </c>
      <c r="E269" t="s">
        <v>367</v>
      </c>
      <c r="F269" t="s">
        <v>69</v>
      </c>
      <c r="H269" t="s">
        <v>368</v>
      </c>
      <c r="I269" t="s">
        <v>71</v>
      </c>
      <c r="J269" t="b">
        <v>0</v>
      </c>
      <c r="K269" t="s">
        <v>369</v>
      </c>
      <c r="L269" t="str">
        <f>_xlfn.XLOOKUP(Transactions[[#This Row],[Account ID]],Accounts[Plaid Account ID],Accounts[Name],"Not Found",0)</f>
        <v>RBC Staff Banking</v>
      </c>
      <c r="M269" t="str">
        <f>_xlfn.XLOOKUP(Transactions[[#This Row],[Account ID]],Accounts[Plaid Account ID],Accounts[Institution Name],"Not Found",0)</f>
        <v>RBC Royal Bank</v>
      </c>
      <c r="N269" t="str">
        <f>IF(Transactions[[#This Row],[Amount]]&lt;0,"credit","debit")</f>
        <v>credit</v>
      </c>
      <c r="O269" t="str" cm="1">
        <f t="array" ref="O26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6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45252</v>
      </c>
      <c r="Q269" s="3">
        <f>DATE(YEAR(Transactions[[#This Row],[Datetime]]),MONTH(Transactions[[#This Row],[Datetime]]),1)</f>
        <v>45231</v>
      </c>
      <c r="R269" t="b">
        <f ca="1">AND(Transactions[[#This Row],[Datetime]]&gt;=EDATE(MAX(Transactions[Datetime]),-6),Transactions[[#This Row],[Datetime]]&lt;=TODAY())</f>
        <v>0</v>
      </c>
      <c r="S269" s="6">
        <f ca="1">AVERAGEIFS(Transactions[Month''s Total],Transactions[Recent],TRUE,Transactions[Custom Category],Transactions[[#This Row],[Custom Category]])</f>
        <v>14532.989714285719</v>
      </c>
      <c r="T269">
        <f>SUMIFS(Transactions[Amount],Transactions[Month],Transactions[[#This Row],[Month]],Transactions[Custom Category],Transactions[[#This Row],[Custom Category]])</f>
        <v>1819.79</v>
      </c>
      <c r="U26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69">
        <f>IF(Transactions[[#This Row],[Month]]=Sel_Month,Transactions[[#This Row],[Amount]],0)</f>
        <v>0</v>
      </c>
    </row>
    <row r="270" spans="1:22" x14ac:dyDescent="0.25">
      <c r="A270" t="s">
        <v>61</v>
      </c>
      <c r="B270" t="s">
        <v>66</v>
      </c>
      <c r="C270">
        <v>-1101.97</v>
      </c>
      <c r="D270" t="s">
        <v>99</v>
      </c>
      <c r="E270" t="s">
        <v>367</v>
      </c>
      <c r="F270" t="s">
        <v>69</v>
      </c>
      <c r="H270" t="s">
        <v>370</v>
      </c>
      <c r="I270" t="s">
        <v>71</v>
      </c>
      <c r="J270" t="b">
        <v>0</v>
      </c>
      <c r="K270" t="s">
        <v>371</v>
      </c>
      <c r="L270" t="str">
        <f>_xlfn.XLOOKUP(Transactions[[#This Row],[Account ID]],Accounts[Plaid Account ID],Accounts[Name],"Not Found",0)</f>
        <v>RBC Staff Banking</v>
      </c>
      <c r="M270" t="str">
        <f>_xlfn.XLOOKUP(Transactions[[#This Row],[Account ID]],Accounts[Plaid Account ID],Accounts[Institution Name],"Not Found",0)</f>
        <v>RBC Royal Bank</v>
      </c>
      <c r="N270" t="str">
        <f>IF(Transactions[[#This Row],[Amount]]&lt;0,"credit","debit")</f>
        <v>credit</v>
      </c>
      <c r="O270" t="str" cm="1">
        <f t="array" ref="O27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7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45252</v>
      </c>
      <c r="Q270" s="3">
        <f>DATE(YEAR(Transactions[[#This Row],[Datetime]]),MONTH(Transactions[[#This Row],[Datetime]]),1)</f>
        <v>45231</v>
      </c>
      <c r="R270" t="b">
        <f ca="1">AND(Transactions[[#This Row],[Datetime]]&gt;=EDATE(MAX(Transactions[Datetime]),-6),Transactions[[#This Row],[Datetime]]&lt;=TODAY())</f>
        <v>0</v>
      </c>
      <c r="S270" s="6">
        <f ca="1">AVERAGEIFS(Transactions[Month''s Total],Transactions[Recent],TRUE,Transactions[Custom Category],Transactions[[#This Row],[Custom Category]])</f>
        <v>-18125.097037037034</v>
      </c>
      <c r="T270">
        <f>SUMIFS(Transactions[Amount],Transactions[Month],Transactions[[#This Row],[Month]],Transactions[Custom Category],Transactions[[#This Row],[Custom Category]])</f>
        <v>-6101.97</v>
      </c>
      <c r="U270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70">
        <f>IF(Transactions[[#This Row],[Month]]=Sel_Month,Transactions[[#This Row],[Amount]],0)</f>
        <v>0</v>
      </c>
    </row>
    <row r="271" spans="1:22" x14ac:dyDescent="0.25">
      <c r="A271" t="s">
        <v>61</v>
      </c>
      <c r="B271" t="s">
        <v>66</v>
      </c>
      <c r="C271">
        <v>17</v>
      </c>
      <c r="D271" t="s">
        <v>79</v>
      </c>
      <c r="E271" t="s">
        <v>359</v>
      </c>
      <c r="F271" t="s">
        <v>69</v>
      </c>
      <c r="H271" t="s">
        <v>360</v>
      </c>
      <c r="I271" t="s">
        <v>71</v>
      </c>
      <c r="J271" t="b">
        <v>0</v>
      </c>
      <c r="K271" t="s">
        <v>361</v>
      </c>
      <c r="L271" t="str">
        <f>_xlfn.XLOOKUP(Transactions[[#This Row],[Account ID]],Accounts[Plaid Account ID],Accounts[Name],"Not Found",0)</f>
        <v>RBC Staff Banking</v>
      </c>
      <c r="M271" t="str">
        <f>_xlfn.XLOOKUP(Transactions[[#This Row],[Account ID]],Accounts[Plaid Account ID],Accounts[Institution Name],"Not Found",0)</f>
        <v>RBC Royal Bank</v>
      </c>
      <c r="N271" t="str">
        <f>IF(Transactions[[#This Row],[Amount]]&lt;0,"credit","debit")</f>
        <v>debit</v>
      </c>
      <c r="O271" t="str" cm="1">
        <f t="array" ref="O27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27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45258</v>
      </c>
      <c r="Q271" s="3">
        <f>DATE(YEAR(Transactions[[#This Row],[Datetime]]),MONTH(Transactions[[#This Row],[Datetime]]),1)</f>
        <v>45231</v>
      </c>
      <c r="R271" t="b">
        <f ca="1">AND(Transactions[[#This Row],[Datetime]]&gt;=EDATE(MAX(Transactions[Datetime]),-6),Transactions[[#This Row],[Datetime]]&lt;=TODAY())</f>
        <v>0</v>
      </c>
      <c r="S271" s="6">
        <f ca="1">AVERAGEIFS(Transactions[Month''s Total],Transactions[Recent],TRUE,Transactions[Custom Category],Transactions[[#This Row],[Custom Category]])</f>
        <v>2.5077777777777777</v>
      </c>
      <c r="T271">
        <f>SUMIFS(Transactions[Amount],Transactions[Month],Transactions[[#This Row],[Month]],Transactions[Custom Category],Transactions[[#This Row],[Custom Category]])</f>
        <v>18.45</v>
      </c>
      <c r="U271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271">
        <f>IF(Transactions[[#This Row],[Month]]=Sel_Month,Transactions[[#This Row],[Amount]],0)</f>
        <v>0</v>
      </c>
    </row>
    <row r="272" spans="1:22" x14ac:dyDescent="0.25">
      <c r="A272" t="s">
        <v>61</v>
      </c>
      <c r="B272" t="s">
        <v>66</v>
      </c>
      <c r="C272">
        <v>-5055.83</v>
      </c>
      <c r="D272" t="s">
        <v>99</v>
      </c>
      <c r="E272" t="s">
        <v>359</v>
      </c>
      <c r="F272" t="s">
        <v>69</v>
      </c>
      <c r="H272" t="s">
        <v>362</v>
      </c>
      <c r="I272" t="s">
        <v>71</v>
      </c>
      <c r="J272" t="b">
        <v>0</v>
      </c>
      <c r="K272" t="s">
        <v>363</v>
      </c>
      <c r="L272" t="str">
        <f>_xlfn.XLOOKUP(Transactions[[#This Row],[Account ID]],Accounts[Plaid Account ID],Accounts[Name],"Not Found",0)</f>
        <v>RBC Staff Banking</v>
      </c>
      <c r="M272" t="str">
        <f>_xlfn.XLOOKUP(Transactions[[#This Row],[Account ID]],Accounts[Plaid Account ID],Accounts[Institution Name],"Not Found",0)</f>
        <v>RBC Royal Bank</v>
      </c>
      <c r="N272" t="str">
        <f>IF(Transactions[[#This Row],[Amount]]&lt;0,"credit","debit")</f>
        <v>credit</v>
      </c>
      <c r="O272" t="str" cm="1">
        <f t="array" ref="O27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27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45258</v>
      </c>
      <c r="Q272" s="3">
        <f>DATE(YEAR(Transactions[[#This Row],[Datetime]]),MONTH(Transactions[[#This Row],[Datetime]]),1)</f>
        <v>45231</v>
      </c>
      <c r="R272" t="b">
        <f ca="1">AND(Transactions[[#This Row],[Datetime]]&gt;=EDATE(MAX(Transactions[Datetime]),-6),Transactions[[#This Row],[Datetime]]&lt;=TODAY())</f>
        <v>0</v>
      </c>
      <c r="S272" s="6">
        <f ca="1">AVERAGEIFS(Transactions[Month''s Total],Transactions[Recent],TRUE,Transactions[Custom Category],Transactions[[#This Row],[Custom Category]])</f>
        <v>-333.34666666666664</v>
      </c>
      <c r="T272">
        <f>SUMIFS(Transactions[Amount],Transactions[Month],Transactions[[#This Row],[Month]],Transactions[Custom Category],Transactions[[#This Row],[Custom Category]])</f>
        <v>-5808.97</v>
      </c>
      <c r="U272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272">
        <f>IF(Transactions[[#This Row],[Month]]=Sel_Month,Transactions[[#This Row],[Amount]],0)</f>
        <v>0</v>
      </c>
    </row>
    <row r="273" spans="1:22" x14ac:dyDescent="0.25">
      <c r="A273" t="s">
        <v>61</v>
      </c>
      <c r="B273" t="s">
        <v>66</v>
      </c>
      <c r="C273">
        <v>-783</v>
      </c>
      <c r="D273" t="s">
        <v>99</v>
      </c>
      <c r="E273" t="s">
        <v>359</v>
      </c>
      <c r="F273" t="s">
        <v>69</v>
      </c>
      <c r="H273" t="s">
        <v>364</v>
      </c>
      <c r="I273" t="s">
        <v>71</v>
      </c>
      <c r="J273" t="b">
        <v>0</v>
      </c>
      <c r="K273" t="s">
        <v>365</v>
      </c>
      <c r="L273" t="str">
        <f>_xlfn.XLOOKUP(Transactions[[#This Row],[Account ID]],Accounts[Plaid Account ID],Accounts[Name],"Not Found",0)</f>
        <v>RBC Staff Banking</v>
      </c>
      <c r="M273" t="str">
        <f>_xlfn.XLOOKUP(Transactions[[#This Row],[Account ID]],Accounts[Plaid Account ID],Accounts[Institution Name],"Not Found",0)</f>
        <v>RBC Royal Bank</v>
      </c>
      <c r="N273" t="str">
        <f>IF(Transactions[[#This Row],[Amount]]&lt;0,"credit","debit")</f>
        <v>credit</v>
      </c>
      <c r="O273" t="str" cm="1">
        <f t="array" ref="O27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7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45258</v>
      </c>
      <c r="Q273" s="3">
        <f>DATE(YEAR(Transactions[[#This Row],[Datetime]]),MONTH(Transactions[[#This Row],[Datetime]]),1)</f>
        <v>45231</v>
      </c>
      <c r="R273" t="b">
        <f ca="1">AND(Transactions[[#This Row],[Datetime]]&gt;=EDATE(MAX(Transactions[Datetime]),-6),Transactions[[#This Row],[Datetime]]&lt;=TODAY())</f>
        <v>0</v>
      </c>
      <c r="S273" s="6">
        <f ca="1">AVERAGEIFS(Transactions[Month''s Total],Transactions[Recent],TRUE,Transactions[Custom Category],Transactions[[#This Row],[Custom Category]])</f>
        <v>-3209.0714285714284</v>
      </c>
      <c r="T273">
        <f>SUMIFS(Transactions[Amount],Transactions[Month],Transactions[[#This Row],[Month]],Transactions[Custom Category],Transactions[[#This Row],[Custom Category]])</f>
        <v>-1687</v>
      </c>
      <c r="U273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73">
        <f>IF(Transactions[[#This Row],[Month]]=Sel_Month,Transactions[[#This Row],[Amount]],0)</f>
        <v>0</v>
      </c>
    </row>
    <row r="274" spans="1:22" x14ac:dyDescent="0.25">
      <c r="A274" t="s">
        <v>61</v>
      </c>
      <c r="B274" t="s">
        <v>66</v>
      </c>
      <c r="C274">
        <v>2132</v>
      </c>
      <c r="D274" t="s">
        <v>67</v>
      </c>
      <c r="E274" t="s">
        <v>356</v>
      </c>
      <c r="F274" t="s">
        <v>69</v>
      </c>
      <c r="H274" t="s">
        <v>357</v>
      </c>
      <c r="I274" t="s">
        <v>71</v>
      </c>
      <c r="J274" t="b">
        <v>0</v>
      </c>
      <c r="K274" t="s">
        <v>358</v>
      </c>
      <c r="L274" t="str">
        <f>_xlfn.XLOOKUP(Transactions[[#This Row],[Account ID]],Accounts[Plaid Account ID],Accounts[Name],"Not Found",0)</f>
        <v>RBC Staff Banking</v>
      </c>
      <c r="M274" t="str">
        <f>_xlfn.XLOOKUP(Transactions[[#This Row],[Account ID]],Accounts[Plaid Account ID],Accounts[Institution Name],"Not Found",0)</f>
        <v>RBC Royal Bank</v>
      </c>
      <c r="N274" t="str">
        <f>IF(Transactions[[#This Row],[Amount]]&lt;0,"credit","debit")</f>
        <v>debit</v>
      </c>
      <c r="O274" t="str" cm="1">
        <f t="array" ref="O27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7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45259</v>
      </c>
      <c r="Q274" s="3">
        <f>DATE(YEAR(Transactions[[#This Row],[Datetime]]),MONTH(Transactions[[#This Row],[Datetime]]),1)</f>
        <v>45231</v>
      </c>
      <c r="R274" t="b">
        <f ca="1">AND(Transactions[[#This Row],[Datetime]]&gt;=EDATE(MAX(Transactions[Datetime]),-6),Transactions[[#This Row],[Datetime]]&lt;=TODAY())</f>
        <v>0</v>
      </c>
      <c r="S274" s="6">
        <f ca="1">AVERAGEIFS(Transactions[Month''s Total],Transactions[Recent],TRUE,Transactions[Custom Category],Transactions[[#This Row],[Custom Category]])</f>
        <v>14532.989714285719</v>
      </c>
      <c r="T274">
        <f>SUMIFS(Transactions[Amount],Transactions[Month],Transactions[[#This Row],[Month]],Transactions[Custom Category],Transactions[[#This Row],[Custom Category]])</f>
        <v>1819.79</v>
      </c>
      <c r="U27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74">
        <f>IF(Transactions[[#This Row],[Month]]=Sel_Month,Transactions[[#This Row],[Amount]],0)</f>
        <v>0</v>
      </c>
    </row>
    <row r="275" spans="1:22" x14ac:dyDescent="0.25">
      <c r="A275" t="s">
        <v>61</v>
      </c>
      <c r="B275" t="s">
        <v>66</v>
      </c>
      <c r="C275">
        <v>3600</v>
      </c>
      <c r="D275" t="s">
        <v>67</v>
      </c>
      <c r="E275" t="s">
        <v>348</v>
      </c>
      <c r="F275" t="s">
        <v>69</v>
      </c>
      <c r="H275" t="s">
        <v>349</v>
      </c>
      <c r="I275" t="s">
        <v>71</v>
      </c>
      <c r="J275" t="b">
        <v>0</v>
      </c>
      <c r="K275" t="s">
        <v>350</v>
      </c>
      <c r="L275" t="str">
        <f>_xlfn.XLOOKUP(Transactions[[#This Row],[Account ID]],Accounts[Plaid Account ID],Accounts[Name],"Not Found",0)</f>
        <v>RBC Staff Banking</v>
      </c>
      <c r="M275" t="str">
        <f>_xlfn.XLOOKUP(Transactions[[#This Row],[Account ID]],Accounts[Plaid Account ID],Accounts[Institution Name],"Not Found",0)</f>
        <v>RBC Royal Bank</v>
      </c>
      <c r="N275" t="str">
        <f>IF(Transactions[[#This Row],[Amount]]&lt;0,"credit","debit")</f>
        <v>debit</v>
      </c>
      <c r="O275" t="str" cm="1">
        <f t="array" ref="O27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Rent</v>
      </c>
      <c r="P27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45260</v>
      </c>
      <c r="Q275" s="3">
        <f>DATE(YEAR(Transactions[[#This Row],[Datetime]]),MONTH(Transactions[[#This Row],[Datetime]]),1)</f>
        <v>45231</v>
      </c>
      <c r="R275" t="b">
        <f ca="1">AND(Transactions[[#This Row],[Datetime]]&gt;=EDATE(MAX(Transactions[Datetime]),-6),Transactions[[#This Row],[Datetime]]&lt;=TODAY())</f>
        <v>1</v>
      </c>
      <c r="S275" s="6">
        <f ca="1">AVERAGEIFS(Transactions[Month''s Total],Transactions[Recent],TRUE,Transactions[Custom Category],Transactions[[#This Row],[Custom Category]])</f>
        <v>5076</v>
      </c>
      <c r="T275">
        <f>SUMIFS(Transactions[Amount],Transactions[Month],Transactions[[#This Row],[Month]],Transactions[Custom Category],Transactions[[#This Row],[Custom Category]])</f>
        <v>3600</v>
      </c>
      <c r="U275">
        <f ca="1">IF(COUNTIF(Budgets[Custom Category],Transactions[[#This Row],[Custom Category]])=0,Transactions[[#This Row],[6M AVG]],_xlfn.XLOOKUP(Transactions[[#This Row],[Custom Category]],Budgets[Custom Category],Budgets[Monthly],0,0))</f>
        <v>5076</v>
      </c>
      <c r="V275">
        <f>IF(Transactions[[#This Row],[Month]]=Sel_Month,Transactions[[#This Row],[Amount]],0)</f>
        <v>0</v>
      </c>
    </row>
    <row r="276" spans="1:22" x14ac:dyDescent="0.25">
      <c r="A276" t="s">
        <v>61</v>
      </c>
      <c r="B276" t="s">
        <v>66</v>
      </c>
      <c r="C276">
        <v>40</v>
      </c>
      <c r="D276" t="s">
        <v>67</v>
      </c>
      <c r="E276" t="s">
        <v>348</v>
      </c>
      <c r="F276" t="s">
        <v>69</v>
      </c>
      <c r="H276" t="s">
        <v>351</v>
      </c>
      <c r="I276" t="s">
        <v>71</v>
      </c>
      <c r="J276" t="b">
        <v>0</v>
      </c>
      <c r="K276" t="s">
        <v>352</v>
      </c>
      <c r="L276" t="str">
        <f>_xlfn.XLOOKUP(Transactions[[#This Row],[Account ID]],Accounts[Plaid Account ID],Accounts[Name],"Not Found",0)</f>
        <v>RBC Staff Banking</v>
      </c>
      <c r="M276" t="str">
        <f>_xlfn.XLOOKUP(Transactions[[#This Row],[Account ID]],Accounts[Plaid Account ID],Accounts[Institution Name],"Not Found",0)</f>
        <v>RBC Royal Bank</v>
      </c>
      <c r="N276" t="str">
        <f>IF(Transactions[[#This Row],[Amount]]&lt;0,"credit","debit")</f>
        <v>debit</v>
      </c>
      <c r="O276" t="str" cm="1">
        <f t="array" ref="O27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7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45260</v>
      </c>
      <c r="Q276" s="3">
        <f>DATE(YEAR(Transactions[[#This Row],[Datetime]]),MONTH(Transactions[[#This Row],[Datetime]]),1)</f>
        <v>45231</v>
      </c>
      <c r="R276" t="b">
        <f ca="1">AND(Transactions[[#This Row],[Datetime]]&gt;=EDATE(MAX(Transactions[Datetime]),-6),Transactions[[#This Row],[Datetime]]&lt;=TODAY())</f>
        <v>1</v>
      </c>
      <c r="S276" s="6">
        <f ca="1">AVERAGEIFS(Transactions[Month''s Total],Transactions[Recent],TRUE,Transactions[Custom Category],Transactions[[#This Row],[Custom Category]])</f>
        <v>12758.461333333335</v>
      </c>
      <c r="T276">
        <f>SUMIFS(Transactions[Amount],Transactions[Month],Transactions[[#This Row],[Month]],Transactions[Custom Category],Transactions[[#This Row],[Custom Category]])</f>
        <v>114.12</v>
      </c>
      <c r="U27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76">
        <f>IF(Transactions[[#This Row],[Month]]=Sel_Month,Transactions[[#This Row],[Amount]],0)</f>
        <v>0</v>
      </c>
    </row>
    <row r="277" spans="1:22" x14ac:dyDescent="0.25">
      <c r="A277" t="s">
        <v>61</v>
      </c>
      <c r="B277" t="s">
        <v>66</v>
      </c>
      <c r="C277">
        <v>-904</v>
      </c>
      <c r="D277" t="s">
        <v>99</v>
      </c>
      <c r="E277" t="s">
        <v>348</v>
      </c>
      <c r="F277" t="s">
        <v>69</v>
      </c>
      <c r="H277" t="s">
        <v>353</v>
      </c>
      <c r="I277" t="s">
        <v>71</v>
      </c>
      <c r="J277" t="b">
        <v>0</v>
      </c>
      <c r="K277" t="s">
        <v>354</v>
      </c>
      <c r="L277" t="str">
        <f>_xlfn.XLOOKUP(Transactions[[#This Row],[Account ID]],Accounts[Plaid Account ID],Accounts[Name],"Not Found",0)</f>
        <v>RBC Staff Banking</v>
      </c>
      <c r="M277" t="str">
        <f>_xlfn.XLOOKUP(Transactions[[#This Row],[Account ID]],Accounts[Plaid Account ID],Accounts[Institution Name],"Not Found",0)</f>
        <v>RBC Royal Bank</v>
      </c>
      <c r="N277" t="str">
        <f>IF(Transactions[[#This Row],[Amount]]&lt;0,"credit","debit")</f>
        <v>credit</v>
      </c>
      <c r="O277" t="str" cm="1">
        <f t="array" ref="O27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7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45260</v>
      </c>
      <c r="Q277" s="3">
        <f>DATE(YEAR(Transactions[[#This Row],[Datetime]]),MONTH(Transactions[[#This Row],[Datetime]]),1)</f>
        <v>45231</v>
      </c>
      <c r="R277" t="b">
        <f ca="1">AND(Transactions[[#This Row],[Datetime]]&gt;=EDATE(MAX(Transactions[Datetime]),-6),Transactions[[#This Row],[Datetime]]&lt;=TODAY())</f>
        <v>1</v>
      </c>
      <c r="S277" s="6">
        <f ca="1">AVERAGEIFS(Transactions[Month''s Total],Transactions[Recent],TRUE,Transactions[Custom Category],Transactions[[#This Row],[Custom Category]])</f>
        <v>-3209.0714285714284</v>
      </c>
      <c r="T277">
        <f>SUMIFS(Transactions[Amount],Transactions[Month],Transactions[[#This Row],[Month]],Transactions[Custom Category],Transactions[[#This Row],[Custom Category]])</f>
        <v>-1687</v>
      </c>
      <c r="U277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77">
        <f>IF(Transactions[[#This Row],[Month]]=Sel_Month,Transactions[[#This Row],[Amount]],0)</f>
        <v>0</v>
      </c>
    </row>
    <row r="278" spans="1:22" x14ac:dyDescent="0.25">
      <c r="A278" t="s">
        <v>61</v>
      </c>
      <c r="B278" t="s">
        <v>66</v>
      </c>
      <c r="C278">
        <v>192.58</v>
      </c>
      <c r="D278" t="s">
        <v>134</v>
      </c>
      <c r="E278" t="s">
        <v>348</v>
      </c>
      <c r="F278" t="s">
        <v>69</v>
      </c>
      <c r="G278" t="s">
        <v>135</v>
      </c>
      <c r="H278" t="s">
        <v>136</v>
      </c>
      <c r="I278" t="s">
        <v>132</v>
      </c>
      <c r="J278" t="b">
        <v>0</v>
      </c>
      <c r="K278" t="s">
        <v>355</v>
      </c>
      <c r="L278" t="str">
        <f>_xlfn.XLOOKUP(Transactions[[#This Row],[Account ID]],Accounts[Plaid Account ID],Accounts[Name],"Not Found",0)</f>
        <v>RBC Staff Banking</v>
      </c>
      <c r="M278" t="str">
        <f>_xlfn.XLOOKUP(Transactions[[#This Row],[Account ID]],Accounts[Plaid Account ID],Accounts[Institution Name],"Not Found",0)</f>
        <v>RBC Royal Bank</v>
      </c>
      <c r="N278" t="str">
        <f>IF(Transactions[[#This Row],[Amount]]&lt;0,"credit","debit")</f>
        <v>debit</v>
      </c>
      <c r="O278" t="str" cm="1">
        <f t="array" ref="O27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27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45260</v>
      </c>
      <c r="Q278" s="3">
        <f>DATE(YEAR(Transactions[[#This Row],[Datetime]]),MONTH(Transactions[[#This Row],[Datetime]]),1)</f>
        <v>45231</v>
      </c>
      <c r="R278" t="b">
        <f ca="1">AND(Transactions[[#This Row],[Datetime]]&gt;=EDATE(MAX(Transactions[Datetime]),-6),Transactions[[#This Row],[Datetime]]&lt;=TODAY())</f>
        <v>1</v>
      </c>
      <c r="S278" s="6">
        <f ca="1">AVERAGEIFS(Transactions[Month''s Total],Transactions[Recent],TRUE,Transactions[Custom Category],Transactions[[#This Row],[Custom Category]])</f>
        <v>624.12818181818193</v>
      </c>
      <c r="T278">
        <f>SUMIFS(Transactions[Amount],Transactions[Month],Transactions[[#This Row],[Month]],Transactions[Custom Category],Transactions[[#This Row],[Custom Category]])</f>
        <v>577.74</v>
      </c>
      <c r="U278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278">
        <f>IF(Transactions[[#This Row],[Month]]=Sel_Month,Transactions[[#This Row],[Amount]],0)</f>
        <v>0</v>
      </c>
    </row>
    <row r="279" spans="1:22" x14ac:dyDescent="0.25">
      <c r="A279" t="s">
        <v>61</v>
      </c>
      <c r="B279" t="s">
        <v>66</v>
      </c>
      <c r="C279">
        <v>470</v>
      </c>
      <c r="D279" t="s">
        <v>67</v>
      </c>
      <c r="E279" t="s">
        <v>345</v>
      </c>
      <c r="F279" t="s">
        <v>69</v>
      </c>
      <c r="H279" t="s">
        <v>346</v>
      </c>
      <c r="I279" t="s">
        <v>71</v>
      </c>
      <c r="J279" t="b">
        <v>0</v>
      </c>
      <c r="K279" t="s">
        <v>347</v>
      </c>
      <c r="L279" t="str">
        <f>_xlfn.XLOOKUP(Transactions[[#This Row],[Account ID]],Accounts[Plaid Account ID],Accounts[Name],"Not Found",0)</f>
        <v>RBC Staff Banking</v>
      </c>
      <c r="M279" t="str">
        <f>_xlfn.XLOOKUP(Transactions[[#This Row],[Account ID]],Accounts[Plaid Account ID],Accounts[Institution Name],"Not Found",0)</f>
        <v>RBC Royal Bank</v>
      </c>
      <c r="N279" t="str">
        <f>IF(Transactions[[#This Row],[Amount]]&lt;0,"credit","debit")</f>
        <v>debit</v>
      </c>
      <c r="O279" t="str" cm="1">
        <f t="array" ref="O27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7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45264</v>
      </c>
      <c r="Q279" s="3">
        <f>DATE(YEAR(Transactions[[#This Row],[Datetime]]),MONTH(Transactions[[#This Row],[Datetime]]),1)</f>
        <v>45261</v>
      </c>
      <c r="R279" t="b">
        <f ca="1">AND(Transactions[[#This Row],[Datetime]]&gt;=EDATE(MAX(Transactions[Datetime]),-6),Transactions[[#This Row],[Datetime]]&lt;=TODAY())</f>
        <v>1</v>
      </c>
      <c r="S279" s="6">
        <f ca="1">AVERAGEIFS(Transactions[Month''s Total],Transactions[Recent],TRUE,Transactions[Custom Category],Transactions[[#This Row],[Custom Category]])</f>
        <v>14532.989714285719</v>
      </c>
      <c r="T279">
        <f>SUMIFS(Transactions[Amount],Transactions[Month],Transactions[[#This Row],[Month]],Transactions[Custom Category],Transactions[[#This Row],[Custom Category]])</f>
        <v>6103</v>
      </c>
      <c r="U27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79">
        <f>IF(Transactions[[#This Row],[Month]]=Sel_Month,Transactions[[#This Row],[Amount]],0)</f>
        <v>0</v>
      </c>
    </row>
    <row r="280" spans="1:22" x14ac:dyDescent="0.25">
      <c r="A280" t="s">
        <v>61</v>
      </c>
      <c r="B280" t="s">
        <v>66</v>
      </c>
      <c r="C280">
        <v>489.91</v>
      </c>
      <c r="D280" t="s">
        <v>341</v>
      </c>
      <c r="E280" t="s">
        <v>342</v>
      </c>
      <c r="F280" t="s">
        <v>69</v>
      </c>
      <c r="H280" t="s">
        <v>343</v>
      </c>
      <c r="I280" t="s">
        <v>71</v>
      </c>
      <c r="J280" t="b">
        <v>0</v>
      </c>
      <c r="K280" t="s">
        <v>344</v>
      </c>
      <c r="L280" t="str">
        <f>_xlfn.XLOOKUP(Transactions[[#This Row],[Account ID]],Accounts[Plaid Account ID],Accounts[Name],"Not Found",0)</f>
        <v>RBC Staff Banking</v>
      </c>
      <c r="M280" t="str">
        <f>_xlfn.XLOOKUP(Transactions[[#This Row],[Account ID]],Accounts[Plaid Account ID],Accounts[Institution Name],"Not Found",0)</f>
        <v>RBC Royal Bank</v>
      </c>
      <c r="N280" t="str">
        <f>IF(Transactions[[#This Row],[Amount]]&lt;0,"credit","debit")</f>
        <v>debit</v>
      </c>
      <c r="O280" t="str" cm="1">
        <f t="array" ref="O28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Utilities,Water</v>
      </c>
      <c r="P28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45265</v>
      </c>
      <c r="Q280" s="3">
        <f>DATE(YEAR(Transactions[[#This Row],[Datetime]]),MONTH(Transactions[[#This Row],[Datetime]]),1)</f>
        <v>45261</v>
      </c>
      <c r="R280" t="b">
        <f ca="1">AND(Transactions[[#This Row],[Datetime]]&gt;=EDATE(MAX(Transactions[Datetime]),-6),Transactions[[#This Row],[Datetime]]&lt;=TODAY())</f>
        <v>1</v>
      </c>
      <c r="S280" s="6">
        <f ca="1">AVERAGEIFS(Transactions[Month''s Total],Transactions[Recent],TRUE,Transactions[Custom Category],Transactions[[#This Row],[Custom Category]])</f>
        <v>489.91</v>
      </c>
      <c r="T280">
        <f>SUMIFS(Transactions[Amount],Transactions[Month],Transactions[[#This Row],[Month]],Transactions[Custom Category],Transactions[[#This Row],[Custom Category]])</f>
        <v>489.91</v>
      </c>
      <c r="U280">
        <f ca="1">IF(COUNTIF(Budgets[Custom Category],Transactions[[#This Row],[Custom Category]])=0,Transactions[[#This Row],[6M AVG]],_xlfn.XLOOKUP(Transactions[[#This Row],[Custom Category]],Budgets[Custom Category],Budgets[Monthly],0,0))</f>
        <v>489.91</v>
      </c>
      <c r="V280">
        <f>IF(Transactions[[#This Row],[Month]]=Sel_Month,Transactions[[#This Row],[Amount]],0)</f>
        <v>0</v>
      </c>
    </row>
    <row r="281" spans="1:22" x14ac:dyDescent="0.25">
      <c r="A281" t="s">
        <v>61</v>
      </c>
      <c r="B281" t="s">
        <v>66</v>
      </c>
      <c r="C281">
        <v>-5000</v>
      </c>
      <c r="D281" t="s">
        <v>99</v>
      </c>
      <c r="E281" t="s">
        <v>338</v>
      </c>
      <c r="F281" t="s">
        <v>69</v>
      </c>
      <c r="H281" t="s">
        <v>339</v>
      </c>
      <c r="I281" t="s">
        <v>71</v>
      </c>
      <c r="J281" t="b">
        <v>0</v>
      </c>
      <c r="K281" t="s">
        <v>340</v>
      </c>
      <c r="L281" t="str">
        <f>_xlfn.XLOOKUP(Transactions[[#This Row],[Account ID]],Accounts[Plaid Account ID],Accounts[Name],"Not Found",0)</f>
        <v>RBC Staff Banking</v>
      </c>
      <c r="M281" t="str">
        <f>_xlfn.XLOOKUP(Transactions[[#This Row],[Account ID]],Accounts[Plaid Account ID],Accounts[Institution Name],"Not Found",0)</f>
        <v>RBC Royal Bank</v>
      </c>
      <c r="N281" t="str">
        <f>IF(Transactions[[#This Row],[Amount]]&lt;0,"credit","debit")</f>
        <v>credit</v>
      </c>
      <c r="O281" t="str" cm="1">
        <f t="array" ref="O28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8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45266</v>
      </c>
      <c r="Q281" s="3">
        <f>DATE(YEAR(Transactions[[#This Row],[Datetime]]),MONTH(Transactions[[#This Row],[Datetime]]),1)</f>
        <v>45261</v>
      </c>
      <c r="R281" t="b">
        <f ca="1">AND(Transactions[[#This Row],[Datetime]]&gt;=EDATE(MAX(Transactions[Datetime]),-6),Transactions[[#This Row],[Datetime]]&lt;=TODAY())</f>
        <v>1</v>
      </c>
      <c r="S281" s="6">
        <f ca="1">AVERAGEIFS(Transactions[Month''s Total],Transactions[Recent],TRUE,Transactions[Custom Category],Transactions[[#This Row],[Custom Category]])</f>
        <v>-18125.097037037034</v>
      </c>
      <c r="T281">
        <f>SUMIFS(Transactions[Amount],Transactions[Month],Transactions[[#This Row],[Month]],Transactions[Custom Category],Transactions[[#This Row],[Custom Category]])</f>
        <v>-13196.35</v>
      </c>
      <c r="U281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81">
        <f>IF(Transactions[[#This Row],[Month]]=Sel_Month,Transactions[[#This Row],[Amount]],0)</f>
        <v>0</v>
      </c>
    </row>
    <row r="282" spans="1:22" x14ac:dyDescent="0.25">
      <c r="A282" t="s">
        <v>61</v>
      </c>
      <c r="B282" t="s">
        <v>66</v>
      </c>
      <c r="C282">
        <v>4873.84</v>
      </c>
      <c r="D282" t="s">
        <v>67</v>
      </c>
      <c r="E282" t="s">
        <v>330</v>
      </c>
      <c r="F282" t="s">
        <v>69</v>
      </c>
      <c r="H282" t="s">
        <v>331</v>
      </c>
      <c r="I282" t="s">
        <v>71</v>
      </c>
      <c r="J282" t="b">
        <v>0</v>
      </c>
      <c r="K282" t="s">
        <v>332</v>
      </c>
      <c r="L282" t="str">
        <f>_xlfn.XLOOKUP(Transactions[[#This Row],[Account ID]],Accounts[Plaid Account ID],Accounts[Name],"Not Found",0)</f>
        <v>RBC Staff Banking</v>
      </c>
      <c r="M282" t="str">
        <f>_xlfn.XLOOKUP(Transactions[[#This Row],[Account ID]],Accounts[Plaid Account ID],Accounts[Institution Name],"Not Found",0)</f>
        <v>RBC Royal Bank</v>
      </c>
      <c r="N282" t="str">
        <f>IF(Transactions[[#This Row],[Amount]]&lt;0,"credit","debit")</f>
        <v>debit</v>
      </c>
      <c r="O282" t="str" cm="1">
        <f t="array" ref="O28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8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45267</v>
      </c>
      <c r="Q282" s="3">
        <f>DATE(YEAR(Transactions[[#This Row],[Datetime]]),MONTH(Transactions[[#This Row],[Datetime]]),1)</f>
        <v>45261</v>
      </c>
      <c r="R282" t="b">
        <f ca="1">AND(Transactions[[#This Row],[Datetime]]&gt;=EDATE(MAX(Transactions[Datetime]),-6),Transactions[[#This Row],[Datetime]]&lt;=TODAY())</f>
        <v>1</v>
      </c>
      <c r="S282" s="6">
        <f ca="1">AVERAGEIFS(Transactions[Month''s Total],Transactions[Recent],TRUE,Transactions[Custom Category],Transactions[[#This Row],[Custom Category]])</f>
        <v>12758.461333333335</v>
      </c>
      <c r="T282">
        <f>SUMIFS(Transactions[Amount],Transactions[Month],Transactions[[#This Row],[Month]],Transactions[Custom Category],Transactions[[#This Row],[Custom Category]])</f>
        <v>8331.11</v>
      </c>
      <c r="U282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82">
        <f>IF(Transactions[[#This Row],[Month]]=Sel_Month,Transactions[[#This Row],[Amount]],0)</f>
        <v>0</v>
      </c>
    </row>
    <row r="283" spans="1:22" x14ac:dyDescent="0.25">
      <c r="A283" t="s">
        <v>61</v>
      </c>
      <c r="B283" t="s">
        <v>66</v>
      </c>
      <c r="C283">
        <v>633</v>
      </c>
      <c r="D283" t="s">
        <v>67</v>
      </c>
      <c r="E283" t="s">
        <v>330</v>
      </c>
      <c r="F283" t="s">
        <v>69</v>
      </c>
      <c r="H283" t="s">
        <v>333</v>
      </c>
      <c r="I283" t="s">
        <v>71</v>
      </c>
      <c r="J283" t="b">
        <v>0</v>
      </c>
      <c r="K283" t="s">
        <v>334</v>
      </c>
      <c r="L283" t="str">
        <f>_xlfn.XLOOKUP(Transactions[[#This Row],[Account ID]],Accounts[Plaid Account ID],Accounts[Name],"Not Found",0)</f>
        <v>RBC Staff Banking</v>
      </c>
      <c r="M283" t="str">
        <f>_xlfn.XLOOKUP(Transactions[[#This Row],[Account ID]],Accounts[Plaid Account ID],Accounts[Institution Name],"Not Found",0)</f>
        <v>RBC Royal Bank</v>
      </c>
      <c r="N283" t="str">
        <f>IF(Transactions[[#This Row],[Amount]]&lt;0,"credit","debit")</f>
        <v>debit</v>
      </c>
      <c r="O283" t="str" cm="1">
        <f t="array" ref="O28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8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45267</v>
      </c>
      <c r="Q283" s="3">
        <f>DATE(YEAR(Transactions[[#This Row],[Datetime]]),MONTH(Transactions[[#This Row],[Datetime]]),1)</f>
        <v>45261</v>
      </c>
      <c r="R283" t="b">
        <f ca="1">AND(Transactions[[#This Row],[Datetime]]&gt;=EDATE(MAX(Transactions[Datetime]),-6),Transactions[[#This Row],[Datetime]]&lt;=TODAY())</f>
        <v>1</v>
      </c>
      <c r="S283" s="6">
        <f ca="1">AVERAGEIFS(Transactions[Month''s Total],Transactions[Recent],TRUE,Transactions[Custom Category],Transactions[[#This Row],[Custom Category]])</f>
        <v>14532.989714285719</v>
      </c>
      <c r="T283">
        <f>SUMIFS(Transactions[Amount],Transactions[Month],Transactions[[#This Row],[Month]],Transactions[Custom Category],Transactions[[#This Row],[Custom Category]])</f>
        <v>6103</v>
      </c>
      <c r="U28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83">
        <f>IF(Transactions[[#This Row],[Month]]=Sel_Month,Transactions[[#This Row],[Amount]],0)</f>
        <v>0</v>
      </c>
    </row>
    <row r="284" spans="1:22" x14ac:dyDescent="0.25">
      <c r="A284" t="s">
        <v>61</v>
      </c>
      <c r="B284" t="s">
        <v>66</v>
      </c>
      <c r="C284">
        <v>5000</v>
      </c>
      <c r="D284" t="s">
        <v>335</v>
      </c>
      <c r="E284" t="s">
        <v>330</v>
      </c>
      <c r="F284" t="s">
        <v>69</v>
      </c>
      <c r="H284" t="s">
        <v>336</v>
      </c>
      <c r="I284" t="s">
        <v>71</v>
      </c>
      <c r="J284" t="b">
        <v>0</v>
      </c>
      <c r="K284" t="s">
        <v>337</v>
      </c>
      <c r="L284" t="str">
        <f>_xlfn.XLOOKUP(Transactions[[#This Row],[Account ID]],Accounts[Plaid Account ID],Accounts[Name],"Not Found",0)</f>
        <v>RBC Staff Banking</v>
      </c>
      <c r="M284" t="str">
        <f>_xlfn.XLOOKUP(Transactions[[#This Row],[Account ID]],Accounts[Plaid Account ID],Accounts[Institution Name],"Not Found",0)</f>
        <v>RBC Royal Bank</v>
      </c>
      <c r="N284" t="str">
        <f>IF(Transactions[[#This Row],[Amount]]&lt;0,"credit","debit")</f>
        <v>debit</v>
      </c>
      <c r="O284" t="str" cm="1">
        <f t="array" ref="O28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8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45267</v>
      </c>
      <c r="Q284" s="3">
        <f>DATE(YEAR(Transactions[[#This Row],[Datetime]]),MONTH(Transactions[[#This Row],[Datetime]]),1)</f>
        <v>45261</v>
      </c>
      <c r="R284" t="b">
        <f ca="1">AND(Transactions[[#This Row],[Datetime]]&gt;=EDATE(MAX(Transactions[Datetime]),-6),Transactions[[#This Row],[Datetime]]&lt;=TODAY())</f>
        <v>1</v>
      </c>
      <c r="S284" s="6">
        <f ca="1">AVERAGEIFS(Transactions[Month''s Total],Transactions[Recent],TRUE,Transactions[Custom Category],Transactions[[#This Row],[Custom Category]])</f>
        <v>14532.989714285719</v>
      </c>
      <c r="T284">
        <f>SUMIFS(Transactions[Amount],Transactions[Month],Transactions[[#This Row],[Month]],Transactions[Custom Category],Transactions[[#This Row],[Custom Category]])</f>
        <v>6103</v>
      </c>
      <c r="U28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84">
        <f>IF(Transactions[[#This Row],[Month]]=Sel_Month,Transactions[[#This Row],[Amount]],0)</f>
        <v>0</v>
      </c>
    </row>
    <row r="285" spans="1:22" x14ac:dyDescent="0.25">
      <c r="A285" t="s">
        <v>61</v>
      </c>
      <c r="B285" t="s">
        <v>66</v>
      </c>
      <c r="C285">
        <v>120.25</v>
      </c>
      <c r="D285" t="s">
        <v>165</v>
      </c>
      <c r="E285" t="s">
        <v>328</v>
      </c>
      <c r="F285" t="s">
        <v>69</v>
      </c>
      <c r="G285" t="s">
        <v>166</v>
      </c>
      <c r="H285" t="s">
        <v>167</v>
      </c>
      <c r="I285" t="s">
        <v>132</v>
      </c>
      <c r="J285" t="b">
        <v>0</v>
      </c>
      <c r="K285" t="s">
        <v>329</v>
      </c>
      <c r="L285" t="str">
        <f>_xlfn.XLOOKUP(Transactions[[#This Row],[Account ID]],Accounts[Plaid Account ID],Accounts[Name],"Not Found",0)</f>
        <v>RBC Staff Banking</v>
      </c>
      <c r="M285" t="str">
        <f>_xlfn.XLOOKUP(Transactions[[#This Row],[Account ID]],Accounts[Plaid Account ID],Accounts[Institution Name],"Not Found",0)</f>
        <v>RBC Royal Bank</v>
      </c>
      <c r="N285" t="str">
        <f>IF(Transactions[[#This Row],[Amount]]&lt;0,"credit","debit")</f>
        <v>debit</v>
      </c>
      <c r="O285" t="str" cm="1">
        <f t="array" ref="O28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Utilities,Electric</v>
      </c>
      <c r="P28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45270</v>
      </c>
      <c r="Q285" s="3">
        <f>DATE(YEAR(Transactions[[#This Row],[Datetime]]),MONTH(Transactions[[#This Row],[Datetime]]),1)</f>
        <v>45261</v>
      </c>
      <c r="R285" t="b">
        <f ca="1">AND(Transactions[[#This Row],[Datetime]]&gt;=EDATE(MAX(Transactions[Datetime]),-6),Transactions[[#This Row],[Datetime]]&lt;=TODAY())</f>
        <v>1</v>
      </c>
      <c r="S285" s="6">
        <f ca="1">AVERAGEIFS(Transactions[Month''s Total],Transactions[Recent],TRUE,Transactions[Custom Category],Transactions[[#This Row],[Custom Category]])</f>
        <v>139.88333333333333</v>
      </c>
      <c r="T285">
        <f>SUMIFS(Transactions[Amount],Transactions[Month],Transactions[[#This Row],[Month]],Transactions[Custom Category],Transactions[[#This Row],[Custom Category]])</f>
        <v>120.25</v>
      </c>
      <c r="U285">
        <f ca="1">IF(COUNTIF(Budgets[Custom Category],Transactions[[#This Row],[Custom Category]])=0,Transactions[[#This Row],[6M AVG]],_xlfn.XLOOKUP(Transactions[[#This Row],[Custom Category]],Budgets[Custom Category],Budgets[Monthly],0,0))</f>
        <v>139.88333333333333</v>
      </c>
      <c r="V285">
        <f>IF(Transactions[[#This Row],[Month]]=Sel_Month,Transactions[[#This Row],[Amount]],0)</f>
        <v>0</v>
      </c>
    </row>
    <row r="286" spans="1:22" x14ac:dyDescent="0.25">
      <c r="A286" t="s">
        <v>61</v>
      </c>
      <c r="B286" t="s">
        <v>66</v>
      </c>
      <c r="C286">
        <v>142.53</v>
      </c>
      <c r="D286" t="s">
        <v>152</v>
      </c>
      <c r="E286" t="s">
        <v>326</v>
      </c>
      <c r="F286" t="s">
        <v>69</v>
      </c>
      <c r="G286" t="s">
        <v>153</v>
      </c>
      <c r="H286" t="s">
        <v>154</v>
      </c>
      <c r="I286" t="s">
        <v>132</v>
      </c>
      <c r="J286" t="b">
        <v>0</v>
      </c>
      <c r="K286" t="s">
        <v>327</v>
      </c>
      <c r="L286" t="str">
        <f>_xlfn.XLOOKUP(Transactions[[#This Row],[Account ID]],Accounts[Plaid Account ID],Accounts[Name],"Not Found",0)</f>
        <v>RBC Staff Banking</v>
      </c>
      <c r="M286" t="str">
        <f>_xlfn.XLOOKUP(Transactions[[#This Row],[Account ID]],Accounts[Plaid Account ID],Accounts[Institution Name],"Not Found",0)</f>
        <v>RBC Royal Bank</v>
      </c>
      <c r="N286" t="str">
        <f>IF(Transactions[[#This Row],[Amount]]&lt;0,"credit","debit")</f>
        <v>debit</v>
      </c>
      <c r="O286" t="str" cm="1">
        <f t="array" ref="O28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28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45271</v>
      </c>
      <c r="Q286" s="3">
        <f>DATE(YEAR(Transactions[[#This Row],[Datetime]]),MONTH(Transactions[[#This Row],[Datetime]]),1)</f>
        <v>45261</v>
      </c>
      <c r="R286" t="b">
        <f ca="1">AND(Transactions[[#This Row],[Datetime]]&gt;=EDATE(MAX(Transactions[Datetime]),-6),Transactions[[#This Row],[Datetime]]&lt;=TODAY())</f>
        <v>1</v>
      </c>
      <c r="S286" s="6">
        <f ca="1">AVERAGEIFS(Transactions[Month''s Total],Transactions[Recent],TRUE,Transactions[Custom Category],Transactions[[#This Row],[Custom Category]])</f>
        <v>153.08333333333331</v>
      </c>
      <c r="T286">
        <f>SUMIFS(Transactions[Amount],Transactions[Month],Transactions[[#This Row],[Month]],Transactions[Custom Category],Transactions[[#This Row],[Custom Category]])</f>
        <v>142.53</v>
      </c>
      <c r="U286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286">
        <f>IF(Transactions[[#This Row],[Month]]=Sel_Month,Transactions[[#This Row],[Amount]],0)</f>
        <v>0</v>
      </c>
    </row>
    <row r="287" spans="1:22" x14ac:dyDescent="0.25">
      <c r="A287" t="s">
        <v>61</v>
      </c>
      <c r="B287" t="s">
        <v>66</v>
      </c>
      <c r="C287">
        <v>60</v>
      </c>
      <c r="D287" t="s">
        <v>67</v>
      </c>
      <c r="E287" t="s">
        <v>321</v>
      </c>
      <c r="F287" t="s">
        <v>69</v>
      </c>
      <c r="H287" t="s">
        <v>322</v>
      </c>
      <c r="I287" t="s">
        <v>71</v>
      </c>
      <c r="J287" t="b">
        <v>0</v>
      </c>
      <c r="K287" t="s">
        <v>323</v>
      </c>
      <c r="L287" t="str">
        <f>_xlfn.XLOOKUP(Transactions[[#This Row],[Account ID]],Accounts[Plaid Account ID],Accounts[Name],"Not Found",0)</f>
        <v>RBC Staff Banking</v>
      </c>
      <c r="M287" t="str">
        <f>_xlfn.XLOOKUP(Transactions[[#This Row],[Account ID]],Accounts[Plaid Account ID],Accounts[Institution Name],"Not Found",0)</f>
        <v>RBC Royal Bank</v>
      </c>
      <c r="N287" t="str">
        <f>IF(Transactions[[#This Row],[Amount]]&lt;0,"credit","debit")</f>
        <v>debit</v>
      </c>
      <c r="O287" t="str" cm="1">
        <f t="array" ref="O28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8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45272</v>
      </c>
      <c r="Q287" s="3">
        <f>DATE(YEAR(Transactions[[#This Row],[Datetime]]),MONTH(Transactions[[#This Row],[Datetime]]),1)</f>
        <v>45261</v>
      </c>
      <c r="R287" t="b">
        <f ca="1">AND(Transactions[[#This Row],[Datetime]]&gt;=EDATE(MAX(Transactions[Datetime]),-6),Transactions[[#This Row],[Datetime]]&lt;=TODAY())</f>
        <v>1</v>
      </c>
      <c r="S287" s="6">
        <f ca="1">AVERAGEIFS(Transactions[Month''s Total],Transactions[Recent],TRUE,Transactions[Custom Category],Transactions[[#This Row],[Custom Category]])</f>
        <v>12758.461333333335</v>
      </c>
      <c r="T287">
        <f>SUMIFS(Transactions[Amount],Transactions[Month],Transactions[[#This Row],[Month]],Transactions[Custom Category],Transactions[[#This Row],[Custom Category]])</f>
        <v>8331.11</v>
      </c>
      <c r="U28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87">
        <f>IF(Transactions[[#This Row],[Month]]=Sel_Month,Transactions[[#This Row],[Amount]],0)</f>
        <v>0</v>
      </c>
    </row>
    <row r="288" spans="1:22" x14ac:dyDescent="0.25">
      <c r="A288" t="s">
        <v>61</v>
      </c>
      <c r="B288" t="s">
        <v>66</v>
      </c>
      <c r="C288">
        <v>-1858.75</v>
      </c>
      <c r="D288" t="s">
        <v>99</v>
      </c>
      <c r="E288" t="s">
        <v>321</v>
      </c>
      <c r="F288" t="s">
        <v>69</v>
      </c>
      <c r="H288" t="s">
        <v>324</v>
      </c>
      <c r="I288" t="s">
        <v>71</v>
      </c>
      <c r="J288" t="b">
        <v>0</v>
      </c>
      <c r="K288" t="s">
        <v>325</v>
      </c>
      <c r="L288" t="str">
        <f>_xlfn.XLOOKUP(Transactions[[#This Row],[Account ID]],Accounts[Plaid Account ID],Accounts[Name],"Not Found",0)</f>
        <v>RBC Staff Banking</v>
      </c>
      <c r="M288" t="str">
        <f>_xlfn.XLOOKUP(Transactions[[#This Row],[Account ID]],Accounts[Plaid Account ID],Accounts[Institution Name],"Not Found",0)</f>
        <v>RBC Royal Bank</v>
      </c>
      <c r="N288" t="str">
        <f>IF(Transactions[[#This Row],[Amount]]&lt;0,"credit","debit")</f>
        <v>credit</v>
      </c>
      <c r="O288" t="str" cm="1">
        <f t="array" ref="O28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8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45272</v>
      </c>
      <c r="Q288" s="3">
        <f>DATE(YEAR(Transactions[[#This Row],[Datetime]]),MONTH(Transactions[[#This Row],[Datetime]]),1)</f>
        <v>45261</v>
      </c>
      <c r="R288" t="b">
        <f ca="1">AND(Transactions[[#This Row],[Datetime]]&gt;=EDATE(MAX(Transactions[Datetime]),-6),Transactions[[#This Row],[Datetime]]&lt;=TODAY())</f>
        <v>1</v>
      </c>
      <c r="S288" s="6">
        <f ca="1">AVERAGEIFS(Transactions[Month''s Total],Transactions[Recent],TRUE,Transactions[Custom Category],Transactions[[#This Row],[Custom Category]])</f>
        <v>-18125.097037037034</v>
      </c>
      <c r="T288">
        <f>SUMIFS(Transactions[Amount],Transactions[Month],Transactions[[#This Row],[Month]],Transactions[Custom Category],Transactions[[#This Row],[Custom Category]])</f>
        <v>-13196.35</v>
      </c>
      <c r="U28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88">
        <f>IF(Transactions[[#This Row],[Month]]=Sel_Month,Transactions[[#This Row],[Amount]],0)</f>
        <v>0</v>
      </c>
    </row>
    <row r="289" spans="1:22" x14ac:dyDescent="0.25">
      <c r="A289" t="s">
        <v>61</v>
      </c>
      <c r="B289" t="s">
        <v>66</v>
      </c>
      <c r="C289">
        <v>-280</v>
      </c>
      <c r="D289" t="s">
        <v>99</v>
      </c>
      <c r="E289" t="s">
        <v>318</v>
      </c>
      <c r="F289" t="s">
        <v>69</v>
      </c>
      <c r="H289" t="s">
        <v>319</v>
      </c>
      <c r="I289" t="s">
        <v>71</v>
      </c>
      <c r="J289" t="b">
        <v>0</v>
      </c>
      <c r="K289" t="s">
        <v>320</v>
      </c>
      <c r="L289" t="str">
        <f>_xlfn.XLOOKUP(Transactions[[#This Row],[Account ID]],Accounts[Plaid Account ID],Accounts[Name],"Not Found",0)</f>
        <v>RBC Staff Banking</v>
      </c>
      <c r="M289" t="str">
        <f>_xlfn.XLOOKUP(Transactions[[#This Row],[Account ID]],Accounts[Plaid Account ID],Accounts[Institution Name],"Not Found",0)</f>
        <v>RBC Royal Bank</v>
      </c>
      <c r="N289" t="str">
        <f>IF(Transactions[[#This Row],[Amount]]&lt;0,"credit","debit")</f>
        <v>credit</v>
      </c>
      <c r="O289" t="str" cm="1">
        <f t="array" ref="O28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28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45273</v>
      </c>
      <c r="Q289" s="3">
        <f>DATE(YEAR(Transactions[[#This Row],[Datetime]]),MONTH(Transactions[[#This Row],[Datetime]]),1)</f>
        <v>45261</v>
      </c>
      <c r="R289" t="b">
        <f ca="1">AND(Transactions[[#This Row],[Datetime]]&gt;=EDATE(MAX(Transactions[Datetime]),-6),Transactions[[#This Row],[Datetime]]&lt;=TODAY())</f>
        <v>1</v>
      </c>
      <c r="S289" s="6">
        <f ca="1">AVERAGEIFS(Transactions[Month''s Total],Transactions[Recent],TRUE,Transactions[Custom Category],Transactions[[#This Row],[Custom Category]])</f>
        <v>-3209.0714285714284</v>
      </c>
      <c r="T289">
        <f>SUMIFS(Transactions[Amount],Transactions[Month],Transactions[[#This Row],[Month]],Transactions[Custom Category],Transactions[[#This Row],[Custom Category]])</f>
        <v>-280</v>
      </c>
      <c r="U289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289">
        <f>IF(Transactions[[#This Row],[Month]]=Sel_Month,Transactions[[#This Row],[Amount]],0)</f>
        <v>0</v>
      </c>
    </row>
    <row r="290" spans="1:22" x14ac:dyDescent="0.25">
      <c r="A290" t="s">
        <v>61</v>
      </c>
      <c r="B290" t="s">
        <v>66</v>
      </c>
      <c r="C290">
        <v>1300</v>
      </c>
      <c r="D290" t="s">
        <v>67</v>
      </c>
      <c r="E290" t="s">
        <v>311</v>
      </c>
      <c r="F290" t="s">
        <v>69</v>
      </c>
      <c r="H290" t="s">
        <v>312</v>
      </c>
      <c r="I290" t="s">
        <v>71</v>
      </c>
      <c r="J290" t="b">
        <v>0</v>
      </c>
      <c r="K290" t="s">
        <v>313</v>
      </c>
      <c r="L290" t="str">
        <f>_xlfn.XLOOKUP(Transactions[[#This Row],[Account ID]],Accounts[Plaid Account ID],Accounts[Name],"Not Found",0)</f>
        <v>RBC Staff Banking</v>
      </c>
      <c r="M290" t="str">
        <f>_xlfn.XLOOKUP(Transactions[[#This Row],[Account ID]],Accounts[Plaid Account ID],Accounts[Institution Name],"Not Found",0)</f>
        <v>RBC Royal Bank</v>
      </c>
      <c r="N290" t="str">
        <f>IF(Transactions[[#This Row],[Amount]]&lt;0,"credit","debit")</f>
        <v>debit</v>
      </c>
      <c r="O290" t="str" cm="1">
        <f t="array" ref="O29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9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45274</v>
      </c>
      <c r="Q290" s="3">
        <f>DATE(YEAR(Transactions[[#This Row],[Datetime]]),MONTH(Transactions[[#This Row],[Datetime]]),1)</f>
        <v>45261</v>
      </c>
      <c r="R290" t="b">
        <f ca="1">AND(Transactions[[#This Row],[Datetime]]&gt;=EDATE(MAX(Transactions[Datetime]),-6),Transactions[[#This Row],[Datetime]]&lt;=TODAY())</f>
        <v>1</v>
      </c>
      <c r="S290" s="6">
        <f ca="1">AVERAGEIFS(Transactions[Month''s Total],Transactions[Recent],TRUE,Transactions[Custom Category],Transactions[[#This Row],[Custom Category]])</f>
        <v>14532.989714285719</v>
      </c>
      <c r="T290">
        <f>SUMIFS(Transactions[Amount],Transactions[Month],Transactions[[#This Row],[Month]],Transactions[Custom Category],Transactions[[#This Row],[Custom Category]])</f>
        <v>6103</v>
      </c>
      <c r="U29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90">
        <f>IF(Transactions[[#This Row],[Month]]=Sel_Month,Transactions[[#This Row],[Amount]],0)</f>
        <v>0</v>
      </c>
    </row>
    <row r="291" spans="1:22" x14ac:dyDescent="0.25">
      <c r="A291" t="s">
        <v>61</v>
      </c>
      <c r="B291" t="s">
        <v>66</v>
      </c>
      <c r="C291">
        <v>420.55</v>
      </c>
      <c r="D291" t="s">
        <v>129</v>
      </c>
      <c r="E291" t="s">
        <v>311</v>
      </c>
      <c r="F291" t="s">
        <v>69</v>
      </c>
      <c r="G291" t="s">
        <v>130</v>
      </c>
      <c r="H291" t="s">
        <v>131</v>
      </c>
      <c r="I291" t="s">
        <v>132</v>
      </c>
      <c r="J291" t="b">
        <v>0</v>
      </c>
      <c r="K291" t="s">
        <v>314</v>
      </c>
      <c r="L291" t="str">
        <f>_xlfn.XLOOKUP(Transactions[[#This Row],[Account ID]],Accounts[Plaid Account ID],Accounts[Name],"Not Found",0)</f>
        <v>RBC Staff Banking</v>
      </c>
      <c r="M291" t="str">
        <f>_xlfn.XLOOKUP(Transactions[[#This Row],[Account ID]],Accounts[Plaid Account ID],Accounts[Institution Name],"Not Found",0)</f>
        <v>RBC Royal Bank</v>
      </c>
      <c r="N291" t="str">
        <f>IF(Transactions[[#This Row],[Amount]]&lt;0,"credit","debit")</f>
        <v>debit</v>
      </c>
      <c r="O291" t="str" cm="1">
        <f t="array" ref="O29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Insurance,Car</v>
      </c>
      <c r="P29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45274</v>
      </c>
      <c r="Q291" s="3">
        <f>DATE(YEAR(Transactions[[#This Row],[Datetime]]),MONTH(Transactions[[#This Row],[Datetime]]),1)</f>
        <v>45261</v>
      </c>
      <c r="R291" t="b">
        <f ca="1">AND(Transactions[[#This Row],[Datetime]]&gt;=EDATE(MAX(Transactions[Datetime]),-6),Transactions[[#This Row],[Datetime]]&lt;=TODAY())</f>
        <v>1</v>
      </c>
      <c r="S291" s="6">
        <f ca="1">AVERAGEIFS(Transactions[Month''s Total],Transactions[Recent],TRUE,Transactions[Custom Category],Transactions[[#This Row],[Custom Category]])</f>
        <v>432.99599999999998</v>
      </c>
      <c r="T291">
        <f>SUMIFS(Transactions[Amount],Transactions[Month],Transactions[[#This Row],[Month]],Transactions[Custom Category],Transactions[[#This Row],[Custom Category]])</f>
        <v>420.55</v>
      </c>
      <c r="U291">
        <f ca="1">IF(COUNTIF(Budgets[Custom Category],Transactions[[#This Row],[Custom Category]])=0,Transactions[[#This Row],[6M AVG]],_xlfn.XLOOKUP(Transactions[[#This Row],[Custom Category]],Budgets[Custom Category],Budgets[Monthly],0,0))</f>
        <v>432.99599999999998</v>
      </c>
      <c r="V291">
        <f>IF(Transactions[[#This Row],[Month]]=Sel_Month,Transactions[[#This Row],[Amount]],0)</f>
        <v>0</v>
      </c>
    </row>
    <row r="292" spans="1:22" x14ac:dyDescent="0.25">
      <c r="A292" t="s">
        <v>61</v>
      </c>
      <c r="B292" t="s">
        <v>66</v>
      </c>
      <c r="C292">
        <v>192.58</v>
      </c>
      <c r="D292" t="s">
        <v>134</v>
      </c>
      <c r="E292" t="s">
        <v>311</v>
      </c>
      <c r="F292" t="s">
        <v>69</v>
      </c>
      <c r="G292" t="s">
        <v>135</v>
      </c>
      <c r="H292" t="s">
        <v>136</v>
      </c>
      <c r="I292" t="s">
        <v>132</v>
      </c>
      <c r="J292" t="b">
        <v>0</v>
      </c>
      <c r="K292" t="s">
        <v>315</v>
      </c>
      <c r="L292" t="str">
        <f>_xlfn.XLOOKUP(Transactions[[#This Row],[Account ID]],Accounts[Plaid Account ID],Accounts[Name],"Not Found",0)</f>
        <v>RBC Staff Banking</v>
      </c>
      <c r="M292" t="str">
        <f>_xlfn.XLOOKUP(Transactions[[#This Row],[Account ID]],Accounts[Plaid Account ID],Accounts[Institution Name],"Not Found",0)</f>
        <v>RBC Royal Bank</v>
      </c>
      <c r="N292" t="str">
        <f>IF(Transactions[[#This Row],[Amount]]&lt;0,"credit","debit")</f>
        <v>debit</v>
      </c>
      <c r="O292" t="str" cm="1">
        <f t="array" ref="O29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29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45274</v>
      </c>
      <c r="Q292" s="3">
        <f>DATE(YEAR(Transactions[[#This Row],[Datetime]]),MONTH(Transactions[[#This Row],[Datetime]]),1)</f>
        <v>45261</v>
      </c>
      <c r="R292" t="b">
        <f ca="1">AND(Transactions[[#This Row],[Datetime]]&gt;=EDATE(MAX(Transactions[Datetime]),-6),Transactions[[#This Row],[Datetime]]&lt;=TODAY())</f>
        <v>1</v>
      </c>
      <c r="S292" s="6">
        <f ca="1">AVERAGEIFS(Transactions[Month''s Total],Transactions[Recent],TRUE,Transactions[Custom Category],Transactions[[#This Row],[Custom Category]])</f>
        <v>624.12818181818193</v>
      </c>
      <c r="T292">
        <f>SUMIFS(Transactions[Amount],Transactions[Month],Transactions[[#This Row],[Month]],Transactions[Custom Category],Transactions[[#This Row],[Custom Category]])</f>
        <v>385.16</v>
      </c>
      <c r="U292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292">
        <f>IF(Transactions[[#This Row],[Month]]=Sel_Month,Transactions[[#This Row],[Amount]],0)</f>
        <v>0</v>
      </c>
    </row>
    <row r="293" spans="1:22" x14ac:dyDescent="0.25">
      <c r="A293" t="s">
        <v>61</v>
      </c>
      <c r="B293" t="s">
        <v>66</v>
      </c>
      <c r="C293">
        <v>65.7</v>
      </c>
      <c r="D293" t="s">
        <v>129</v>
      </c>
      <c r="E293" t="s">
        <v>311</v>
      </c>
      <c r="F293" t="s">
        <v>69</v>
      </c>
      <c r="G293" t="s">
        <v>138</v>
      </c>
      <c r="H293" t="s">
        <v>139</v>
      </c>
      <c r="I293" t="s">
        <v>132</v>
      </c>
      <c r="J293" t="b">
        <v>0</v>
      </c>
      <c r="K293" t="s">
        <v>316</v>
      </c>
      <c r="L293" t="str">
        <f>_xlfn.XLOOKUP(Transactions[[#This Row],[Account ID]],Accounts[Plaid Account ID],Accounts[Name],"Not Found",0)</f>
        <v>RBC Staff Banking</v>
      </c>
      <c r="M293" t="str">
        <f>_xlfn.XLOOKUP(Transactions[[#This Row],[Account ID]],Accounts[Plaid Account ID],Accounts[Institution Name],"Not Found",0)</f>
        <v>RBC Royal Bank</v>
      </c>
      <c r="N293" t="str">
        <f>IF(Transactions[[#This Row],[Amount]]&lt;0,"credit","debit")</f>
        <v>debit</v>
      </c>
      <c r="O293" t="str" cm="1">
        <f t="array" ref="O29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Insurance,Life</v>
      </c>
      <c r="P29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45274</v>
      </c>
      <c r="Q293" s="3">
        <f>DATE(YEAR(Transactions[[#This Row],[Datetime]]),MONTH(Transactions[[#This Row],[Datetime]]),1)</f>
        <v>45261</v>
      </c>
      <c r="R293" t="b">
        <f ca="1">AND(Transactions[[#This Row],[Datetime]]&gt;=EDATE(MAX(Transactions[Datetime]),-6),Transactions[[#This Row],[Datetime]]&lt;=TODAY())</f>
        <v>1</v>
      </c>
      <c r="S293" s="6">
        <f ca="1">AVERAGEIFS(Transactions[Month''s Total],Transactions[Recent],TRUE,Transactions[Custom Category],Transactions[[#This Row],[Custom Category]])</f>
        <v>65.7</v>
      </c>
      <c r="T293">
        <f>SUMIFS(Transactions[Amount],Transactions[Month],Transactions[[#This Row],[Month]],Transactions[Custom Category],Transactions[[#This Row],[Custom Category]])</f>
        <v>65.7</v>
      </c>
      <c r="U293">
        <f ca="1">IF(COUNTIF(Budgets[Custom Category],Transactions[[#This Row],[Custom Category]])=0,Transactions[[#This Row],[6M AVG]],_xlfn.XLOOKUP(Transactions[[#This Row],[Custom Category]],Budgets[Custom Category],Budgets[Monthly],0,0))</f>
        <v>65.7</v>
      </c>
      <c r="V293">
        <f>IF(Transactions[[#This Row],[Month]]=Sel_Month,Transactions[[#This Row],[Amount]],0)</f>
        <v>0</v>
      </c>
    </row>
    <row r="294" spans="1:22" x14ac:dyDescent="0.25">
      <c r="A294" t="s">
        <v>61</v>
      </c>
      <c r="B294" t="s">
        <v>66</v>
      </c>
      <c r="C294">
        <v>50.86</v>
      </c>
      <c r="D294" t="s">
        <v>129</v>
      </c>
      <c r="E294" t="s">
        <v>311</v>
      </c>
      <c r="F294" t="s">
        <v>69</v>
      </c>
      <c r="G294" t="s">
        <v>130</v>
      </c>
      <c r="H294" t="s">
        <v>131</v>
      </c>
      <c r="I294" t="s">
        <v>132</v>
      </c>
      <c r="J294" t="b">
        <v>0</v>
      </c>
      <c r="K294" t="s">
        <v>317</v>
      </c>
      <c r="L294" t="str">
        <f>_xlfn.XLOOKUP(Transactions[[#This Row],[Account ID]],Accounts[Plaid Account ID],Accounts[Name],"Not Found",0)</f>
        <v>RBC Staff Banking</v>
      </c>
      <c r="M294" t="str">
        <f>_xlfn.XLOOKUP(Transactions[[#This Row],[Account ID]],Accounts[Plaid Account ID],Accounts[Institution Name],"Not Found",0)</f>
        <v>RBC Royal Bank</v>
      </c>
      <c r="N294" t="str">
        <f>IF(Transactions[[#This Row],[Amount]]&lt;0,"credit","debit")</f>
        <v>debit</v>
      </c>
      <c r="O294" t="str" cm="1">
        <f t="array" ref="O29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Insurance,Home</v>
      </c>
      <c r="P29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45274</v>
      </c>
      <c r="Q294" s="3">
        <f>DATE(YEAR(Transactions[[#This Row],[Datetime]]),MONTH(Transactions[[#This Row],[Datetime]]),1)</f>
        <v>45261</v>
      </c>
      <c r="R294" t="b">
        <f ca="1">AND(Transactions[[#This Row],[Datetime]]&gt;=EDATE(MAX(Transactions[Datetime]),-6),Transactions[[#This Row],[Datetime]]&lt;=TODAY())</f>
        <v>1</v>
      </c>
      <c r="S294" s="6">
        <f ca="1">AVERAGEIFS(Transactions[Month''s Total],Transactions[Recent],TRUE,Transactions[Custom Category],Transactions[[#This Row],[Custom Category]])</f>
        <v>57.905000000000001</v>
      </c>
      <c r="T294">
        <f>SUMIFS(Transactions[Amount],Transactions[Month],Transactions[[#This Row],[Month]],Transactions[Custom Category],Transactions[[#This Row],[Custom Category]])</f>
        <v>50.86</v>
      </c>
      <c r="U294">
        <f ca="1">IF(COUNTIF(Budgets[Custom Category],Transactions[[#This Row],[Custom Category]])=0,Transactions[[#This Row],[6M AVG]],_xlfn.XLOOKUP(Transactions[[#This Row],[Custom Category]],Budgets[Custom Category],Budgets[Monthly],0,0))</f>
        <v>57.905000000000001</v>
      </c>
      <c r="V294">
        <f>IF(Transactions[[#This Row],[Month]]=Sel_Month,Transactions[[#This Row],[Amount]],0)</f>
        <v>0</v>
      </c>
    </row>
    <row r="295" spans="1:22" x14ac:dyDescent="0.25">
      <c r="A295" t="s">
        <v>61</v>
      </c>
      <c r="B295" t="s">
        <v>66</v>
      </c>
      <c r="C295">
        <v>-1300</v>
      </c>
      <c r="D295" t="s">
        <v>99</v>
      </c>
      <c r="E295" t="s">
        <v>306</v>
      </c>
      <c r="F295" t="s">
        <v>69</v>
      </c>
      <c r="H295" t="s">
        <v>307</v>
      </c>
      <c r="I295" t="s">
        <v>71</v>
      </c>
      <c r="J295" t="b">
        <v>0</v>
      </c>
      <c r="K295" t="s">
        <v>308</v>
      </c>
      <c r="L295" t="str">
        <f>_xlfn.XLOOKUP(Transactions[[#This Row],[Account ID]],Accounts[Plaid Account ID],Accounts[Name],"Not Found",0)</f>
        <v>RBC Staff Banking</v>
      </c>
      <c r="M295" t="str">
        <f>_xlfn.XLOOKUP(Transactions[[#This Row],[Account ID]],Accounts[Plaid Account ID],Accounts[Institution Name],"Not Found",0)</f>
        <v>RBC Royal Bank</v>
      </c>
      <c r="N295" t="str">
        <f>IF(Transactions[[#This Row],[Amount]]&lt;0,"credit","debit")</f>
        <v>credit</v>
      </c>
      <c r="O295" t="str" cm="1">
        <f t="array" ref="O29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29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45277</v>
      </c>
      <c r="Q295" s="3">
        <f>DATE(YEAR(Transactions[[#This Row],[Datetime]]),MONTH(Transactions[[#This Row],[Datetime]]),1)</f>
        <v>45261</v>
      </c>
      <c r="R295" t="b">
        <f ca="1">AND(Transactions[[#This Row],[Datetime]]&gt;=EDATE(MAX(Transactions[Datetime]),-6),Transactions[[#This Row],[Datetime]]&lt;=TODAY())</f>
        <v>1</v>
      </c>
      <c r="S295" s="6">
        <f ca="1">AVERAGEIFS(Transactions[Month''s Total],Transactions[Recent],TRUE,Transactions[Custom Category],Transactions[[#This Row],[Custom Category]])</f>
        <v>14532.989714285719</v>
      </c>
      <c r="T295">
        <f>SUMIFS(Transactions[Amount],Transactions[Month],Transactions[[#This Row],[Month]],Transactions[Custom Category],Transactions[[#This Row],[Custom Category]])</f>
        <v>6103</v>
      </c>
      <c r="U29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295">
        <f>IF(Transactions[[#This Row],[Month]]=Sel_Month,Transactions[[#This Row],[Amount]],0)</f>
        <v>0</v>
      </c>
    </row>
    <row r="296" spans="1:22" x14ac:dyDescent="0.25">
      <c r="A296" t="s">
        <v>61</v>
      </c>
      <c r="B296" t="s">
        <v>66</v>
      </c>
      <c r="C296">
        <v>-1337.6</v>
      </c>
      <c r="D296" t="s">
        <v>149</v>
      </c>
      <c r="E296" t="s">
        <v>306</v>
      </c>
      <c r="F296" t="s">
        <v>69</v>
      </c>
      <c r="H296" t="s">
        <v>309</v>
      </c>
      <c r="I296" t="s">
        <v>71</v>
      </c>
      <c r="J296" t="b">
        <v>0</v>
      </c>
      <c r="K296" t="s">
        <v>310</v>
      </c>
      <c r="L296" t="str">
        <f>_xlfn.XLOOKUP(Transactions[[#This Row],[Account ID]],Accounts[Plaid Account ID],Accounts[Name],"Not Found",0)</f>
        <v>RBC Staff Banking</v>
      </c>
      <c r="M296" t="str">
        <f>_xlfn.XLOOKUP(Transactions[[#This Row],[Account ID]],Accounts[Plaid Account ID],Accounts[Institution Name],"Not Found",0)</f>
        <v>RBC Royal Bank</v>
      </c>
      <c r="N296" t="str">
        <f>IF(Transactions[[#This Row],[Amount]]&lt;0,"credit","debit")</f>
        <v>credit</v>
      </c>
      <c r="O296" t="str" cm="1">
        <f t="array" ref="O29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9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45277</v>
      </c>
      <c r="Q296" s="3">
        <f>DATE(YEAR(Transactions[[#This Row],[Datetime]]),MONTH(Transactions[[#This Row],[Datetime]]),1)</f>
        <v>45261</v>
      </c>
      <c r="R296" t="b">
        <f ca="1">AND(Transactions[[#This Row],[Datetime]]&gt;=EDATE(MAX(Transactions[Datetime]),-6),Transactions[[#This Row],[Datetime]]&lt;=TODAY())</f>
        <v>1</v>
      </c>
      <c r="S296" s="6">
        <f ca="1">AVERAGEIFS(Transactions[Month''s Total],Transactions[Recent],TRUE,Transactions[Custom Category],Transactions[[#This Row],[Custom Category]])</f>
        <v>-18125.097037037034</v>
      </c>
      <c r="T296">
        <f>SUMIFS(Transactions[Amount],Transactions[Month],Transactions[[#This Row],[Month]],Transactions[Custom Category],Transactions[[#This Row],[Custom Category]])</f>
        <v>-13196.35</v>
      </c>
      <c r="U296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96">
        <f>IF(Transactions[[#This Row],[Month]]=Sel_Month,Transactions[[#This Row],[Amount]],0)</f>
        <v>0</v>
      </c>
    </row>
    <row r="297" spans="1:22" x14ac:dyDescent="0.25">
      <c r="A297" t="s">
        <v>61</v>
      </c>
      <c r="B297" t="s">
        <v>66</v>
      </c>
      <c r="C297">
        <v>0.19</v>
      </c>
      <c r="D297" t="s">
        <v>95</v>
      </c>
      <c r="E297" t="s">
        <v>304</v>
      </c>
      <c r="F297" t="s">
        <v>69</v>
      </c>
      <c r="H297" t="s">
        <v>118</v>
      </c>
      <c r="I297" t="s">
        <v>71</v>
      </c>
      <c r="J297" t="b">
        <v>0</v>
      </c>
      <c r="K297" t="s">
        <v>305</v>
      </c>
      <c r="L297" t="str">
        <f>_xlfn.XLOOKUP(Transactions[[#This Row],[Account ID]],Accounts[Plaid Account ID],Accounts[Name],"Not Found",0)</f>
        <v>RBC Staff Banking</v>
      </c>
      <c r="M297" t="str">
        <f>_xlfn.XLOOKUP(Transactions[[#This Row],[Account ID]],Accounts[Plaid Account ID],Accounts[Institution Name],"Not Found",0)</f>
        <v>RBC Royal Bank</v>
      </c>
      <c r="N297" t="str">
        <f>IF(Transactions[[#This Row],[Amount]]&lt;0,"credit","debit")</f>
        <v>debit</v>
      </c>
      <c r="O297" t="str" cm="1">
        <f t="array" ref="O29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29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45278</v>
      </c>
      <c r="Q297" s="3">
        <f>DATE(YEAR(Transactions[[#This Row],[Datetime]]),MONTH(Transactions[[#This Row],[Datetime]]),1)</f>
        <v>45261</v>
      </c>
      <c r="R297" t="b">
        <f ca="1">AND(Transactions[[#This Row],[Datetime]]&gt;=EDATE(MAX(Transactions[Datetime]),-6),Transactions[[#This Row],[Datetime]]&lt;=TODAY())</f>
        <v>1</v>
      </c>
      <c r="S297" s="6">
        <f ca="1">AVERAGEIFS(Transactions[Month''s Total],Transactions[Recent],TRUE,Transactions[Custom Category],Transactions[[#This Row],[Custom Category]])</f>
        <v>2.5077777777777777</v>
      </c>
      <c r="T297">
        <f>SUMIFS(Transactions[Amount],Transactions[Month],Transactions[[#This Row],[Month]],Transactions[Custom Category],Transactions[[#This Row],[Custom Category]])</f>
        <v>0.19</v>
      </c>
      <c r="U297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297">
        <f>IF(Transactions[[#This Row],[Month]]=Sel_Month,Transactions[[#This Row],[Amount]],0)</f>
        <v>0</v>
      </c>
    </row>
    <row r="298" spans="1:22" x14ac:dyDescent="0.25">
      <c r="A298" t="s">
        <v>61</v>
      </c>
      <c r="B298" t="s">
        <v>66</v>
      </c>
      <c r="C298">
        <v>-5000</v>
      </c>
      <c r="D298" t="s">
        <v>99</v>
      </c>
      <c r="E298" t="s">
        <v>297</v>
      </c>
      <c r="F298" t="s">
        <v>69</v>
      </c>
      <c r="H298" t="s">
        <v>298</v>
      </c>
      <c r="I298" t="s">
        <v>71</v>
      </c>
      <c r="J298" t="b">
        <v>0</v>
      </c>
      <c r="K298" t="s">
        <v>299</v>
      </c>
      <c r="L298" t="str">
        <f>_xlfn.XLOOKUP(Transactions[[#This Row],[Account ID]],Accounts[Plaid Account ID],Accounts[Name],"Not Found",0)</f>
        <v>RBC Staff Banking</v>
      </c>
      <c r="M298" t="str">
        <f>_xlfn.XLOOKUP(Transactions[[#This Row],[Account ID]],Accounts[Plaid Account ID],Accounts[Institution Name],"Not Found",0)</f>
        <v>RBC Royal Bank</v>
      </c>
      <c r="N298" t="str">
        <f>IF(Transactions[[#This Row],[Amount]]&lt;0,"credit","debit")</f>
        <v>credit</v>
      </c>
      <c r="O298" t="str" cm="1">
        <f t="array" ref="O29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29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45286</v>
      </c>
      <c r="Q298" s="3">
        <f>DATE(YEAR(Transactions[[#This Row],[Datetime]]),MONTH(Transactions[[#This Row],[Datetime]]),1)</f>
        <v>45261</v>
      </c>
      <c r="R298" t="b">
        <f ca="1">AND(Transactions[[#This Row],[Datetime]]&gt;=EDATE(MAX(Transactions[Datetime]),-6),Transactions[[#This Row],[Datetime]]&lt;=TODAY())</f>
        <v>1</v>
      </c>
      <c r="S298" s="6">
        <f ca="1">AVERAGEIFS(Transactions[Month''s Total],Transactions[Recent],TRUE,Transactions[Custom Category],Transactions[[#This Row],[Custom Category]])</f>
        <v>-18125.097037037034</v>
      </c>
      <c r="T298">
        <f>SUMIFS(Transactions[Amount],Transactions[Month],Transactions[[#This Row],[Month]],Transactions[Custom Category],Transactions[[#This Row],[Custom Category]])</f>
        <v>-13196.35</v>
      </c>
      <c r="U29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298">
        <f>IF(Transactions[[#This Row],[Month]]=Sel_Month,Transactions[[#This Row],[Amount]],0)</f>
        <v>0</v>
      </c>
    </row>
    <row r="299" spans="1:22" x14ac:dyDescent="0.25">
      <c r="A299" t="s">
        <v>61</v>
      </c>
      <c r="B299" t="s">
        <v>66</v>
      </c>
      <c r="C299">
        <v>3137.27</v>
      </c>
      <c r="D299" t="s">
        <v>67</v>
      </c>
      <c r="E299" t="s">
        <v>297</v>
      </c>
      <c r="F299" t="s">
        <v>69</v>
      </c>
      <c r="H299" t="s">
        <v>300</v>
      </c>
      <c r="I299" t="s">
        <v>71</v>
      </c>
      <c r="J299" t="b">
        <v>0</v>
      </c>
      <c r="K299" t="s">
        <v>301</v>
      </c>
      <c r="L299" t="str">
        <f>_xlfn.XLOOKUP(Transactions[[#This Row],[Account ID]],Accounts[Plaid Account ID],Accounts[Name],"Not Found",0)</f>
        <v>RBC Staff Banking</v>
      </c>
      <c r="M299" t="str">
        <f>_xlfn.XLOOKUP(Transactions[[#This Row],[Account ID]],Accounts[Plaid Account ID],Accounts[Institution Name],"Not Found",0)</f>
        <v>RBC Royal Bank</v>
      </c>
      <c r="N299" t="str">
        <f>IF(Transactions[[#This Row],[Amount]]&lt;0,"credit","debit")</f>
        <v>debit</v>
      </c>
      <c r="O299" t="str" cm="1">
        <f t="array" ref="O29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29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45286</v>
      </c>
      <c r="Q299" s="3">
        <f>DATE(YEAR(Transactions[[#This Row],[Datetime]]),MONTH(Transactions[[#This Row],[Datetime]]),1)</f>
        <v>45261</v>
      </c>
      <c r="R299" t="b">
        <f ca="1">AND(Transactions[[#This Row],[Datetime]]&gt;=EDATE(MAX(Transactions[Datetime]),-6),Transactions[[#This Row],[Datetime]]&lt;=TODAY())</f>
        <v>1</v>
      </c>
      <c r="S299" s="6">
        <f ca="1">AVERAGEIFS(Transactions[Month''s Total],Transactions[Recent],TRUE,Transactions[Custom Category],Transactions[[#This Row],[Custom Category]])</f>
        <v>12758.461333333335</v>
      </c>
      <c r="T299">
        <f>SUMIFS(Transactions[Amount],Transactions[Month],Transactions[[#This Row],[Month]],Transactions[Custom Category],Transactions[[#This Row],[Custom Category]])</f>
        <v>8331.11</v>
      </c>
      <c r="U29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299">
        <f>IF(Transactions[[#This Row],[Month]]=Sel_Month,Transactions[[#This Row],[Amount]],0)</f>
        <v>0</v>
      </c>
    </row>
    <row r="300" spans="1:22" x14ac:dyDescent="0.25">
      <c r="A300" t="s">
        <v>61</v>
      </c>
      <c r="B300" t="s">
        <v>66</v>
      </c>
      <c r="C300">
        <v>260</v>
      </c>
      <c r="D300" t="s">
        <v>67</v>
      </c>
      <c r="E300" t="s">
        <v>297</v>
      </c>
      <c r="F300" t="s">
        <v>69</v>
      </c>
      <c r="H300" t="s">
        <v>302</v>
      </c>
      <c r="I300" t="s">
        <v>71</v>
      </c>
      <c r="J300" t="b">
        <v>0</v>
      </c>
      <c r="K300" t="s">
        <v>303</v>
      </c>
      <c r="L300" t="str">
        <f>_xlfn.XLOOKUP(Transactions[[#This Row],[Account ID]],Accounts[Plaid Account ID],Accounts[Name],"Not Found",0)</f>
        <v>RBC Staff Banking</v>
      </c>
      <c r="M300" t="str">
        <f>_xlfn.XLOOKUP(Transactions[[#This Row],[Account ID]],Accounts[Plaid Account ID],Accounts[Institution Name],"Not Found",0)</f>
        <v>RBC Royal Bank</v>
      </c>
      <c r="N300" t="str">
        <f>IF(Transactions[[#This Row],[Amount]]&lt;0,"credit","debit")</f>
        <v>debit</v>
      </c>
      <c r="O300" t="str" cm="1">
        <f t="array" ref="O30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0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45286</v>
      </c>
      <c r="Q300" s="3">
        <f>DATE(YEAR(Transactions[[#This Row],[Datetime]]),MONTH(Transactions[[#This Row],[Datetime]]),1)</f>
        <v>45261</v>
      </c>
      <c r="R300" t="b">
        <f ca="1">AND(Transactions[[#This Row],[Datetime]]&gt;=EDATE(MAX(Transactions[Datetime]),-6),Transactions[[#This Row],[Datetime]]&lt;=TODAY())</f>
        <v>1</v>
      </c>
      <c r="S300" s="6">
        <f ca="1">AVERAGEIFS(Transactions[Month''s Total],Transactions[Recent],TRUE,Transactions[Custom Category],Transactions[[#This Row],[Custom Category]])</f>
        <v>12758.461333333335</v>
      </c>
      <c r="T300">
        <f>SUMIFS(Transactions[Amount],Transactions[Month],Transactions[[#This Row],[Month]],Transactions[Custom Category],Transactions[[#This Row],[Custom Category]])</f>
        <v>8331.11</v>
      </c>
      <c r="U30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00">
        <f>IF(Transactions[[#This Row],[Month]]=Sel_Month,Transactions[[#This Row],[Amount]],0)</f>
        <v>0</v>
      </c>
    </row>
    <row r="301" spans="1:22" x14ac:dyDescent="0.25">
      <c r="A301" t="s">
        <v>61</v>
      </c>
      <c r="B301" t="s">
        <v>66</v>
      </c>
      <c r="C301">
        <v>192.58</v>
      </c>
      <c r="D301" t="s">
        <v>134</v>
      </c>
      <c r="E301" t="s">
        <v>295</v>
      </c>
      <c r="F301" t="s">
        <v>69</v>
      </c>
      <c r="G301" t="s">
        <v>135</v>
      </c>
      <c r="H301" t="s">
        <v>136</v>
      </c>
      <c r="I301" t="s">
        <v>132</v>
      </c>
      <c r="J301" t="b">
        <v>0</v>
      </c>
      <c r="K301" t="s">
        <v>296</v>
      </c>
      <c r="L301" t="str">
        <f>_xlfn.XLOOKUP(Transactions[[#This Row],[Account ID]],Accounts[Plaid Account ID],Accounts[Name],"Not Found",0)</f>
        <v>RBC Staff Banking</v>
      </c>
      <c r="M301" t="str">
        <f>_xlfn.XLOOKUP(Transactions[[#This Row],[Account ID]],Accounts[Plaid Account ID],Accounts[Institution Name],"Not Found",0)</f>
        <v>RBC Royal Bank</v>
      </c>
      <c r="N301" t="str">
        <f>IF(Transactions[[#This Row],[Amount]]&lt;0,"credit","debit")</f>
        <v>debit</v>
      </c>
      <c r="O301" t="str" cm="1">
        <f t="array" ref="O30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30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45288</v>
      </c>
      <c r="Q301" s="3">
        <f>DATE(YEAR(Transactions[[#This Row],[Datetime]]),MONTH(Transactions[[#This Row],[Datetime]]),1)</f>
        <v>45261</v>
      </c>
      <c r="R301" t="b">
        <f ca="1">AND(Transactions[[#This Row],[Datetime]]&gt;=EDATE(MAX(Transactions[Datetime]),-6),Transactions[[#This Row],[Datetime]]&lt;=TODAY())</f>
        <v>1</v>
      </c>
      <c r="S301" s="6">
        <f ca="1">AVERAGEIFS(Transactions[Month''s Total],Transactions[Recent],TRUE,Transactions[Custom Category],Transactions[[#This Row],[Custom Category]])</f>
        <v>624.12818181818193</v>
      </c>
      <c r="T301">
        <f>SUMIFS(Transactions[Amount],Transactions[Month],Transactions[[#This Row],[Month]],Transactions[Custom Category],Transactions[[#This Row],[Custom Category]])</f>
        <v>385.16</v>
      </c>
      <c r="U301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301">
        <f>IF(Transactions[[#This Row],[Month]]=Sel_Month,Transactions[[#This Row],[Amount]],0)</f>
        <v>0</v>
      </c>
    </row>
    <row r="302" spans="1:22" x14ac:dyDescent="0.25">
      <c r="A302" t="s">
        <v>61</v>
      </c>
      <c r="B302" t="s">
        <v>66</v>
      </c>
      <c r="C302">
        <v>-1200</v>
      </c>
      <c r="D302" t="s">
        <v>99</v>
      </c>
      <c r="E302" t="s">
        <v>284</v>
      </c>
      <c r="F302" t="s">
        <v>69</v>
      </c>
      <c r="H302" t="s">
        <v>285</v>
      </c>
      <c r="I302" t="s">
        <v>71</v>
      </c>
      <c r="J302" t="b">
        <v>0</v>
      </c>
      <c r="K302" t="s">
        <v>286</v>
      </c>
      <c r="L302" t="str">
        <f>_xlfn.XLOOKUP(Transactions[[#This Row],[Account ID]],Accounts[Plaid Account ID],Accounts[Name],"Not Found",0)</f>
        <v>RBC Staff Banking</v>
      </c>
      <c r="M302" t="str">
        <f>_xlfn.XLOOKUP(Transactions[[#This Row],[Account ID]],Accounts[Plaid Account ID],Accounts[Institution Name],"Not Found",0)</f>
        <v>RBC Royal Bank</v>
      </c>
      <c r="N302" t="str">
        <f>IF(Transactions[[#This Row],[Amount]]&lt;0,"credit","debit")</f>
        <v>credit</v>
      </c>
      <c r="O302" t="str" cm="1">
        <f t="array" ref="O30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30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45292</v>
      </c>
      <c r="Q302" s="3">
        <f>DATE(YEAR(Transactions[[#This Row],[Datetime]]),MONTH(Transactions[[#This Row],[Datetime]]),1)</f>
        <v>45292</v>
      </c>
      <c r="R302" t="b">
        <f ca="1">AND(Transactions[[#This Row],[Datetime]]&gt;=EDATE(MAX(Transactions[Datetime]),-6),Transactions[[#This Row],[Datetime]]&lt;=TODAY())</f>
        <v>1</v>
      </c>
      <c r="S302" s="6">
        <f ca="1">AVERAGEIFS(Transactions[Month''s Total],Transactions[Recent],TRUE,Transactions[Custom Category],Transactions[[#This Row],[Custom Category]])</f>
        <v>-3209.0714285714284</v>
      </c>
      <c r="T302">
        <f>SUMIFS(Transactions[Amount],Transactions[Month],Transactions[[#This Row],[Month]],Transactions[Custom Category],Transactions[[#This Row],[Custom Category]])</f>
        <v>-4473</v>
      </c>
      <c r="U302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302">
        <f>IF(Transactions[[#This Row],[Month]]=Sel_Month,Transactions[[#This Row],[Amount]],0)</f>
        <v>0</v>
      </c>
    </row>
    <row r="303" spans="1:22" x14ac:dyDescent="0.25">
      <c r="A303" t="s">
        <v>61</v>
      </c>
      <c r="B303" t="s">
        <v>66</v>
      </c>
      <c r="C303">
        <v>40</v>
      </c>
      <c r="D303" t="s">
        <v>67</v>
      </c>
      <c r="E303" t="s">
        <v>284</v>
      </c>
      <c r="F303" t="s">
        <v>69</v>
      </c>
      <c r="H303" t="s">
        <v>287</v>
      </c>
      <c r="I303" t="s">
        <v>71</v>
      </c>
      <c r="J303" t="b">
        <v>0</v>
      </c>
      <c r="K303" t="s">
        <v>288</v>
      </c>
      <c r="L303" t="str">
        <f>_xlfn.XLOOKUP(Transactions[[#This Row],[Account ID]],Accounts[Plaid Account ID],Accounts[Name],"Not Found",0)</f>
        <v>RBC Staff Banking</v>
      </c>
      <c r="M303" t="str">
        <f>_xlfn.XLOOKUP(Transactions[[#This Row],[Account ID]],Accounts[Plaid Account ID],Accounts[Institution Name],"Not Found",0)</f>
        <v>RBC Royal Bank</v>
      </c>
      <c r="N303" t="str">
        <f>IF(Transactions[[#This Row],[Amount]]&lt;0,"credit","debit")</f>
        <v>debit</v>
      </c>
      <c r="O303" t="str" cm="1">
        <f t="array" ref="O30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0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45292</v>
      </c>
      <c r="Q303" s="3">
        <f>DATE(YEAR(Transactions[[#This Row],[Datetime]]),MONTH(Transactions[[#This Row],[Datetime]]),1)</f>
        <v>45292</v>
      </c>
      <c r="R303" t="b">
        <f ca="1">AND(Transactions[[#This Row],[Datetime]]&gt;=EDATE(MAX(Transactions[Datetime]),-6),Transactions[[#This Row],[Datetime]]&lt;=TODAY())</f>
        <v>1</v>
      </c>
      <c r="S303" s="6">
        <f ca="1">AVERAGEIFS(Transactions[Month''s Total],Transactions[Recent],TRUE,Transactions[Custom Category],Transactions[[#This Row],[Custom Category]])</f>
        <v>12758.461333333335</v>
      </c>
      <c r="T303">
        <f>SUMIFS(Transactions[Amount],Transactions[Month],Transactions[[#This Row],[Month]],Transactions[Custom Category],Transactions[[#This Row],[Custom Category]])</f>
        <v>6127.52</v>
      </c>
      <c r="U303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03">
        <f>IF(Transactions[[#This Row],[Month]]=Sel_Month,Transactions[[#This Row],[Amount]],0)</f>
        <v>0</v>
      </c>
    </row>
    <row r="304" spans="1:22" x14ac:dyDescent="0.25">
      <c r="A304" t="s">
        <v>61</v>
      </c>
      <c r="B304" t="s">
        <v>66</v>
      </c>
      <c r="C304">
        <v>-1000</v>
      </c>
      <c r="D304" t="s">
        <v>99</v>
      </c>
      <c r="E304" t="s">
        <v>284</v>
      </c>
      <c r="F304" t="s">
        <v>69</v>
      </c>
      <c r="H304" t="s">
        <v>289</v>
      </c>
      <c r="I304" t="s">
        <v>71</v>
      </c>
      <c r="J304" t="b">
        <v>0</v>
      </c>
      <c r="K304" t="s">
        <v>290</v>
      </c>
      <c r="L304" t="str">
        <f>_xlfn.XLOOKUP(Transactions[[#This Row],[Account ID]],Accounts[Plaid Account ID],Accounts[Name],"Not Found",0)</f>
        <v>RBC Staff Banking</v>
      </c>
      <c r="M304" t="str">
        <f>_xlfn.XLOOKUP(Transactions[[#This Row],[Account ID]],Accounts[Plaid Account ID],Accounts[Institution Name],"Not Found",0)</f>
        <v>RBC Royal Bank</v>
      </c>
      <c r="N304" t="str">
        <f>IF(Transactions[[#This Row],[Amount]]&lt;0,"credit","debit")</f>
        <v>credit</v>
      </c>
      <c r="O304" t="str" cm="1">
        <f t="array" ref="O30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30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45292</v>
      </c>
      <c r="Q304" s="3">
        <f>DATE(YEAR(Transactions[[#This Row],[Datetime]]),MONTH(Transactions[[#This Row],[Datetime]]),1)</f>
        <v>45292</v>
      </c>
      <c r="R304" t="b">
        <f ca="1">AND(Transactions[[#This Row],[Datetime]]&gt;=EDATE(MAX(Transactions[Datetime]),-6),Transactions[[#This Row],[Datetime]]&lt;=TODAY())</f>
        <v>1</v>
      </c>
      <c r="S304" s="6">
        <f ca="1">AVERAGEIFS(Transactions[Month''s Total],Transactions[Recent],TRUE,Transactions[Custom Category],Transactions[[#This Row],[Custom Category]])</f>
        <v>-3209.0714285714284</v>
      </c>
      <c r="T304">
        <f>SUMIFS(Transactions[Amount],Transactions[Month],Transactions[[#This Row],[Month]],Transactions[Custom Category],Transactions[[#This Row],[Custom Category]])</f>
        <v>-4473</v>
      </c>
      <c r="U304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304">
        <f>IF(Transactions[[#This Row],[Month]]=Sel_Month,Transactions[[#This Row],[Amount]],0)</f>
        <v>0</v>
      </c>
    </row>
    <row r="305" spans="1:22" x14ac:dyDescent="0.25">
      <c r="A305" t="s">
        <v>61</v>
      </c>
      <c r="B305" t="s">
        <v>66</v>
      </c>
      <c r="C305">
        <v>3600</v>
      </c>
      <c r="D305" t="s">
        <v>67</v>
      </c>
      <c r="E305" t="s">
        <v>284</v>
      </c>
      <c r="F305" t="s">
        <v>69</v>
      </c>
      <c r="H305" t="s">
        <v>291</v>
      </c>
      <c r="I305" t="s">
        <v>71</v>
      </c>
      <c r="J305" t="b">
        <v>0</v>
      </c>
      <c r="K305" t="s">
        <v>292</v>
      </c>
      <c r="L305" t="str">
        <f>_xlfn.XLOOKUP(Transactions[[#This Row],[Account ID]],Accounts[Plaid Account ID],Accounts[Name],"Not Found",0)</f>
        <v>RBC Staff Banking</v>
      </c>
      <c r="M305" t="str">
        <f>_xlfn.XLOOKUP(Transactions[[#This Row],[Account ID]],Accounts[Plaid Account ID],Accounts[Institution Name],"Not Found",0)</f>
        <v>RBC Royal Bank</v>
      </c>
      <c r="N305" t="str">
        <f>IF(Transactions[[#This Row],[Amount]]&lt;0,"credit","debit")</f>
        <v>debit</v>
      </c>
      <c r="O305" t="str" cm="1">
        <f t="array" ref="O30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Rent</v>
      </c>
      <c r="P30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45292</v>
      </c>
      <c r="Q305" s="3">
        <f>DATE(YEAR(Transactions[[#This Row],[Datetime]]),MONTH(Transactions[[#This Row],[Datetime]]),1)</f>
        <v>45292</v>
      </c>
      <c r="R305" t="b">
        <f ca="1">AND(Transactions[[#This Row],[Datetime]]&gt;=EDATE(MAX(Transactions[Datetime]),-6),Transactions[[#This Row],[Datetime]]&lt;=TODAY())</f>
        <v>1</v>
      </c>
      <c r="S305" s="6">
        <f ca="1">AVERAGEIFS(Transactions[Month''s Total],Transactions[Recent],TRUE,Transactions[Custom Category],Transactions[[#This Row],[Custom Category]])</f>
        <v>5076</v>
      </c>
      <c r="T305">
        <f>SUMIFS(Transactions[Amount],Transactions[Month],Transactions[[#This Row],[Month]],Transactions[Custom Category],Transactions[[#This Row],[Custom Category]])</f>
        <v>7200</v>
      </c>
      <c r="U305">
        <f ca="1">IF(COUNTIF(Budgets[Custom Category],Transactions[[#This Row],[Custom Category]])=0,Transactions[[#This Row],[6M AVG]],_xlfn.XLOOKUP(Transactions[[#This Row],[Custom Category]],Budgets[Custom Category],Budgets[Monthly],0,0))</f>
        <v>5076</v>
      </c>
      <c r="V305">
        <f>IF(Transactions[[#This Row],[Month]]=Sel_Month,Transactions[[#This Row],[Amount]],0)</f>
        <v>0</v>
      </c>
    </row>
    <row r="306" spans="1:22" x14ac:dyDescent="0.25">
      <c r="A306" t="s">
        <v>61</v>
      </c>
      <c r="B306" t="s">
        <v>66</v>
      </c>
      <c r="C306">
        <v>-1700</v>
      </c>
      <c r="D306" t="s">
        <v>99</v>
      </c>
      <c r="E306" t="s">
        <v>284</v>
      </c>
      <c r="F306" t="s">
        <v>69</v>
      </c>
      <c r="H306" t="s">
        <v>293</v>
      </c>
      <c r="I306" t="s">
        <v>71</v>
      </c>
      <c r="J306" t="b">
        <v>0</v>
      </c>
      <c r="K306" t="s">
        <v>294</v>
      </c>
      <c r="L306" t="str">
        <f>_xlfn.XLOOKUP(Transactions[[#This Row],[Account ID]],Accounts[Plaid Account ID],Accounts[Name],"Not Found",0)</f>
        <v>RBC Staff Banking</v>
      </c>
      <c r="M306" t="str">
        <f>_xlfn.XLOOKUP(Transactions[[#This Row],[Account ID]],Accounts[Plaid Account ID],Accounts[Institution Name],"Not Found",0)</f>
        <v>RBC Royal Bank</v>
      </c>
      <c r="N306" t="str">
        <f>IF(Transactions[[#This Row],[Amount]]&lt;0,"credit","debit")</f>
        <v>credit</v>
      </c>
      <c r="O306" t="str" cm="1">
        <f t="array" ref="O30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0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45292</v>
      </c>
      <c r="Q306" s="3">
        <f>DATE(YEAR(Transactions[[#This Row],[Datetime]]),MONTH(Transactions[[#This Row],[Datetime]]),1)</f>
        <v>45292</v>
      </c>
      <c r="R306" t="b">
        <f ca="1">AND(Transactions[[#This Row],[Datetime]]&gt;=EDATE(MAX(Transactions[Datetime]),-6),Transactions[[#This Row],[Datetime]]&lt;=TODAY())</f>
        <v>1</v>
      </c>
      <c r="S306" s="6">
        <f ca="1">AVERAGEIFS(Transactions[Month''s Total],Transactions[Recent],TRUE,Transactions[Custom Category],Transactions[[#This Row],[Custom Category]])</f>
        <v>14532.989714285719</v>
      </c>
      <c r="T306">
        <f>SUMIFS(Transactions[Amount],Transactions[Month],Transactions[[#This Row],[Month]],Transactions[Custom Category],Transactions[[#This Row],[Custom Category]])</f>
        <v>-710.66000000000008</v>
      </c>
      <c r="U30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06">
        <f>IF(Transactions[[#This Row],[Month]]=Sel_Month,Transactions[[#This Row],[Amount]],0)</f>
        <v>0</v>
      </c>
    </row>
    <row r="307" spans="1:22" x14ac:dyDescent="0.25">
      <c r="A307" t="s">
        <v>61</v>
      </c>
      <c r="B307" t="s">
        <v>66</v>
      </c>
      <c r="C307">
        <v>131.06</v>
      </c>
      <c r="D307" t="s">
        <v>165</v>
      </c>
      <c r="E307" t="s">
        <v>282</v>
      </c>
      <c r="F307" t="s">
        <v>69</v>
      </c>
      <c r="G307" t="s">
        <v>166</v>
      </c>
      <c r="H307" t="s">
        <v>167</v>
      </c>
      <c r="I307" t="s">
        <v>132</v>
      </c>
      <c r="J307" t="b">
        <v>0</v>
      </c>
      <c r="K307" t="s">
        <v>283</v>
      </c>
      <c r="L307" t="str">
        <f>_xlfn.XLOOKUP(Transactions[[#This Row],[Account ID]],Accounts[Plaid Account ID],Accounts[Name],"Not Found",0)</f>
        <v>RBC Staff Banking</v>
      </c>
      <c r="M307" t="str">
        <f>_xlfn.XLOOKUP(Transactions[[#This Row],[Account ID]],Accounts[Plaid Account ID],Accounts[Institution Name],"Not Found",0)</f>
        <v>RBC Royal Bank</v>
      </c>
      <c r="N307" t="str">
        <f>IF(Transactions[[#This Row],[Amount]]&lt;0,"credit","debit")</f>
        <v>debit</v>
      </c>
      <c r="O307" t="str" cm="1">
        <f t="array" ref="O30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Utilities,Electric</v>
      </c>
      <c r="P30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45298</v>
      </c>
      <c r="Q307" s="3">
        <f>DATE(YEAR(Transactions[[#This Row],[Datetime]]),MONTH(Transactions[[#This Row],[Datetime]]),1)</f>
        <v>45292</v>
      </c>
      <c r="R307" t="b">
        <f ca="1">AND(Transactions[[#This Row],[Datetime]]&gt;=EDATE(MAX(Transactions[Datetime]),-6),Transactions[[#This Row],[Datetime]]&lt;=TODAY())</f>
        <v>1</v>
      </c>
      <c r="S307" s="6">
        <f ca="1">AVERAGEIFS(Transactions[Month''s Total],Transactions[Recent],TRUE,Transactions[Custom Category],Transactions[[#This Row],[Custom Category]])</f>
        <v>139.88333333333333</v>
      </c>
      <c r="T307">
        <f>SUMIFS(Transactions[Amount],Transactions[Month],Transactions[[#This Row],[Month]],Transactions[Custom Category],Transactions[[#This Row],[Custom Category]])</f>
        <v>131.06</v>
      </c>
      <c r="U307">
        <f ca="1">IF(COUNTIF(Budgets[Custom Category],Transactions[[#This Row],[Custom Category]])=0,Transactions[[#This Row],[6M AVG]],_xlfn.XLOOKUP(Transactions[[#This Row],[Custom Category]],Budgets[Custom Category],Budgets[Monthly],0,0))</f>
        <v>139.88333333333333</v>
      </c>
      <c r="V307">
        <f>IF(Transactions[[#This Row],[Month]]=Sel_Month,Transactions[[#This Row],[Amount]],0)</f>
        <v>0</v>
      </c>
    </row>
    <row r="308" spans="1:22" x14ac:dyDescent="0.25">
      <c r="A308" t="s">
        <v>61</v>
      </c>
      <c r="B308" t="s">
        <v>66</v>
      </c>
      <c r="C308">
        <v>104.1</v>
      </c>
      <c r="D308" t="s">
        <v>152</v>
      </c>
      <c r="E308" t="s">
        <v>280</v>
      </c>
      <c r="F308" t="s">
        <v>69</v>
      </c>
      <c r="G308" t="s">
        <v>153</v>
      </c>
      <c r="H308" t="s">
        <v>154</v>
      </c>
      <c r="I308" t="s">
        <v>132</v>
      </c>
      <c r="J308" t="b">
        <v>0</v>
      </c>
      <c r="K308" t="s">
        <v>281</v>
      </c>
      <c r="L308" t="str">
        <f>_xlfn.XLOOKUP(Transactions[[#This Row],[Account ID]],Accounts[Plaid Account ID],Accounts[Name],"Not Found",0)</f>
        <v>RBC Staff Banking</v>
      </c>
      <c r="M308" t="str">
        <f>_xlfn.XLOOKUP(Transactions[[#This Row],[Account ID]],Accounts[Plaid Account ID],Accounts[Institution Name],"Not Found",0)</f>
        <v>RBC Royal Bank</v>
      </c>
      <c r="N308" t="str">
        <f>IF(Transactions[[#This Row],[Amount]]&lt;0,"credit","debit")</f>
        <v>debit</v>
      </c>
      <c r="O308" t="str" cm="1">
        <f t="array" ref="O30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30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45299</v>
      </c>
      <c r="Q308" s="3">
        <f>DATE(YEAR(Transactions[[#This Row],[Datetime]]),MONTH(Transactions[[#This Row],[Datetime]]),1)</f>
        <v>45292</v>
      </c>
      <c r="R308" t="b">
        <f ca="1">AND(Transactions[[#This Row],[Datetime]]&gt;=EDATE(MAX(Transactions[Datetime]),-6),Transactions[[#This Row],[Datetime]]&lt;=TODAY())</f>
        <v>1</v>
      </c>
      <c r="S308" s="6">
        <f ca="1">AVERAGEIFS(Transactions[Month''s Total],Transactions[Recent],TRUE,Transactions[Custom Category],Transactions[[#This Row],[Custom Category]])</f>
        <v>153.08333333333331</v>
      </c>
      <c r="T308">
        <f>SUMIFS(Transactions[Amount],Transactions[Month],Transactions[[#This Row],[Month]],Transactions[Custom Category],Transactions[[#This Row],[Custom Category]])</f>
        <v>104.1</v>
      </c>
      <c r="U308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308">
        <f>IF(Transactions[[#This Row],[Month]]=Sel_Month,Transactions[[#This Row],[Amount]],0)</f>
        <v>0</v>
      </c>
    </row>
    <row r="309" spans="1:22" x14ac:dyDescent="0.25">
      <c r="A309" t="s">
        <v>22</v>
      </c>
      <c r="B309" t="s">
        <v>66</v>
      </c>
      <c r="C309">
        <v>0</v>
      </c>
      <c r="D309" t="s">
        <v>73</v>
      </c>
      <c r="E309" t="s">
        <v>86</v>
      </c>
      <c r="F309" t="s">
        <v>69</v>
      </c>
      <c r="H309" t="s">
        <v>87</v>
      </c>
      <c r="I309" t="s">
        <v>71</v>
      </c>
      <c r="J309" t="b">
        <v>0</v>
      </c>
      <c r="K309" t="s">
        <v>88</v>
      </c>
      <c r="L309" t="str">
        <f>_xlfn.XLOOKUP(Transactions[[#This Row],[Account ID]],Accounts[Plaid Account ID],Accounts[Name],"Not Found",0)</f>
        <v>Preferred Package</v>
      </c>
      <c r="M309" t="str">
        <f>_xlfn.XLOOKUP(Transactions[[#This Row],[Account ID]],Accounts[Plaid Account ID],Accounts[Institution Name],"Not Found",0)</f>
        <v>Scotiabank</v>
      </c>
      <c r="N309" t="str">
        <f>IF(Transactions[[#This Row],[Amount]]&lt;0,"credit","debit")</f>
        <v>debit</v>
      </c>
      <c r="O309" t="str" cm="1">
        <f t="array" ref="O30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30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45302</v>
      </c>
      <c r="Q309" s="3">
        <f>DATE(YEAR(Transactions[[#This Row],[Datetime]]),MONTH(Transactions[[#This Row],[Datetime]]),1)</f>
        <v>45292</v>
      </c>
      <c r="R309" t="b">
        <f ca="1">AND(Transactions[[#This Row],[Datetime]]&gt;=EDATE(MAX(Transactions[Datetime]),-6),Transactions[[#This Row],[Datetime]]&lt;=TODAY())</f>
        <v>1</v>
      </c>
      <c r="S309" s="6">
        <f ca="1">AVERAGEIFS(Transactions[Month''s Total],Transactions[Recent],TRUE,Transactions[Custom Category],Transactions[[#This Row],[Custom Category]])</f>
        <v>-12680.457777777781</v>
      </c>
      <c r="T309">
        <f>SUMIFS(Transactions[Amount],Transactions[Month],Transactions[[#This Row],[Month]],Transactions[Custom Category],Transactions[[#This Row],[Custom Category]])</f>
        <v>0</v>
      </c>
      <c r="U309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309">
        <f>IF(Transactions[[#This Row],[Month]]=Sel_Month,Transactions[[#This Row],[Amount]],0)</f>
        <v>0</v>
      </c>
    </row>
    <row r="310" spans="1:22" x14ac:dyDescent="0.25">
      <c r="A310" t="s">
        <v>61</v>
      </c>
      <c r="B310" t="s">
        <v>66</v>
      </c>
      <c r="C310">
        <v>2966.59</v>
      </c>
      <c r="D310" t="s">
        <v>67</v>
      </c>
      <c r="E310" t="s">
        <v>86</v>
      </c>
      <c r="F310" t="s">
        <v>69</v>
      </c>
      <c r="H310" t="s">
        <v>278</v>
      </c>
      <c r="I310" t="s">
        <v>71</v>
      </c>
      <c r="J310" t="b">
        <v>0</v>
      </c>
      <c r="K310" t="s">
        <v>279</v>
      </c>
      <c r="L310" t="str">
        <f>_xlfn.XLOOKUP(Transactions[[#This Row],[Account ID]],Accounts[Plaid Account ID],Accounts[Name],"Not Found",0)</f>
        <v>RBC Staff Banking</v>
      </c>
      <c r="M310" t="str">
        <f>_xlfn.XLOOKUP(Transactions[[#This Row],[Account ID]],Accounts[Plaid Account ID],Accounts[Institution Name],"Not Found",0)</f>
        <v>RBC Royal Bank</v>
      </c>
      <c r="N310" t="str">
        <f>IF(Transactions[[#This Row],[Amount]]&lt;0,"credit","debit")</f>
        <v>debit</v>
      </c>
      <c r="O310" t="str" cm="1">
        <f t="array" ref="O31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1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45302</v>
      </c>
      <c r="Q310" s="3">
        <f>DATE(YEAR(Transactions[[#This Row],[Datetime]]),MONTH(Transactions[[#This Row],[Datetime]]),1)</f>
        <v>45292</v>
      </c>
      <c r="R310" t="b">
        <f ca="1">AND(Transactions[[#This Row],[Datetime]]&gt;=EDATE(MAX(Transactions[Datetime]),-6),Transactions[[#This Row],[Datetime]]&lt;=TODAY())</f>
        <v>1</v>
      </c>
      <c r="S310" s="6">
        <f ca="1">AVERAGEIFS(Transactions[Month''s Total],Transactions[Recent],TRUE,Transactions[Custom Category],Transactions[[#This Row],[Custom Category]])</f>
        <v>12758.461333333335</v>
      </c>
      <c r="T310">
        <f>SUMIFS(Transactions[Amount],Transactions[Month],Transactions[[#This Row],[Month]],Transactions[Custom Category],Transactions[[#This Row],[Custom Category]])</f>
        <v>6127.52</v>
      </c>
      <c r="U31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10">
        <f>IF(Transactions[[#This Row],[Month]]=Sel_Month,Transactions[[#This Row],[Amount]],0)</f>
        <v>0</v>
      </c>
    </row>
    <row r="311" spans="1:22" x14ac:dyDescent="0.25">
      <c r="A311" t="s">
        <v>61</v>
      </c>
      <c r="B311" t="s">
        <v>66</v>
      </c>
      <c r="C311">
        <v>80</v>
      </c>
      <c r="D311" t="s">
        <v>67</v>
      </c>
      <c r="E311" t="s">
        <v>268</v>
      </c>
      <c r="F311" t="s">
        <v>69</v>
      </c>
      <c r="H311" t="s">
        <v>269</v>
      </c>
      <c r="I311" t="s">
        <v>71</v>
      </c>
      <c r="J311" t="b">
        <v>0</v>
      </c>
      <c r="K311" t="s">
        <v>270</v>
      </c>
      <c r="L311" t="str">
        <f>_xlfn.XLOOKUP(Transactions[[#This Row],[Account ID]],Accounts[Plaid Account ID],Accounts[Name],"Not Found",0)</f>
        <v>RBC Staff Banking</v>
      </c>
      <c r="M311" t="str">
        <f>_xlfn.XLOOKUP(Transactions[[#This Row],[Account ID]],Accounts[Plaid Account ID],Accounts[Institution Name],"Not Found",0)</f>
        <v>RBC Royal Bank</v>
      </c>
      <c r="N311" t="str">
        <f>IF(Transactions[[#This Row],[Amount]]&lt;0,"credit","debit")</f>
        <v>debit</v>
      </c>
      <c r="O311" t="str" cm="1">
        <f t="array" ref="O31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1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45305</v>
      </c>
      <c r="Q311" s="3">
        <f>DATE(YEAR(Transactions[[#This Row],[Datetime]]),MONTH(Transactions[[#This Row],[Datetime]]),1)</f>
        <v>45292</v>
      </c>
      <c r="R311" t="b">
        <f ca="1">AND(Transactions[[#This Row],[Datetime]]&gt;=EDATE(MAX(Transactions[Datetime]),-6),Transactions[[#This Row],[Datetime]]&lt;=TODAY())</f>
        <v>1</v>
      </c>
      <c r="S311" s="6">
        <f ca="1">AVERAGEIFS(Transactions[Month''s Total],Transactions[Recent],TRUE,Transactions[Custom Category],Transactions[[#This Row],[Custom Category]])</f>
        <v>12758.461333333335</v>
      </c>
      <c r="T311">
        <f>SUMIFS(Transactions[Amount],Transactions[Month],Transactions[[#This Row],[Month]],Transactions[Custom Category],Transactions[[#This Row],[Custom Category]])</f>
        <v>6127.52</v>
      </c>
      <c r="U31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11">
        <f>IF(Transactions[[#This Row],[Month]]=Sel_Month,Transactions[[#This Row],[Amount]],0)</f>
        <v>0</v>
      </c>
    </row>
    <row r="312" spans="1:22" x14ac:dyDescent="0.25">
      <c r="A312" t="s">
        <v>61</v>
      </c>
      <c r="B312" t="s">
        <v>66</v>
      </c>
      <c r="C312">
        <v>428</v>
      </c>
      <c r="D312" t="s">
        <v>129</v>
      </c>
      <c r="E312" t="s">
        <v>268</v>
      </c>
      <c r="F312" t="s">
        <v>69</v>
      </c>
      <c r="G312" t="s">
        <v>130</v>
      </c>
      <c r="H312" t="s">
        <v>131</v>
      </c>
      <c r="I312" t="s">
        <v>132</v>
      </c>
      <c r="J312" t="b">
        <v>0</v>
      </c>
      <c r="K312" t="s">
        <v>271</v>
      </c>
      <c r="L312" t="str">
        <f>_xlfn.XLOOKUP(Transactions[[#This Row],[Account ID]],Accounts[Plaid Account ID],Accounts[Name],"Not Found",0)</f>
        <v>RBC Staff Banking</v>
      </c>
      <c r="M312" t="str">
        <f>_xlfn.XLOOKUP(Transactions[[#This Row],[Account ID]],Accounts[Plaid Account ID],Accounts[Institution Name],"Not Found",0)</f>
        <v>RBC Royal Bank</v>
      </c>
      <c r="N312" t="str">
        <f>IF(Transactions[[#This Row],[Amount]]&lt;0,"credit","debit")</f>
        <v>debit</v>
      </c>
      <c r="O312" t="str" cm="1">
        <f t="array" ref="O31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Insurance,Car</v>
      </c>
      <c r="P31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45305</v>
      </c>
      <c r="Q312" s="3">
        <f>DATE(YEAR(Transactions[[#This Row],[Datetime]]),MONTH(Transactions[[#This Row],[Datetime]]),1)</f>
        <v>45292</v>
      </c>
      <c r="R312" t="b">
        <f ca="1">AND(Transactions[[#This Row],[Datetime]]&gt;=EDATE(MAX(Transactions[Datetime]),-6),Transactions[[#This Row],[Datetime]]&lt;=TODAY())</f>
        <v>1</v>
      </c>
      <c r="S312" s="6">
        <f ca="1">AVERAGEIFS(Transactions[Month''s Total],Transactions[Recent],TRUE,Transactions[Custom Category],Transactions[[#This Row],[Custom Category]])</f>
        <v>432.99599999999998</v>
      </c>
      <c r="T312">
        <f>SUMIFS(Transactions[Amount],Transactions[Month],Transactions[[#This Row],[Month]],Transactions[Custom Category],Transactions[[#This Row],[Custom Category]])</f>
        <v>428</v>
      </c>
      <c r="U312">
        <f ca="1">IF(COUNTIF(Budgets[Custom Category],Transactions[[#This Row],[Custom Category]])=0,Transactions[[#This Row],[6M AVG]],_xlfn.XLOOKUP(Transactions[[#This Row],[Custom Category]],Budgets[Custom Category],Budgets[Monthly],0,0))</f>
        <v>432.99599999999998</v>
      </c>
      <c r="V312">
        <f>IF(Transactions[[#This Row],[Month]]=Sel_Month,Transactions[[#This Row],[Amount]],0)</f>
        <v>0</v>
      </c>
    </row>
    <row r="313" spans="1:22" x14ac:dyDescent="0.25">
      <c r="A313" t="s">
        <v>61</v>
      </c>
      <c r="B313" t="s">
        <v>66</v>
      </c>
      <c r="C313">
        <v>65.7</v>
      </c>
      <c r="D313" t="s">
        <v>129</v>
      </c>
      <c r="E313" t="s">
        <v>268</v>
      </c>
      <c r="F313" t="s">
        <v>69</v>
      </c>
      <c r="G313" t="s">
        <v>138</v>
      </c>
      <c r="H313" t="s">
        <v>139</v>
      </c>
      <c r="I313" t="s">
        <v>132</v>
      </c>
      <c r="J313" t="b">
        <v>0</v>
      </c>
      <c r="K313" t="s">
        <v>272</v>
      </c>
      <c r="L313" t="str">
        <f>_xlfn.XLOOKUP(Transactions[[#This Row],[Account ID]],Accounts[Plaid Account ID],Accounts[Name],"Not Found",0)</f>
        <v>RBC Staff Banking</v>
      </c>
      <c r="M313" t="str">
        <f>_xlfn.XLOOKUP(Transactions[[#This Row],[Account ID]],Accounts[Plaid Account ID],Accounts[Institution Name],"Not Found",0)</f>
        <v>RBC Royal Bank</v>
      </c>
      <c r="N313" t="str">
        <f>IF(Transactions[[#This Row],[Amount]]&lt;0,"credit","debit")</f>
        <v>debit</v>
      </c>
      <c r="O313" t="str" cm="1">
        <f t="array" ref="O31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Insurance,Life</v>
      </c>
      <c r="P31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45305</v>
      </c>
      <c r="Q313" s="3">
        <f>DATE(YEAR(Transactions[[#This Row],[Datetime]]),MONTH(Transactions[[#This Row],[Datetime]]),1)</f>
        <v>45292</v>
      </c>
      <c r="R313" t="b">
        <f ca="1">AND(Transactions[[#This Row],[Datetime]]&gt;=EDATE(MAX(Transactions[Datetime]),-6),Transactions[[#This Row],[Datetime]]&lt;=TODAY())</f>
        <v>1</v>
      </c>
      <c r="S313" s="6">
        <f ca="1">AVERAGEIFS(Transactions[Month''s Total],Transactions[Recent],TRUE,Transactions[Custom Category],Transactions[[#This Row],[Custom Category]])</f>
        <v>65.7</v>
      </c>
      <c r="T313">
        <f>SUMIFS(Transactions[Amount],Transactions[Month],Transactions[[#This Row],[Month]],Transactions[Custom Category],Transactions[[#This Row],[Custom Category]])</f>
        <v>65.7</v>
      </c>
      <c r="U313">
        <f ca="1">IF(COUNTIF(Budgets[Custom Category],Transactions[[#This Row],[Custom Category]])=0,Transactions[[#This Row],[6M AVG]],_xlfn.XLOOKUP(Transactions[[#This Row],[Custom Category]],Budgets[Custom Category],Budgets[Monthly],0,0))</f>
        <v>65.7</v>
      </c>
      <c r="V313">
        <f>IF(Transactions[[#This Row],[Month]]=Sel_Month,Transactions[[#This Row],[Amount]],0)</f>
        <v>0</v>
      </c>
    </row>
    <row r="314" spans="1:22" x14ac:dyDescent="0.25">
      <c r="A314" t="s">
        <v>61</v>
      </c>
      <c r="B314" t="s">
        <v>66</v>
      </c>
      <c r="C314">
        <v>56.11</v>
      </c>
      <c r="D314" t="s">
        <v>129</v>
      </c>
      <c r="E314" t="s">
        <v>268</v>
      </c>
      <c r="F314" t="s">
        <v>69</v>
      </c>
      <c r="G314" t="s">
        <v>130</v>
      </c>
      <c r="H314" t="s">
        <v>131</v>
      </c>
      <c r="I314" t="s">
        <v>132</v>
      </c>
      <c r="J314" t="b">
        <v>0</v>
      </c>
      <c r="K314" t="s">
        <v>273</v>
      </c>
      <c r="L314" t="str">
        <f>_xlfn.XLOOKUP(Transactions[[#This Row],[Account ID]],Accounts[Plaid Account ID],Accounts[Name],"Not Found",0)</f>
        <v>RBC Staff Banking</v>
      </c>
      <c r="M314" t="str">
        <f>_xlfn.XLOOKUP(Transactions[[#This Row],[Account ID]],Accounts[Plaid Account ID],Accounts[Institution Name],"Not Found",0)</f>
        <v>RBC Royal Bank</v>
      </c>
      <c r="N314" t="str">
        <f>IF(Transactions[[#This Row],[Amount]]&lt;0,"credit","debit")</f>
        <v>debit</v>
      </c>
      <c r="O314" t="str" cm="1">
        <f t="array" ref="O31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Insurance,Home</v>
      </c>
      <c r="P31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45305</v>
      </c>
      <c r="Q314" s="3">
        <f>DATE(YEAR(Transactions[[#This Row],[Datetime]]),MONTH(Transactions[[#This Row],[Datetime]]),1)</f>
        <v>45292</v>
      </c>
      <c r="R314" t="b">
        <f ca="1">AND(Transactions[[#This Row],[Datetime]]&gt;=EDATE(MAX(Transactions[Datetime]),-6),Transactions[[#This Row],[Datetime]]&lt;=TODAY())</f>
        <v>1</v>
      </c>
      <c r="S314" s="6">
        <f ca="1">AVERAGEIFS(Transactions[Month''s Total],Transactions[Recent],TRUE,Transactions[Custom Category],Transactions[[#This Row],[Custom Category]])</f>
        <v>57.905000000000001</v>
      </c>
      <c r="T314">
        <f>SUMIFS(Transactions[Amount],Transactions[Month],Transactions[[#This Row],[Month]],Transactions[Custom Category],Transactions[[#This Row],[Custom Category]])</f>
        <v>64.209999999999994</v>
      </c>
      <c r="U314">
        <f ca="1">IF(COUNTIF(Budgets[Custom Category],Transactions[[#This Row],[Custom Category]])=0,Transactions[[#This Row],[6M AVG]],_xlfn.XLOOKUP(Transactions[[#This Row],[Custom Category]],Budgets[Custom Category],Budgets[Monthly],0,0))</f>
        <v>57.905000000000001</v>
      </c>
      <c r="V314">
        <f>IF(Transactions[[#This Row],[Month]]=Sel_Month,Transactions[[#This Row],[Amount]],0)</f>
        <v>0</v>
      </c>
    </row>
    <row r="315" spans="1:22" x14ac:dyDescent="0.25">
      <c r="A315" t="s">
        <v>61</v>
      </c>
      <c r="B315" t="s">
        <v>66</v>
      </c>
      <c r="C315">
        <v>15.59</v>
      </c>
      <c r="D315" t="s">
        <v>174</v>
      </c>
      <c r="E315" t="s">
        <v>268</v>
      </c>
      <c r="F315" t="s">
        <v>69</v>
      </c>
      <c r="H315" t="s">
        <v>176</v>
      </c>
      <c r="I315" t="s">
        <v>71</v>
      </c>
      <c r="J315" t="b">
        <v>0</v>
      </c>
      <c r="K315" t="s">
        <v>274</v>
      </c>
      <c r="L315" t="str">
        <f>_xlfn.XLOOKUP(Transactions[[#This Row],[Account ID]],Accounts[Plaid Account ID],Accounts[Name],"Not Found",0)</f>
        <v>RBC Staff Banking</v>
      </c>
      <c r="M315" t="str">
        <f>_xlfn.XLOOKUP(Transactions[[#This Row],[Account ID]],Accounts[Plaid Account ID],Accounts[Institution Name],"Not Found",0)</f>
        <v>RBC Royal Bank</v>
      </c>
      <c r="N315" t="str">
        <f>IF(Transactions[[#This Row],[Amount]]&lt;0,"credit","debit")</f>
        <v>debit</v>
      </c>
      <c r="O315" t="str" cm="1">
        <f t="array" ref="O31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1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45305</v>
      </c>
      <c r="Q315" s="3">
        <f>DATE(YEAR(Transactions[[#This Row],[Datetime]]),MONTH(Transactions[[#This Row],[Datetime]]),1)</f>
        <v>45292</v>
      </c>
      <c r="R315" t="b">
        <f ca="1">AND(Transactions[[#This Row],[Datetime]]&gt;=EDATE(MAX(Transactions[Datetime]),-6),Transactions[[#This Row],[Datetime]]&lt;=TODAY())</f>
        <v>1</v>
      </c>
      <c r="S315" s="6">
        <f ca="1">AVERAGEIFS(Transactions[Month''s Total],Transactions[Recent],TRUE,Transactions[Custom Category],Transactions[[#This Row],[Custom Category]])</f>
        <v>14532.989714285719</v>
      </c>
      <c r="T315">
        <f>SUMIFS(Transactions[Amount],Transactions[Month],Transactions[[#This Row],[Month]],Transactions[Custom Category],Transactions[[#This Row],[Custom Category]])</f>
        <v>-710.66000000000008</v>
      </c>
      <c r="U31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15">
        <f>IF(Transactions[[#This Row],[Month]]=Sel_Month,Transactions[[#This Row],[Amount]],0)</f>
        <v>0</v>
      </c>
    </row>
    <row r="316" spans="1:22" x14ac:dyDescent="0.25">
      <c r="A316" t="s">
        <v>61</v>
      </c>
      <c r="B316" t="s">
        <v>66</v>
      </c>
      <c r="C316">
        <v>-244</v>
      </c>
      <c r="D316" t="s">
        <v>275</v>
      </c>
      <c r="E316" t="s">
        <v>268</v>
      </c>
      <c r="F316" t="s">
        <v>69</v>
      </c>
      <c r="H316" t="s">
        <v>276</v>
      </c>
      <c r="I316" t="s">
        <v>71</v>
      </c>
      <c r="J316" t="b">
        <v>0</v>
      </c>
      <c r="K316" t="s">
        <v>277</v>
      </c>
      <c r="L316" t="str">
        <f>_xlfn.XLOOKUP(Transactions[[#This Row],[Account ID]],Accounts[Plaid Account ID],Accounts[Name],"Not Found",0)</f>
        <v>RBC Staff Banking</v>
      </c>
      <c r="M316" t="str">
        <f>_xlfn.XLOOKUP(Transactions[[#This Row],[Account ID]],Accounts[Plaid Account ID],Accounts[Institution Name],"Not Found",0)</f>
        <v>RBC Royal Bank</v>
      </c>
      <c r="N316" t="str">
        <f>IF(Transactions[[#This Row],[Amount]]&lt;0,"credit","debit")</f>
        <v>credit</v>
      </c>
      <c r="O316" t="str" cm="1">
        <f t="array" ref="O31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Payroll, Benefits</v>
      </c>
      <c r="P31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45305</v>
      </c>
      <c r="Q316" s="3">
        <f>DATE(YEAR(Transactions[[#This Row],[Datetime]]),MONTH(Transactions[[#This Row],[Datetime]]),1)</f>
        <v>45292</v>
      </c>
      <c r="R316" t="b">
        <f ca="1">AND(Transactions[[#This Row],[Datetime]]&gt;=EDATE(MAX(Transactions[Datetime]),-6),Transactions[[#This Row],[Datetime]]&lt;=TODAY())</f>
        <v>1</v>
      </c>
      <c r="S316" s="6">
        <f ca="1">AVERAGEIFS(Transactions[Month''s Total],Transactions[Recent],TRUE,Transactions[Custom Category],Transactions[[#This Row],[Custom Category]])</f>
        <v>-244</v>
      </c>
      <c r="T316">
        <f>SUMIFS(Transactions[Amount],Transactions[Month],Transactions[[#This Row],[Month]],Transactions[Custom Category],Transactions[[#This Row],[Custom Category]])</f>
        <v>-244</v>
      </c>
      <c r="U316">
        <f ca="1">IF(COUNTIF(Budgets[Custom Category],Transactions[[#This Row],[Custom Category]])=0,Transactions[[#This Row],[6M AVG]],_xlfn.XLOOKUP(Transactions[[#This Row],[Custom Category]],Budgets[Custom Category],Budgets[Monthly],0,0))</f>
        <v>-244</v>
      </c>
      <c r="V316">
        <f>IF(Transactions[[#This Row],[Month]]=Sel_Month,Transactions[[#This Row],[Amount]],0)</f>
        <v>0</v>
      </c>
    </row>
    <row r="317" spans="1:22" x14ac:dyDescent="0.25">
      <c r="A317" t="s">
        <v>61</v>
      </c>
      <c r="B317" t="s">
        <v>66</v>
      </c>
      <c r="C317">
        <v>-673.75</v>
      </c>
      <c r="D317" t="s">
        <v>149</v>
      </c>
      <c r="E317" t="s">
        <v>263</v>
      </c>
      <c r="F317" t="s">
        <v>69</v>
      </c>
      <c r="H317" t="s">
        <v>264</v>
      </c>
      <c r="I317" t="s">
        <v>71</v>
      </c>
      <c r="J317" t="b">
        <v>0</v>
      </c>
      <c r="K317" t="s">
        <v>265</v>
      </c>
      <c r="L317" t="str">
        <f>_xlfn.XLOOKUP(Transactions[[#This Row],[Account ID]],Accounts[Plaid Account ID],Accounts[Name],"Not Found",0)</f>
        <v>RBC Staff Banking</v>
      </c>
      <c r="M317" t="str">
        <f>_xlfn.XLOOKUP(Transactions[[#This Row],[Account ID]],Accounts[Plaid Account ID],Accounts[Institution Name],"Not Found",0)</f>
        <v>RBC Royal Bank</v>
      </c>
      <c r="N317" t="str">
        <f>IF(Transactions[[#This Row],[Amount]]&lt;0,"credit","debit")</f>
        <v>credit</v>
      </c>
      <c r="O317" t="str" cm="1">
        <f t="array" ref="O31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1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45306</v>
      </c>
      <c r="Q317" s="3">
        <f>DATE(YEAR(Transactions[[#This Row],[Datetime]]),MONTH(Transactions[[#This Row],[Datetime]]),1)</f>
        <v>45292</v>
      </c>
      <c r="R317" t="b">
        <f ca="1">AND(Transactions[[#This Row],[Datetime]]&gt;=EDATE(MAX(Transactions[Datetime]),-6),Transactions[[#This Row],[Datetime]]&lt;=TODAY())</f>
        <v>1</v>
      </c>
      <c r="S317" s="6">
        <f ca="1">AVERAGEIFS(Transactions[Month''s Total],Transactions[Recent],TRUE,Transactions[Custom Category],Transactions[[#This Row],[Custom Category]])</f>
        <v>-18125.097037037034</v>
      </c>
      <c r="T317">
        <f>SUMIFS(Transactions[Amount],Transactions[Month],Transactions[[#This Row],[Month]],Transactions[Custom Category],Transactions[[#This Row],[Custom Category]])</f>
        <v>-10673.75</v>
      </c>
      <c r="U31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17">
        <f>IF(Transactions[[#This Row],[Month]]=Sel_Month,Transactions[[#This Row],[Amount]],0)</f>
        <v>0</v>
      </c>
    </row>
    <row r="318" spans="1:22" x14ac:dyDescent="0.25">
      <c r="A318" t="s">
        <v>61</v>
      </c>
      <c r="B318" t="s">
        <v>66</v>
      </c>
      <c r="C318">
        <v>673.75</v>
      </c>
      <c r="D318" t="s">
        <v>67</v>
      </c>
      <c r="E318" t="s">
        <v>263</v>
      </c>
      <c r="F318" t="s">
        <v>69</v>
      </c>
      <c r="H318" t="s">
        <v>266</v>
      </c>
      <c r="I318" t="s">
        <v>71</v>
      </c>
      <c r="J318" t="b">
        <v>0</v>
      </c>
      <c r="K318" t="s">
        <v>267</v>
      </c>
      <c r="L318" t="str">
        <f>_xlfn.XLOOKUP(Transactions[[#This Row],[Account ID]],Accounts[Plaid Account ID],Accounts[Name],"Not Found",0)</f>
        <v>RBC Staff Banking</v>
      </c>
      <c r="M318" t="str">
        <f>_xlfn.XLOOKUP(Transactions[[#This Row],[Account ID]],Accounts[Plaid Account ID],Accounts[Institution Name],"Not Found",0)</f>
        <v>RBC Royal Bank</v>
      </c>
      <c r="N318" t="str">
        <f>IF(Transactions[[#This Row],[Amount]]&lt;0,"credit","debit")</f>
        <v>debit</v>
      </c>
      <c r="O318" t="str" cm="1">
        <f t="array" ref="O31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1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45306</v>
      </c>
      <c r="Q318" s="3">
        <f>DATE(YEAR(Transactions[[#This Row],[Datetime]]),MONTH(Transactions[[#This Row],[Datetime]]),1)</f>
        <v>45292</v>
      </c>
      <c r="R318" t="b">
        <f ca="1">AND(Transactions[[#This Row],[Datetime]]&gt;=EDATE(MAX(Transactions[Datetime]),-6),Transactions[[#This Row],[Datetime]]&lt;=TODAY())</f>
        <v>1</v>
      </c>
      <c r="S318" s="6">
        <f ca="1">AVERAGEIFS(Transactions[Month''s Total],Transactions[Recent],TRUE,Transactions[Custom Category],Transactions[[#This Row],[Custom Category]])</f>
        <v>14532.989714285719</v>
      </c>
      <c r="T318">
        <f>SUMIFS(Transactions[Amount],Transactions[Month],Transactions[[#This Row],[Month]],Transactions[Custom Category],Transactions[[#This Row],[Custom Category]])</f>
        <v>-710.66000000000008</v>
      </c>
      <c r="U31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18">
        <f>IF(Transactions[[#This Row],[Month]]=Sel_Month,Transactions[[#This Row],[Amount]],0)</f>
        <v>0</v>
      </c>
    </row>
    <row r="319" spans="1:22" x14ac:dyDescent="0.25">
      <c r="A319" t="s">
        <v>61</v>
      </c>
      <c r="B319" t="s">
        <v>66</v>
      </c>
      <c r="C319">
        <v>-5000</v>
      </c>
      <c r="D319" t="s">
        <v>99</v>
      </c>
      <c r="E319" t="s">
        <v>259</v>
      </c>
      <c r="F319" t="s">
        <v>69</v>
      </c>
      <c r="H319" t="s">
        <v>260</v>
      </c>
      <c r="I319" t="s">
        <v>71</v>
      </c>
      <c r="J319" t="b">
        <v>0</v>
      </c>
      <c r="K319" t="s">
        <v>261</v>
      </c>
      <c r="L319" t="str">
        <f>_xlfn.XLOOKUP(Transactions[[#This Row],[Account ID]],Accounts[Plaid Account ID],Accounts[Name],"Not Found",0)</f>
        <v>RBC Staff Banking</v>
      </c>
      <c r="M319" t="str">
        <f>_xlfn.XLOOKUP(Transactions[[#This Row],[Account ID]],Accounts[Plaid Account ID],Accounts[Institution Name],"Not Found",0)</f>
        <v>RBC Royal Bank</v>
      </c>
      <c r="N319" t="str">
        <f>IF(Transactions[[#This Row],[Amount]]&lt;0,"credit","debit")</f>
        <v>credit</v>
      </c>
      <c r="O319" t="str" cm="1">
        <f t="array" ref="O31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1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45307</v>
      </c>
      <c r="Q319" s="3">
        <f>DATE(YEAR(Transactions[[#This Row],[Datetime]]),MONTH(Transactions[[#This Row],[Datetime]]),1)</f>
        <v>45292</v>
      </c>
      <c r="R319" t="b">
        <f ca="1">AND(Transactions[[#This Row],[Datetime]]&gt;=EDATE(MAX(Transactions[Datetime]),-6),Transactions[[#This Row],[Datetime]]&lt;=TODAY())</f>
        <v>1</v>
      </c>
      <c r="S319" s="6">
        <f ca="1">AVERAGEIFS(Transactions[Month''s Total],Transactions[Recent],TRUE,Transactions[Custom Category],Transactions[[#This Row],[Custom Category]])</f>
        <v>-18125.097037037034</v>
      </c>
      <c r="T319">
        <f>SUMIFS(Transactions[Amount],Transactions[Month],Transactions[[#This Row],[Month]],Transactions[Custom Category],Transactions[[#This Row],[Custom Category]])</f>
        <v>-10673.75</v>
      </c>
      <c r="U319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19">
        <f>IF(Transactions[[#This Row],[Month]]=Sel_Month,Transactions[[#This Row],[Amount]],0)</f>
        <v>0</v>
      </c>
    </row>
    <row r="320" spans="1:22" x14ac:dyDescent="0.25">
      <c r="A320" t="s">
        <v>61</v>
      </c>
      <c r="B320" t="s">
        <v>66</v>
      </c>
      <c r="C320">
        <v>0.24</v>
      </c>
      <c r="D320" t="s">
        <v>95</v>
      </c>
      <c r="E320" t="s">
        <v>259</v>
      </c>
      <c r="F320" t="s">
        <v>69</v>
      </c>
      <c r="H320" t="s">
        <v>118</v>
      </c>
      <c r="I320" t="s">
        <v>71</v>
      </c>
      <c r="J320" t="b">
        <v>0</v>
      </c>
      <c r="K320" t="s">
        <v>262</v>
      </c>
      <c r="L320" t="str">
        <f>_xlfn.XLOOKUP(Transactions[[#This Row],[Account ID]],Accounts[Plaid Account ID],Accounts[Name],"Not Found",0)</f>
        <v>RBC Staff Banking</v>
      </c>
      <c r="M320" t="str">
        <f>_xlfn.XLOOKUP(Transactions[[#This Row],[Account ID]],Accounts[Plaid Account ID],Accounts[Institution Name],"Not Found",0)</f>
        <v>RBC Royal Bank</v>
      </c>
      <c r="N320" t="str">
        <f>IF(Transactions[[#This Row],[Amount]]&lt;0,"credit","debit")</f>
        <v>debit</v>
      </c>
      <c r="O320" t="str" cm="1">
        <f t="array" ref="O32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32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45307</v>
      </c>
      <c r="Q320" s="3">
        <f>DATE(YEAR(Transactions[[#This Row],[Datetime]]),MONTH(Transactions[[#This Row],[Datetime]]),1)</f>
        <v>45292</v>
      </c>
      <c r="R320" t="b">
        <f ca="1">AND(Transactions[[#This Row],[Datetime]]&gt;=EDATE(MAX(Transactions[Datetime]),-6),Transactions[[#This Row],[Datetime]]&lt;=TODAY())</f>
        <v>1</v>
      </c>
      <c r="S320" s="6">
        <f ca="1">AVERAGEIFS(Transactions[Month''s Total],Transactions[Recent],TRUE,Transactions[Custom Category],Transactions[[#This Row],[Custom Category]])</f>
        <v>2.5077777777777777</v>
      </c>
      <c r="T320">
        <f>SUMIFS(Transactions[Amount],Transactions[Month],Transactions[[#This Row],[Month]],Transactions[Custom Category],Transactions[[#This Row],[Custom Category]])</f>
        <v>0.24</v>
      </c>
      <c r="U320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320">
        <f>IF(Transactions[[#This Row],[Month]]=Sel_Month,Transactions[[#This Row],[Amount]],0)</f>
        <v>0</v>
      </c>
    </row>
    <row r="321" spans="1:22" x14ac:dyDescent="0.25">
      <c r="A321" t="s">
        <v>61</v>
      </c>
      <c r="B321" t="s">
        <v>66</v>
      </c>
      <c r="C321">
        <v>8.1</v>
      </c>
      <c r="D321" t="s">
        <v>129</v>
      </c>
      <c r="E321" t="s">
        <v>257</v>
      </c>
      <c r="F321" t="s">
        <v>69</v>
      </c>
      <c r="G321" t="s">
        <v>130</v>
      </c>
      <c r="H321" t="s">
        <v>131</v>
      </c>
      <c r="I321" t="s">
        <v>132</v>
      </c>
      <c r="J321" t="b">
        <v>0</v>
      </c>
      <c r="K321" t="s">
        <v>258</v>
      </c>
      <c r="L321" t="str">
        <f>_xlfn.XLOOKUP(Transactions[[#This Row],[Account ID]],Accounts[Plaid Account ID],Accounts[Name],"Not Found",0)</f>
        <v>RBC Staff Banking</v>
      </c>
      <c r="M321" t="str">
        <f>_xlfn.XLOOKUP(Transactions[[#This Row],[Account ID]],Accounts[Plaid Account ID],Accounts[Institution Name],"Not Found",0)</f>
        <v>RBC Royal Bank</v>
      </c>
      <c r="N321" t="str">
        <f>IF(Transactions[[#This Row],[Amount]]&lt;0,"credit","debit")</f>
        <v>debit</v>
      </c>
      <c r="O321" t="str" cm="1">
        <f t="array" ref="O32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Insurance,Home</v>
      </c>
      <c r="P32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45308</v>
      </c>
      <c r="Q321" s="3">
        <f>DATE(YEAR(Transactions[[#This Row],[Datetime]]),MONTH(Transactions[[#This Row],[Datetime]]),1)</f>
        <v>45292</v>
      </c>
      <c r="R321" t="b">
        <f ca="1">AND(Transactions[[#This Row],[Datetime]]&gt;=EDATE(MAX(Transactions[Datetime]),-6),Transactions[[#This Row],[Datetime]]&lt;=TODAY())</f>
        <v>1</v>
      </c>
      <c r="S321" s="6">
        <f ca="1">AVERAGEIFS(Transactions[Month''s Total],Transactions[Recent],TRUE,Transactions[Custom Category],Transactions[[#This Row],[Custom Category]])</f>
        <v>57.905000000000001</v>
      </c>
      <c r="T321">
        <f>SUMIFS(Transactions[Amount],Transactions[Month],Transactions[[#This Row],[Month]],Transactions[Custom Category],Transactions[[#This Row],[Custom Category]])</f>
        <v>64.209999999999994</v>
      </c>
      <c r="U321">
        <f ca="1">IF(COUNTIF(Budgets[Custom Category],Transactions[[#This Row],[Custom Category]])=0,Transactions[[#This Row],[6M AVG]],_xlfn.XLOOKUP(Transactions[[#This Row],[Custom Category]],Budgets[Custom Category],Budgets[Monthly],0,0))</f>
        <v>57.905000000000001</v>
      </c>
      <c r="V321">
        <f>IF(Transactions[[#This Row],[Month]]=Sel_Month,Transactions[[#This Row],[Amount]],0)</f>
        <v>0</v>
      </c>
    </row>
    <row r="322" spans="1:22" x14ac:dyDescent="0.25">
      <c r="A322" t="s">
        <v>61</v>
      </c>
      <c r="B322" t="s">
        <v>66</v>
      </c>
      <c r="C322">
        <v>324.55</v>
      </c>
      <c r="D322" t="s">
        <v>134</v>
      </c>
      <c r="E322" t="s">
        <v>255</v>
      </c>
      <c r="F322" t="s">
        <v>69</v>
      </c>
      <c r="G322" t="s">
        <v>135</v>
      </c>
      <c r="H322" t="s">
        <v>136</v>
      </c>
      <c r="I322" t="s">
        <v>132</v>
      </c>
      <c r="J322" t="b">
        <v>0</v>
      </c>
      <c r="K322" t="s">
        <v>256</v>
      </c>
      <c r="L322" t="str">
        <f>_xlfn.XLOOKUP(Transactions[[#This Row],[Account ID]],Accounts[Plaid Account ID],Accounts[Name],"Not Found",0)</f>
        <v>RBC Staff Banking</v>
      </c>
      <c r="M322" t="str">
        <f>_xlfn.XLOOKUP(Transactions[[#This Row],[Account ID]],Accounts[Plaid Account ID],Accounts[Institution Name],"Not Found",0)</f>
        <v>RBC Royal Bank</v>
      </c>
      <c r="N322" t="str">
        <f>IF(Transactions[[#This Row],[Amount]]&lt;0,"credit","debit")</f>
        <v>debit</v>
      </c>
      <c r="O322" t="str" cm="1">
        <f t="array" ref="O32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32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45309</v>
      </c>
      <c r="Q322" s="3">
        <f>DATE(YEAR(Transactions[[#This Row],[Datetime]]),MONTH(Transactions[[#This Row],[Datetime]]),1)</f>
        <v>45292</v>
      </c>
      <c r="R322" t="b">
        <f ca="1">AND(Transactions[[#This Row],[Datetime]]&gt;=EDATE(MAX(Transactions[Datetime]),-6),Transactions[[#This Row],[Datetime]]&lt;=TODAY())</f>
        <v>1</v>
      </c>
      <c r="S322" s="6">
        <f ca="1">AVERAGEIFS(Transactions[Month''s Total],Transactions[Recent],TRUE,Transactions[Custom Category],Transactions[[#This Row],[Custom Category]])</f>
        <v>624.12818181818193</v>
      </c>
      <c r="T322">
        <f>SUMIFS(Transactions[Amount],Transactions[Month],Transactions[[#This Row],[Month]],Transactions[Custom Category],Transactions[[#This Row],[Custom Category]])</f>
        <v>324.55</v>
      </c>
      <c r="U322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322">
        <f>IF(Transactions[[#This Row],[Month]]=Sel_Month,Transactions[[#This Row],[Amount]],0)</f>
        <v>0</v>
      </c>
    </row>
    <row r="323" spans="1:22" x14ac:dyDescent="0.25">
      <c r="A323" t="s">
        <v>61</v>
      </c>
      <c r="B323" t="s">
        <v>66</v>
      </c>
      <c r="C323">
        <v>300</v>
      </c>
      <c r="D323" t="s">
        <v>67</v>
      </c>
      <c r="E323" t="s">
        <v>252</v>
      </c>
      <c r="F323" t="s">
        <v>69</v>
      </c>
      <c r="H323" t="s">
        <v>253</v>
      </c>
      <c r="I323" t="s">
        <v>71</v>
      </c>
      <c r="J323" t="b">
        <v>0</v>
      </c>
      <c r="K323" t="s">
        <v>254</v>
      </c>
      <c r="L323" t="str">
        <f>_xlfn.XLOOKUP(Transactions[[#This Row],[Account ID]],Accounts[Plaid Account ID],Accounts[Name],"Not Found",0)</f>
        <v>RBC Staff Banking</v>
      </c>
      <c r="M323" t="str">
        <f>_xlfn.XLOOKUP(Transactions[[#This Row],[Account ID]],Accounts[Plaid Account ID],Accounts[Institution Name],"Not Found",0)</f>
        <v>RBC Royal Bank</v>
      </c>
      <c r="N323" t="str">
        <f>IF(Transactions[[#This Row],[Amount]]&lt;0,"credit","debit")</f>
        <v>debit</v>
      </c>
      <c r="O323" t="str" cm="1">
        <f t="array" ref="O32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2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45313</v>
      </c>
      <c r="Q323" s="3">
        <f>DATE(YEAR(Transactions[[#This Row],[Datetime]]),MONTH(Transactions[[#This Row],[Datetime]]),1)</f>
        <v>45292</v>
      </c>
      <c r="R323" t="b">
        <f ca="1">AND(Transactions[[#This Row],[Datetime]]&gt;=EDATE(MAX(Transactions[Datetime]),-6),Transactions[[#This Row],[Datetime]]&lt;=TODAY())</f>
        <v>1</v>
      </c>
      <c r="S323" s="6">
        <f ca="1">AVERAGEIFS(Transactions[Month''s Total],Transactions[Recent],TRUE,Transactions[Custom Category],Transactions[[#This Row],[Custom Category]])</f>
        <v>14532.989714285719</v>
      </c>
      <c r="T323">
        <f>SUMIFS(Transactions[Amount],Transactions[Month],Transactions[[#This Row],[Month]],Transactions[Custom Category],Transactions[[#This Row],[Custom Category]])</f>
        <v>-710.66000000000008</v>
      </c>
      <c r="U32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23">
        <f>IF(Transactions[[#This Row],[Month]]=Sel_Month,Transactions[[#This Row],[Amount]],0)</f>
        <v>0</v>
      </c>
    </row>
    <row r="324" spans="1:22" x14ac:dyDescent="0.25">
      <c r="A324" t="s">
        <v>61</v>
      </c>
      <c r="B324" t="s">
        <v>66</v>
      </c>
      <c r="C324">
        <v>-1273</v>
      </c>
      <c r="D324" t="s">
        <v>99</v>
      </c>
      <c r="E324" t="s">
        <v>249</v>
      </c>
      <c r="F324" t="s">
        <v>69</v>
      </c>
      <c r="H324" t="s">
        <v>250</v>
      </c>
      <c r="I324" t="s">
        <v>71</v>
      </c>
      <c r="J324" t="b">
        <v>0</v>
      </c>
      <c r="K324" t="s">
        <v>251</v>
      </c>
      <c r="L324" t="str">
        <f>_xlfn.XLOOKUP(Transactions[[#This Row],[Account ID]],Accounts[Plaid Account ID],Accounts[Name],"Not Found",0)</f>
        <v>RBC Staff Banking</v>
      </c>
      <c r="M324" t="str">
        <f>_xlfn.XLOOKUP(Transactions[[#This Row],[Account ID]],Accounts[Plaid Account ID],Accounts[Institution Name],"Not Found",0)</f>
        <v>RBC Royal Bank</v>
      </c>
      <c r="N324" t="str">
        <f>IF(Transactions[[#This Row],[Amount]]&lt;0,"credit","debit")</f>
        <v>credit</v>
      </c>
      <c r="O324" t="str" cm="1">
        <f t="array" ref="O32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32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45319</v>
      </c>
      <c r="Q324" s="3">
        <f>DATE(YEAR(Transactions[[#This Row],[Datetime]]),MONTH(Transactions[[#This Row],[Datetime]]),1)</f>
        <v>45292</v>
      </c>
      <c r="R324" t="b">
        <f ca="1">AND(Transactions[[#This Row],[Datetime]]&gt;=EDATE(MAX(Transactions[Datetime]),-6),Transactions[[#This Row],[Datetime]]&lt;=TODAY())</f>
        <v>1</v>
      </c>
      <c r="S324" s="6">
        <f ca="1">AVERAGEIFS(Transactions[Month''s Total],Transactions[Recent],TRUE,Transactions[Custom Category],Transactions[[#This Row],[Custom Category]])</f>
        <v>-3209.0714285714284</v>
      </c>
      <c r="T324">
        <f>SUMIFS(Transactions[Amount],Transactions[Month],Transactions[[#This Row],[Month]],Transactions[Custom Category],Transactions[[#This Row],[Custom Category]])</f>
        <v>-4473</v>
      </c>
      <c r="U324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324">
        <f>IF(Transactions[[#This Row],[Month]]=Sel_Month,Transactions[[#This Row],[Amount]],0)</f>
        <v>0</v>
      </c>
    </row>
    <row r="325" spans="1:22" x14ac:dyDescent="0.25">
      <c r="A325" t="s">
        <v>61</v>
      </c>
      <c r="B325" t="s">
        <v>66</v>
      </c>
      <c r="C325">
        <v>3600</v>
      </c>
      <c r="D325" t="s">
        <v>67</v>
      </c>
      <c r="E325" t="s">
        <v>237</v>
      </c>
      <c r="F325" t="s">
        <v>69</v>
      </c>
      <c r="H325" t="s">
        <v>238</v>
      </c>
      <c r="I325" t="s">
        <v>71</v>
      </c>
      <c r="J325" t="b">
        <v>0</v>
      </c>
      <c r="K325" t="s">
        <v>239</v>
      </c>
      <c r="L325" t="str">
        <f>_xlfn.XLOOKUP(Transactions[[#This Row],[Account ID]],Accounts[Plaid Account ID],Accounts[Name],"Not Found",0)</f>
        <v>RBC Staff Banking</v>
      </c>
      <c r="M325" t="str">
        <f>_xlfn.XLOOKUP(Transactions[[#This Row],[Account ID]],Accounts[Plaid Account ID],Accounts[Institution Name],"Not Found",0)</f>
        <v>RBC Royal Bank</v>
      </c>
      <c r="N325" t="str">
        <f>IF(Transactions[[#This Row],[Amount]]&lt;0,"credit","debit")</f>
        <v>debit</v>
      </c>
      <c r="O325" t="str" cm="1">
        <f t="array" ref="O32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Rent</v>
      </c>
      <c r="P32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45322</v>
      </c>
      <c r="Q325" s="3">
        <f>DATE(YEAR(Transactions[[#This Row],[Datetime]]),MONTH(Transactions[[#This Row],[Datetime]]),1)</f>
        <v>45292</v>
      </c>
      <c r="R325" t="b">
        <f ca="1">AND(Transactions[[#This Row],[Datetime]]&gt;=EDATE(MAX(Transactions[Datetime]),-6),Transactions[[#This Row],[Datetime]]&lt;=TODAY())</f>
        <v>1</v>
      </c>
      <c r="S325" s="6">
        <f ca="1">AVERAGEIFS(Transactions[Month''s Total],Transactions[Recent],TRUE,Transactions[Custom Category],Transactions[[#This Row],[Custom Category]])</f>
        <v>5076</v>
      </c>
      <c r="T325">
        <f>SUMIFS(Transactions[Amount],Transactions[Month],Transactions[[#This Row],[Month]],Transactions[Custom Category],Transactions[[#This Row],[Custom Category]])</f>
        <v>7200</v>
      </c>
      <c r="U325">
        <f ca="1">IF(COUNTIF(Budgets[Custom Category],Transactions[[#This Row],[Custom Category]])=0,Transactions[[#This Row],[6M AVG]],_xlfn.XLOOKUP(Transactions[[#This Row],[Custom Category]],Budgets[Custom Category],Budgets[Monthly],0,0))</f>
        <v>5076</v>
      </c>
      <c r="V325">
        <f>IF(Transactions[[#This Row],[Month]]=Sel_Month,Transactions[[#This Row],[Amount]],0)</f>
        <v>0</v>
      </c>
    </row>
    <row r="326" spans="1:22" x14ac:dyDescent="0.25">
      <c r="A326" t="s">
        <v>61</v>
      </c>
      <c r="B326" t="s">
        <v>66</v>
      </c>
      <c r="C326">
        <v>-1000</v>
      </c>
      <c r="D326" t="s">
        <v>99</v>
      </c>
      <c r="E326" t="s">
        <v>237</v>
      </c>
      <c r="F326" t="s">
        <v>69</v>
      </c>
      <c r="H326" t="s">
        <v>240</v>
      </c>
      <c r="I326" t="s">
        <v>71</v>
      </c>
      <c r="J326" t="b">
        <v>0</v>
      </c>
      <c r="K326" t="s">
        <v>241</v>
      </c>
      <c r="L326" t="str">
        <f>_xlfn.XLOOKUP(Transactions[[#This Row],[Account ID]],Accounts[Plaid Account ID],Accounts[Name],"Not Found",0)</f>
        <v>RBC Staff Banking</v>
      </c>
      <c r="M326" t="str">
        <f>_xlfn.XLOOKUP(Transactions[[#This Row],[Account ID]],Accounts[Plaid Account ID],Accounts[Institution Name],"Not Found",0)</f>
        <v>RBC Royal Bank</v>
      </c>
      <c r="N326" t="str">
        <f>IF(Transactions[[#This Row],[Amount]]&lt;0,"credit","debit")</f>
        <v>credit</v>
      </c>
      <c r="O326" t="str" cm="1">
        <f t="array" ref="O32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32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45322</v>
      </c>
      <c r="Q326" s="3">
        <f>DATE(YEAR(Transactions[[#This Row],[Datetime]]),MONTH(Transactions[[#This Row],[Datetime]]),1)</f>
        <v>45292</v>
      </c>
      <c r="R326" t="b">
        <f ca="1">AND(Transactions[[#This Row],[Datetime]]&gt;=EDATE(MAX(Transactions[Datetime]),-6),Transactions[[#This Row],[Datetime]]&lt;=TODAY())</f>
        <v>1</v>
      </c>
      <c r="S326" s="6">
        <f ca="1">AVERAGEIFS(Transactions[Month''s Total],Transactions[Recent],TRUE,Transactions[Custom Category],Transactions[[#This Row],[Custom Category]])</f>
        <v>-3209.0714285714284</v>
      </c>
      <c r="T326">
        <f>SUMIFS(Transactions[Amount],Transactions[Month],Transactions[[#This Row],[Month]],Transactions[Custom Category],Transactions[[#This Row],[Custom Category]])</f>
        <v>-4473</v>
      </c>
      <c r="U326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326">
        <f>IF(Transactions[[#This Row],[Month]]=Sel_Month,Transactions[[#This Row],[Amount]],0)</f>
        <v>0</v>
      </c>
    </row>
    <row r="327" spans="1:22" x14ac:dyDescent="0.25">
      <c r="A327" t="s">
        <v>61</v>
      </c>
      <c r="B327" t="s">
        <v>66</v>
      </c>
      <c r="C327">
        <v>-5000</v>
      </c>
      <c r="D327" t="s">
        <v>99</v>
      </c>
      <c r="E327" t="s">
        <v>237</v>
      </c>
      <c r="F327" t="s">
        <v>69</v>
      </c>
      <c r="H327" t="s">
        <v>242</v>
      </c>
      <c r="I327" t="s">
        <v>71</v>
      </c>
      <c r="J327" t="b">
        <v>0</v>
      </c>
      <c r="K327" t="s">
        <v>243</v>
      </c>
      <c r="L327" t="str">
        <f>_xlfn.XLOOKUP(Transactions[[#This Row],[Account ID]],Accounts[Plaid Account ID],Accounts[Name],"Not Found",0)</f>
        <v>RBC Staff Banking</v>
      </c>
      <c r="M327" t="str">
        <f>_xlfn.XLOOKUP(Transactions[[#This Row],[Account ID]],Accounts[Plaid Account ID],Accounts[Institution Name],"Not Found",0)</f>
        <v>RBC Royal Bank</v>
      </c>
      <c r="N327" t="str">
        <f>IF(Transactions[[#This Row],[Amount]]&lt;0,"credit","debit")</f>
        <v>credit</v>
      </c>
      <c r="O327" t="str" cm="1">
        <f t="array" ref="O32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2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45322</v>
      </c>
      <c r="Q327" s="3">
        <f>DATE(YEAR(Transactions[[#This Row],[Datetime]]),MONTH(Transactions[[#This Row],[Datetime]]),1)</f>
        <v>45292</v>
      </c>
      <c r="R327" t="b">
        <f ca="1">AND(Transactions[[#This Row],[Datetime]]&gt;=EDATE(MAX(Transactions[Datetime]),-6),Transactions[[#This Row],[Datetime]]&lt;=TODAY())</f>
        <v>1</v>
      </c>
      <c r="S327" s="6">
        <f ca="1">AVERAGEIFS(Transactions[Month''s Total],Transactions[Recent],TRUE,Transactions[Custom Category],Transactions[[#This Row],[Custom Category]])</f>
        <v>-18125.097037037034</v>
      </c>
      <c r="T327">
        <f>SUMIFS(Transactions[Amount],Transactions[Month],Transactions[[#This Row],[Month]],Transactions[Custom Category],Transactions[[#This Row],[Custom Category]])</f>
        <v>-10673.75</v>
      </c>
      <c r="U32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27">
        <f>IF(Transactions[[#This Row],[Month]]=Sel_Month,Transactions[[#This Row],[Amount]],0)</f>
        <v>0</v>
      </c>
    </row>
    <row r="328" spans="1:22" x14ac:dyDescent="0.25">
      <c r="A328" t="s">
        <v>61</v>
      </c>
      <c r="B328" t="s">
        <v>66</v>
      </c>
      <c r="C328">
        <v>3040.93</v>
      </c>
      <c r="D328" t="s">
        <v>67</v>
      </c>
      <c r="E328" t="s">
        <v>237</v>
      </c>
      <c r="F328" t="s">
        <v>69</v>
      </c>
      <c r="H328" t="s">
        <v>244</v>
      </c>
      <c r="I328" t="s">
        <v>71</v>
      </c>
      <c r="J328" t="b">
        <v>0</v>
      </c>
      <c r="K328" t="s">
        <v>245</v>
      </c>
      <c r="L328" t="str">
        <f>_xlfn.XLOOKUP(Transactions[[#This Row],[Account ID]],Accounts[Plaid Account ID],Accounts[Name],"Not Found",0)</f>
        <v>RBC Staff Banking</v>
      </c>
      <c r="M328" t="str">
        <f>_xlfn.XLOOKUP(Transactions[[#This Row],[Account ID]],Accounts[Plaid Account ID],Accounts[Institution Name],"Not Found",0)</f>
        <v>RBC Royal Bank</v>
      </c>
      <c r="N328" t="str">
        <f>IF(Transactions[[#This Row],[Amount]]&lt;0,"credit","debit")</f>
        <v>debit</v>
      </c>
      <c r="O328" t="str" cm="1">
        <f t="array" ref="O32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2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45322</v>
      </c>
      <c r="Q328" s="3">
        <f>DATE(YEAR(Transactions[[#This Row],[Datetime]]),MONTH(Transactions[[#This Row],[Datetime]]),1)</f>
        <v>45292</v>
      </c>
      <c r="R328" t="b">
        <f ca="1">AND(Transactions[[#This Row],[Datetime]]&gt;=EDATE(MAX(Transactions[Datetime]),-6),Transactions[[#This Row],[Datetime]]&lt;=TODAY())</f>
        <v>1</v>
      </c>
      <c r="S328" s="6">
        <f ca="1">AVERAGEIFS(Transactions[Month''s Total],Transactions[Recent],TRUE,Transactions[Custom Category],Transactions[[#This Row],[Custom Category]])</f>
        <v>12758.461333333335</v>
      </c>
      <c r="T328">
        <f>SUMIFS(Transactions[Amount],Transactions[Month],Transactions[[#This Row],[Month]],Transactions[Custom Category],Transactions[[#This Row],[Custom Category]])</f>
        <v>6127.52</v>
      </c>
      <c r="U328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28">
        <f>IF(Transactions[[#This Row],[Month]]=Sel_Month,Transactions[[#This Row],[Amount]],0)</f>
        <v>0</v>
      </c>
    </row>
    <row r="329" spans="1:22" x14ac:dyDescent="0.25">
      <c r="A329" t="s">
        <v>61</v>
      </c>
      <c r="B329" t="s">
        <v>66</v>
      </c>
      <c r="C329">
        <v>-0.01</v>
      </c>
      <c r="D329" t="s">
        <v>246</v>
      </c>
      <c r="E329" t="s">
        <v>237</v>
      </c>
      <c r="F329" t="s">
        <v>69</v>
      </c>
      <c r="H329" t="s">
        <v>247</v>
      </c>
      <c r="I329" t="s">
        <v>71</v>
      </c>
      <c r="J329" t="b">
        <v>0</v>
      </c>
      <c r="K329" t="s">
        <v>248</v>
      </c>
      <c r="L329" t="str">
        <f>_xlfn.XLOOKUP(Transactions[[#This Row],[Account ID]],Accounts[Plaid Account ID],Accounts[Name],"Not Found",0)</f>
        <v>RBC Staff Banking</v>
      </c>
      <c r="M329" t="str">
        <f>_xlfn.XLOOKUP(Transactions[[#This Row],[Account ID]],Accounts[Plaid Account ID],Accounts[Institution Name],"Not Found",0)</f>
        <v>RBC Royal Bank</v>
      </c>
      <c r="N329" t="str">
        <f>IF(Transactions[[#This Row],[Amount]]&lt;0,"credit","debit")</f>
        <v>credit</v>
      </c>
      <c r="O329" t="str" cm="1">
        <f t="array" ref="O32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Income,Interest</v>
      </c>
      <c r="P32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45322</v>
      </c>
      <c r="Q329" s="3">
        <f>DATE(YEAR(Transactions[[#This Row],[Datetime]]),MONTH(Transactions[[#This Row],[Datetime]]),1)</f>
        <v>45292</v>
      </c>
      <c r="R329" t="b">
        <f ca="1">AND(Transactions[[#This Row],[Datetime]]&gt;=EDATE(MAX(Transactions[Datetime]),-6),Transactions[[#This Row],[Datetime]]&lt;=TODAY())</f>
        <v>1</v>
      </c>
      <c r="S329" s="6">
        <f ca="1">AVERAGEIFS(Transactions[Month''s Total],Transactions[Recent],TRUE,Transactions[Custom Category],Transactions[[#This Row],[Custom Category]])</f>
        <v>-0.01</v>
      </c>
      <c r="T329">
        <f>SUMIFS(Transactions[Amount],Transactions[Month],Transactions[[#This Row],[Month]],Transactions[Custom Category],Transactions[[#This Row],[Custom Category]])</f>
        <v>-0.01</v>
      </c>
      <c r="U329">
        <f ca="1">IF(COUNTIF(Budgets[Custom Category],Transactions[[#This Row],[Custom Category]])=0,Transactions[[#This Row],[6M AVG]],_xlfn.XLOOKUP(Transactions[[#This Row],[Custom Category]],Budgets[Custom Category],Budgets[Monthly],0,0))</f>
        <v>-0.01</v>
      </c>
      <c r="V329">
        <f>IF(Transactions[[#This Row],[Month]]=Sel_Month,Transactions[[#This Row],[Amount]],0)</f>
        <v>0</v>
      </c>
    </row>
    <row r="330" spans="1:22" x14ac:dyDescent="0.25">
      <c r="A330" t="s">
        <v>61</v>
      </c>
      <c r="B330" t="s">
        <v>66</v>
      </c>
      <c r="C330">
        <v>324.55</v>
      </c>
      <c r="D330" t="s">
        <v>134</v>
      </c>
      <c r="E330" t="s">
        <v>235</v>
      </c>
      <c r="F330" t="s">
        <v>69</v>
      </c>
      <c r="G330" t="s">
        <v>135</v>
      </c>
      <c r="H330" t="s">
        <v>136</v>
      </c>
      <c r="I330" t="s">
        <v>132</v>
      </c>
      <c r="J330" t="b">
        <v>0</v>
      </c>
      <c r="K330" t="s">
        <v>236</v>
      </c>
      <c r="L330" t="str">
        <f>_xlfn.XLOOKUP(Transactions[[#This Row],[Account ID]],Accounts[Plaid Account ID],Accounts[Name],"Not Found",0)</f>
        <v>RBC Staff Banking</v>
      </c>
      <c r="M330" t="str">
        <f>_xlfn.XLOOKUP(Transactions[[#This Row],[Account ID]],Accounts[Plaid Account ID],Accounts[Institution Name],"Not Found",0)</f>
        <v>RBC Royal Bank</v>
      </c>
      <c r="N330" t="str">
        <f>IF(Transactions[[#This Row],[Amount]]&lt;0,"credit","debit")</f>
        <v>debit</v>
      </c>
      <c r="O330" t="str" cm="1">
        <f t="array" ref="O33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33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45323</v>
      </c>
      <c r="Q330" s="3">
        <f>DATE(YEAR(Transactions[[#This Row],[Datetime]]),MONTH(Transactions[[#This Row],[Datetime]]),1)</f>
        <v>45323</v>
      </c>
      <c r="R330" t="b">
        <f ca="1">AND(Transactions[[#This Row],[Datetime]]&gt;=EDATE(MAX(Transactions[Datetime]),-6),Transactions[[#This Row],[Datetime]]&lt;=TODAY())</f>
        <v>1</v>
      </c>
      <c r="S330" s="6">
        <f ca="1">AVERAGEIFS(Transactions[Month''s Total],Transactions[Recent],TRUE,Transactions[Custom Category],Transactions[[#This Row],[Custom Category]])</f>
        <v>624.12818181818193</v>
      </c>
      <c r="T330">
        <f>SUMIFS(Transactions[Amount],Transactions[Month],Transactions[[#This Row],[Month]],Transactions[Custom Category],Transactions[[#This Row],[Custom Category]])</f>
        <v>973.65000000000009</v>
      </c>
      <c r="U330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330">
        <f>IF(Transactions[[#This Row],[Month]]=Sel_Month,Transactions[[#This Row],[Amount]],0)</f>
        <v>0</v>
      </c>
    </row>
    <row r="331" spans="1:22" x14ac:dyDescent="0.25">
      <c r="A331" t="s">
        <v>63</v>
      </c>
      <c r="B331" t="s">
        <v>66</v>
      </c>
      <c r="C331">
        <v>14.35</v>
      </c>
      <c r="D331" t="s">
        <v>1033</v>
      </c>
      <c r="E331" t="s">
        <v>1034</v>
      </c>
      <c r="F331" t="s">
        <v>69</v>
      </c>
      <c r="G331" t="s">
        <v>1035</v>
      </c>
      <c r="H331" t="s">
        <v>1036</v>
      </c>
      <c r="I331" t="s">
        <v>109</v>
      </c>
      <c r="J331" t="b">
        <v>0</v>
      </c>
      <c r="K331" t="s">
        <v>1037</v>
      </c>
      <c r="L331" t="str">
        <f>_xlfn.XLOOKUP(Transactions[[#This Row],[Account ID]],Accounts[Plaid Account ID],Accounts[Name],"Not Found",0)</f>
        <v>WestJet RBC World Elite Mastercard</v>
      </c>
      <c r="M331" t="str">
        <f>_xlfn.XLOOKUP(Transactions[[#This Row],[Account ID]],Accounts[Plaid Account ID],Accounts[Institution Name],"Not Found",0)</f>
        <v>RBC Royal Bank</v>
      </c>
      <c r="N331" t="str">
        <f>IF(Transactions[[#This Row],[Amount]]&lt;0,"credit","debit")</f>
        <v>debit</v>
      </c>
      <c r="O331" t="str" cm="1">
        <f t="array" ref="O33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Groceries</v>
      </c>
      <c r="P33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45326</v>
      </c>
      <c r="Q331" s="3">
        <f>DATE(YEAR(Transactions[[#This Row],[Datetime]]),MONTH(Transactions[[#This Row],[Datetime]]),1)</f>
        <v>45323</v>
      </c>
      <c r="R331" t="b">
        <f ca="1">AND(Transactions[[#This Row],[Datetime]]&gt;=EDATE(MAX(Transactions[Datetime]),-6),Transactions[[#This Row],[Datetime]]&lt;=TODAY())</f>
        <v>1</v>
      </c>
      <c r="S331" s="6">
        <f ca="1">AVERAGEIFS(Transactions[Month''s Total],Transactions[Recent],TRUE,Transactions[Custom Category],Transactions[[#This Row],[Custom Category]])</f>
        <v>248.35999999999999</v>
      </c>
      <c r="T331">
        <f>SUMIFS(Transactions[Amount],Transactions[Month],Transactions[[#This Row],[Month]],Transactions[Custom Category],Transactions[[#This Row],[Custom Category]])</f>
        <v>248.35999999999999</v>
      </c>
      <c r="U331">
        <f ca="1">IF(COUNTIF(Budgets[Custom Category],Transactions[[#This Row],[Custom Category]])=0,Transactions[[#This Row],[6M AVG]],_xlfn.XLOOKUP(Transactions[[#This Row],[Custom Category]],Budgets[Custom Category],Budgets[Monthly],0,0))</f>
        <v>248.35999999999999</v>
      </c>
      <c r="V331">
        <f>IF(Transactions[[#This Row],[Month]]=Sel_Month,Transactions[[#This Row],[Amount]],0)</f>
        <v>0</v>
      </c>
    </row>
    <row r="332" spans="1:22" x14ac:dyDescent="0.25">
      <c r="A332" t="s">
        <v>63</v>
      </c>
      <c r="B332" t="s">
        <v>66</v>
      </c>
      <c r="C332">
        <v>234.01</v>
      </c>
      <c r="D332" t="s">
        <v>1033</v>
      </c>
      <c r="E332" t="s">
        <v>1034</v>
      </c>
      <c r="F332" t="s">
        <v>69</v>
      </c>
      <c r="G332" t="s">
        <v>1035</v>
      </c>
      <c r="H332" t="s">
        <v>1038</v>
      </c>
      <c r="I332" t="s">
        <v>109</v>
      </c>
      <c r="J332" t="b">
        <v>0</v>
      </c>
      <c r="K332" t="s">
        <v>1039</v>
      </c>
      <c r="L332" t="str">
        <f>_xlfn.XLOOKUP(Transactions[[#This Row],[Account ID]],Accounts[Plaid Account ID],Accounts[Name],"Not Found",0)</f>
        <v>WestJet RBC World Elite Mastercard</v>
      </c>
      <c r="M332" t="str">
        <f>_xlfn.XLOOKUP(Transactions[[#This Row],[Account ID]],Accounts[Plaid Account ID],Accounts[Institution Name],"Not Found",0)</f>
        <v>RBC Royal Bank</v>
      </c>
      <c r="N332" t="str">
        <f>IF(Transactions[[#This Row],[Amount]]&lt;0,"credit","debit")</f>
        <v>debit</v>
      </c>
      <c r="O332" t="str" cm="1">
        <f t="array" ref="O33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Groceries</v>
      </c>
      <c r="P33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45326</v>
      </c>
      <c r="Q332" s="3">
        <f>DATE(YEAR(Transactions[[#This Row],[Datetime]]),MONTH(Transactions[[#This Row],[Datetime]]),1)</f>
        <v>45323</v>
      </c>
      <c r="R332" t="b">
        <f ca="1">AND(Transactions[[#This Row],[Datetime]]&gt;=EDATE(MAX(Transactions[Datetime]),-6),Transactions[[#This Row],[Datetime]]&lt;=TODAY())</f>
        <v>1</v>
      </c>
      <c r="S332" s="6">
        <f ca="1">AVERAGEIFS(Transactions[Month''s Total],Transactions[Recent],TRUE,Transactions[Custom Category],Transactions[[#This Row],[Custom Category]])</f>
        <v>248.35999999999999</v>
      </c>
      <c r="T332">
        <f>SUMIFS(Transactions[Amount],Transactions[Month],Transactions[[#This Row],[Month]],Transactions[Custom Category],Transactions[[#This Row],[Custom Category]])</f>
        <v>248.35999999999999</v>
      </c>
      <c r="U332">
        <f ca="1">IF(COUNTIF(Budgets[Custom Category],Transactions[[#This Row],[Custom Category]])=0,Transactions[[#This Row],[6M AVG]],_xlfn.XLOOKUP(Transactions[[#This Row],[Custom Category]],Budgets[Custom Category],Budgets[Monthly],0,0))</f>
        <v>248.35999999999999</v>
      </c>
      <c r="V332">
        <f>IF(Transactions[[#This Row],[Month]]=Sel_Month,Transactions[[#This Row],[Amount]],0)</f>
        <v>0</v>
      </c>
    </row>
    <row r="333" spans="1:22" x14ac:dyDescent="0.25">
      <c r="A333" t="s">
        <v>63</v>
      </c>
      <c r="B333" t="s">
        <v>66</v>
      </c>
      <c r="C333">
        <v>201.37</v>
      </c>
      <c r="D333" t="s">
        <v>197</v>
      </c>
      <c r="E333" t="s">
        <v>1034</v>
      </c>
      <c r="F333" t="s">
        <v>69</v>
      </c>
      <c r="G333" t="s">
        <v>1040</v>
      </c>
      <c r="H333" t="s">
        <v>1041</v>
      </c>
      <c r="I333" t="s">
        <v>109</v>
      </c>
      <c r="J333" t="b">
        <v>0</v>
      </c>
      <c r="K333" t="s">
        <v>1042</v>
      </c>
      <c r="L333" t="str">
        <f>_xlfn.XLOOKUP(Transactions[[#This Row],[Account ID]],Accounts[Plaid Account ID],Accounts[Name],"Not Found",0)</f>
        <v>WestJet RBC World Elite Mastercard</v>
      </c>
      <c r="M333" t="str">
        <f>_xlfn.XLOOKUP(Transactions[[#This Row],[Account ID]],Accounts[Plaid Account ID],Accounts[Institution Name],"Not Found",0)</f>
        <v>RBC Royal Bank</v>
      </c>
      <c r="N333" t="str">
        <f>IF(Transactions[[#This Row],[Amount]]&lt;0,"credit","debit")</f>
        <v>debit</v>
      </c>
      <c r="O333" t="str" cm="1">
        <f t="array" ref="O33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Food and Drink, Restaurants</v>
      </c>
      <c r="P33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45326</v>
      </c>
      <c r="Q333" s="3">
        <f>DATE(YEAR(Transactions[[#This Row],[Datetime]]),MONTH(Transactions[[#This Row],[Datetime]]),1)</f>
        <v>45323</v>
      </c>
      <c r="R333" t="b">
        <f ca="1">AND(Transactions[[#This Row],[Datetime]]&gt;=EDATE(MAX(Transactions[Datetime]),-6),Transactions[[#This Row],[Datetime]]&lt;=TODAY())</f>
        <v>1</v>
      </c>
      <c r="S333" s="6">
        <f ca="1">AVERAGEIFS(Transactions[Month''s Total],Transactions[Recent],TRUE,Transactions[Custom Category],Transactions[[#This Row],[Custom Category]])</f>
        <v>414.67285714285714</v>
      </c>
      <c r="T333">
        <f>SUMIFS(Transactions[Amount],Transactions[Month],Transactions[[#This Row],[Month]],Transactions[Custom Category],Transactions[[#This Row],[Custom Category]])</f>
        <v>482.13</v>
      </c>
      <c r="U333">
        <f>IF(COUNTIF(Budgets[Custom Category],Transactions[[#This Row],[Custom Category]])=0,Transactions[[#This Row],[6M AVG]],_xlfn.XLOOKUP(Transactions[[#This Row],[Custom Category]],Budgets[Custom Category],Budgets[Monthly],0,0))</f>
        <v>800</v>
      </c>
      <c r="V333">
        <f>IF(Transactions[[#This Row],[Month]]=Sel_Month,Transactions[[#This Row],[Amount]],0)</f>
        <v>0</v>
      </c>
    </row>
    <row r="334" spans="1:22" x14ac:dyDescent="0.25">
      <c r="A334" t="s">
        <v>63</v>
      </c>
      <c r="B334" t="s">
        <v>66</v>
      </c>
      <c r="C334">
        <v>4.04</v>
      </c>
      <c r="D334" t="s">
        <v>1017</v>
      </c>
      <c r="E334" t="s">
        <v>1034</v>
      </c>
      <c r="F334" t="s">
        <v>69</v>
      </c>
      <c r="G334" t="s">
        <v>1018</v>
      </c>
      <c r="H334" t="s">
        <v>1043</v>
      </c>
      <c r="I334" t="s">
        <v>132</v>
      </c>
      <c r="J334" t="b">
        <v>0</v>
      </c>
      <c r="K334" t="s">
        <v>1044</v>
      </c>
      <c r="L334" t="str">
        <f>_xlfn.XLOOKUP(Transactions[[#This Row],[Account ID]],Accounts[Plaid Account ID],Accounts[Name],"Not Found",0)</f>
        <v>WestJet RBC World Elite Mastercard</v>
      </c>
      <c r="M334" t="str">
        <f>_xlfn.XLOOKUP(Transactions[[#This Row],[Account ID]],Accounts[Plaid Account ID],Accounts[Institution Name],"Not Found",0)</f>
        <v>RBC Royal Bank</v>
      </c>
      <c r="N334" t="str">
        <f>IF(Transactions[[#This Row],[Amount]]&lt;0,"credit","debit")</f>
        <v>debit</v>
      </c>
      <c r="O334" t="str" cm="1">
        <f t="array" ref="O33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Car Service, Ride Share</v>
      </c>
      <c r="P33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45326</v>
      </c>
      <c r="Q334" s="3">
        <f>DATE(YEAR(Transactions[[#This Row],[Datetime]]),MONTH(Transactions[[#This Row],[Datetime]]),1)</f>
        <v>45323</v>
      </c>
      <c r="R334" t="b">
        <f ca="1">AND(Transactions[[#This Row],[Datetime]]&gt;=EDATE(MAX(Transactions[Datetime]),-6),Transactions[[#This Row],[Datetime]]&lt;=TODAY())</f>
        <v>1</v>
      </c>
      <c r="S334" s="6">
        <f ca="1">AVERAGEIFS(Transactions[Month''s Total],Transactions[Recent],TRUE,Transactions[Custom Category],Transactions[[#This Row],[Custom Category]])</f>
        <v>12.969999999999999</v>
      </c>
      <c r="T334">
        <f>SUMIFS(Transactions[Amount],Transactions[Month],Transactions[[#This Row],[Month]],Transactions[Custom Category],Transactions[[#This Row],[Custom Category]])</f>
        <v>12.969999999999999</v>
      </c>
      <c r="U334">
        <f ca="1">IF(COUNTIF(Budgets[Custom Category],Transactions[[#This Row],[Custom Category]])=0,Transactions[[#This Row],[6M AVG]],_xlfn.XLOOKUP(Transactions[[#This Row],[Custom Category]],Budgets[Custom Category],Budgets[Monthly],0,0))</f>
        <v>12.969999999999999</v>
      </c>
      <c r="V334">
        <f>IF(Transactions[[#This Row],[Month]]=Sel_Month,Transactions[[#This Row],[Amount]],0)</f>
        <v>0</v>
      </c>
    </row>
    <row r="335" spans="1:22" x14ac:dyDescent="0.25">
      <c r="A335" t="s">
        <v>63</v>
      </c>
      <c r="B335" t="s">
        <v>66</v>
      </c>
      <c r="C335">
        <v>197.65</v>
      </c>
      <c r="D335" t="s">
        <v>438</v>
      </c>
      <c r="E335" t="s">
        <v>1028</v>
      </c>
      <c r="F335" t="s">
        <v>69</v>
      </c>
      <c r="G335" t="s">
        <v>1029</v>
      </c>
      <c r="H335" t="s">
        <v>1030</v>
      </c>
      <c r="I335" t="s">
        <v>132</v>
      </c>
      <c r="J335" t="b">
        <v>0</v>
      </c>
      <c r="K335" t="s">
        <v>1031</v>
      </c>
      <c r="L335" t="str">
        <f>_xlfn.XLOOKUP(Transactions[[#This Row],[Account ID]],Accounts[Plaid Account ID],Accounts[Name],"Not Found",0)</f>
        <v>WestJet RBC World Elite Mastercard</v>
      </c>
      <c r="M335" t="str">
        <f>_xlfn.XLOOKUP(Transactions[[#This Row],[Account ID]],Accounts[Plaid Account ID],Accounts[Institution Name],"Not Found",0)</f>
        <v>RBC Royal Bank</v>
      </c>
      <c r="N335" t="str">
        <f>IF(Transactions[[#This Row],[Amount]]&lt;0,"credit","debit")</f>
        <v>debit</v>
      </c>
      <c r="O335" t="str" cm="1">
        <f t="array" ref="O33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Third Party, PayPal</v>
      </c>
      <c r="P33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45327</v>
      </c>
      <c r="Q335" s="3">
        <f>DATE(YEAR(Transactions[[#This Row],[Datetime]]),MONTH(Transactions[[#This Row],[Datetime]]),1)</f>
        <v>45323</v>
      </c>
      <c r="R335" t="b">
        <f ca="1">AND(Transactions[[#This Row],[Datetime]]&gt;=EDATE(MAX(Transactions[Datetime]),-6),Transactions[[#This Row],[Datetime]]&lt;=TODAY())</f>
        <v>1</v>
      </c>
      <c r="S335" s="6">
        <f ca="1">AVERAGEIFS(Transactions[Month''s Total],Transactions[Recent],TRUE,Transactions[Custom Category],Transactions[[#This Row],[Custom Category]])</f>
        <v>197.65</v>
      </c>
      <c r="T335">
        <f>SUMIFS(Transactions[Amount],Transactions[Month],Transactions[[#This Row],[Month]],Transactions[Custom Category],Transactions[[#This Row],[Custom Category]])</f>
        <v>197.65</v>
      </c>
      <c r="U335">
        <f ca="1">IF(COUNTIF(Budgets[Custom Category],Transactions[[#This Row],[Custom Category]])=0,Transactions[[#This Row],[6M AVG]],_xlfn.XLOOKUP(Transactions[[#This Row],[Custom Category]],Budgets[Custom Category],Budgets[Monthly],0,0))</f>
        <v>197.65</v>
      </c>
      <c r="V335">
        <f>IF(Transactions[[#This Row],[Month]]=Sel_Month,Transactions[[#This Row],[Amount]],0)</f>
        <v>0</v>
      </c>
    </row>
    <row r="336" spans="1:22" x14ac:dyDescent="0.25">
      <c r="A336" t="s">
        <v>63</v>
      </c>
      <c r="B336" t="s">
        <v>66</v>
      </c>
      <c r="C336">
        <v>13.54</v>
      </c>
      <c r="D336" t="s">
        <v>958</v>
      </c>
      <c r="E336" t="s">
        <v>1028</v>
      </c>
      <c r="F336" t="s">
        <v>69</v>
      </c>
      <c r="G336" t="s">
        <v>960</v>
      </c>
      <c r="H336" t="s">
        <v>960</v>
      </c>
      <c r="I336" t="s">
        <v>132</v>
      </c>
      <c r="J336" t="b">
        <v>0</v>
      </c>
      <c r="K336" t="s">
        <v>1032</v>
      </c>
      <c r="L336" t="str">
        <f>_xlfn.XLOOKUP(Transactions[[#This Row],[Account ID]],Accounts[Plaid Account ID],Accounts[Name],"Not Found",0)</f>
        <v>WestJet RBC World Elite Mastercard</v>
      </c>
      <c r="M336" t="str">
        <f>_xlfn.XLOOKUP(Transactions[[#This Row],[Account ID]],Accounts[Plaid Account ID],Accounts[Institution Name],"Not Found",0)</f>
        <v>RBC Royal Bank</v>
      </c>
      <c r="N336" t="str">
        <f>IF(Transactions[[#This Row],[Amount]]&lt;0,"credit","debit")</f>
        <v>debit</v>
      </c>
      <c r="O336" t="str" cm="1">
        <f t="array" ref="O33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33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45327</v>
      </c>
      <c r="Q336" s="3">
        <f>DATE(YEAR(Transactions[[#This Row],[Datetime]]),MONTH(Transactions[[#This Row],[Datetime]]),1)</f>
        <v>45323</v>
      </c>
      <c r="R336" t="b">
        <f ca="1">AND(Transactions[[#This Row],[Datetime]]&gt;=EDATE(MAX(Transactions[Datetime]),-6),Transactions[[#This Row],[Datetime]]&lt;=TODAY())</f>
        <v>1</v>
      </c>
      <c r="S336" s="6">
        <f ca="1">AVERAGEIFS(Transactions[Month''s Total],Transactions[Recent],TRUE,Transactions[Custom Category],Transactions[[#This Row],[Custom Category]])</f>
        <v>128.65625000000003</v>
      </c>
      <c r="T336">
        <f>SUMIFS(Transactions[Amount],Transactions[Month],Transactions[[#This Row],[Month]],Transactions[Custom Category],Transactions[[#This Row],[Custom Category]])</f>
        <v>200.69</v>
      </c>
      <c r="U336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336">
        <f>IF(Transactions[[#This Row],[Month]]=Sel_Month,Transactions[[#This Row],[Amount]],0)</f>
        <v>0</v>
      </c>
    </row>
    <row r="337" spans="1:22" x14ac:dyDescent="0.25">
      <c r="A337" t="s">
        <v>63</v>
      </c>
      <c r="B337" t="s">
        <v>66</v>
      </c>
      <c r="C337">
        <v>11.09</v>
      </c>
      <c r="D337" t="s">
        <v>197</v>
      </c>
      <c r="E337" t="s">
        <v>1021</v>
      </c>
      <c r="F337" t="s">
        <v>69</v>
      </c>
      <c r="G337" t="s">
        <v>1022</v>
      </c>
      <c r="H337" t="s">
        <v>1023</v>
      </c>
      <c r="I337" t="s">
        <v>109</v>
      </c>
      <c r="J337" t="b">
        <v>0</v>
      </c>
      <c r="K337" t="s">
        <v>1024</v>
      </c>
      <c r="L337" t="str">
        <f>_xlfn.XLOOKUP(Transactions[[#This Row],[Account ID]],Accounts[Plaid Account ID],Accounts[Name],"Not Found",0)</f>
        <v>WestJet RBC World Elite Mastercard</v>
      </c>
      <c r="M337" t="str">
        <f>_xlfn.XLOOKUP(Transactions[[#This Row],[Account ID]],Accounts[Plaid Account ID],Accounts[Institution Name],"Not Found",0)</f>
        <v>RBC Royal Bank</v>
      </c>
      <c r="N337" t="str">
        <f>IF(Transactions[[#This Row],[Amount]]&lt;0,"credit","debit")</f>
        <v>debit</v>
      </c>
      <c r="O337" t="str" cm="1">
        <f t="array" ref="O33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Food and Drink, Restaurants</v>
      </c>
      <c r="P33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45328</v>
      </c>
      <c r="Q337" s="3">
        <f>DATE(YEAR(Transactions[[#This Row],[Datetime]]),MONTH(Transactions[[#This Row],[Datetime]]),1)</f>
        <v>45323</v>
      </c>
      <c r="R337" t="b">
        <f ca="1">AND(Transactions[[#This Row],[Datetime]]&gt;=EDATE(MAX(Transactions[Datetime]),-6),Transactions[[#This Row],[Datetime]]&lt;=TODAY())</f>
        <v>1</v>
      </c>
      <c r="S337" s="6">
        <f ca="1">AVERAGEIFS(Transactions[Month''s Total],Transactions[Recent],TRUE,Transactions[Custom Category],Transactions[[#This Row],[Custom Category]])</f>
        <v>414.67285714285714</v>
      </c>
      <c r="T337">
        <f>SUMIFS(Transactions[Amount],Transactions[Month],Transactions[[#This Row],[Month]],Transactions[Custom Category],Transactions[[#This Row],[Custom Category]])</f>
        <v>482.13</v>
      </c>
      <c r="U337">
        <f>IF(COUNTIF(Budgets[Custom Category],Transactions[[#This Row],[Custom Category]])=0,Transactions[[#This Row],[6M AVG]],_xlfn.XLOOKUP(Transactions[[#This Row],[Custom Category]],Budgets[Custom Category],Budgets[Monthly],0,0))</f>
        <v>800</v>
      </c>
      <c r="V337">
        <f>IF(Transactions[[#This Row],[Month]]=Sel_Month,Transactions[[#This Row],[Amount]],0)</f>
        <v>0</v>
      </c>
    </row>
    <row r="338" spans="1:22" x14ac:dyDescent="0.25">
      <c r="A338" t="s">
        <v>63</v>
      </c>
      <c r="B338" t="s">
        <v>66</v>
      </c>
      <c r="C338">
        <v>4.07</v>
      </c>
      <c r="D338" t="s">
        <v>1017</v>
      </c>
      <c r="E338" t="s">
        <v>1021</v>
      </c>
      <c r="F338" t="s">
        <v>69</v>
      </c>
      <c r="G338" t="s">
        <v>1018</v>
      </c>
      <c r="H338" t="s">
        <v>1025</v>
      </c>
      <c r="I338" t="s">
        <v>132</v>
      </c>
      <c r="J338" t="b">
        <v>0</v>
      </c>
      <c r="K338" t="s">
        <v>1026</v>
      </c>
      <c r="L338" t="str">
        <f>_xlfn.XLOOKUP(Transactions[[#This Row],[Account ID]],Accounts[Plaid Account ID],Accounts[Name],"Not Found",0)</f>
        <v>WestJet RBC World Elite Mastercard</v>
      </c>
      <c r="M338" t="str">
        <f>_xlfn.XLOOKUP(Transactions[[#This Row],[Account ID]],Accounts[Plaid Account ID],Accounts[Institution Name],"Not Found",0)</f>
        <v>RBC Royal Bank</v>
      </c>
      <c r="N338" t="str">
        <f>IF(Transactions[[#This Row],[Amount]]&lt;0,"credit","debit")</f>
        <v>debit</v>
      </c>
      <c r="O338" t="str" cm="1">
        <f t="array" ref="O33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Car Service, Ride Share</v>
      </c>
      <c r="P33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45328</v>
      </c>
      <c r="Q338" s="3">
        <f>DATE(YEAR(Transactions[[#This Row],[Datetime]]),MONTH(Transactions[[#This Row],[Datetime]]),1)</f>
        <v>45323</v>
      </c>
      <c r="R338" t="b">
        <f ca="1">AND(Transactions[[#This Row],[Datetime]]&gt;=EDATE(MAX(Transactions[Datetime]),-6),Transactions[[#This Row],[Datetime]]&lt;=TODAY())</f>
        <v>1</v>
      </c>
      <c r="S338" s="6">
        <f ca="1">AVERAGEIFS(Transactions[Month''s Total],Transactions[Recent],TRUE,Transactions[Custom Category],Transactions[[#This Row],[Custom Category]])</f>
        <v>12.969999999999999</v>
      </c>
      <c r="T338">
        <f>SUMIFS(Transactions[Amount],Transactions[Month],Transactions[[#This Row],[Month]],Transactions[Custom Category],Transactions[[#This Row],[Custom Category]])</f>
        <v>12.969999999999999</v>
      </c>
      <c r="U338">
        <f ca="1">IF(COUNTIF(Budgets[Custom Category],Transactions[[#This Row],[Custom Category]])=0,Transactions[[#This Row],[6M AVG]],_xlfn.XLOOKUP(Transactions[[#This Row],[Custom Category]],Budgets[Custom Category],Budgets[Monthly],0,0))</f>
        <v>12.969999999999999</v>
      </c>
      <c r="V338">
        <f>IF(Transactions[[#This Row],[Month]]=Sel_Month,Transactions[[#This Row],[Amount]],0)</f>
        <v>0</v>
      </c>
    </row>
    <row r="339" spans="1:22" x14ac:dyDescent="0.25">
      <c r="A339" t="s">
        <v>63</v>
      </c>
      <c r="B339" t="s">
        <v>66</v>
      </c>
      <c r="C339">
        <v>4.5199999999999996</v>
      </c>
      <c r="D339" t="s">
        <v>197</v>
      </c>
      <c r="E339" t="s">
        <v>1021</v>
      </c>
      <c r="F339" t="s">
        <v>69</v>
      </c>
      <c r="G339" t="s">
        <v>974</v>
      </c>
      <c r="H339" t="s">
        <v>975</v>
      </c>
      <c r="I339" t="s">
        <v>109</v>
      </c>
      <c r="J339" t="b">
        <v>0</v>
      </c>
      <c r="K339" t="s">
        <v>1027</v>
      </c>
      <c r="L339" t="str">
        <f>_xlfn.XLOOKUP(Transactions[[#This Row],[Account ID]],Accounts[Plaid Account ID],Accounts[Name],"Not Found",0)</f>
        <v>WestJet RBC World Elite Mastercard</v>
      </c>
      <c r="M339" t="str">
        <f>_xlfn.XLOOKUP(Transactions[[#This Row],[Account ID]],Accounts[Plaid Account ID],Accounts[Institution Name],"Not Found",0)</f>
        <v>RBC Royal Bank</v>
      </c>
      <c r="N339" t="str">
        <f>IF(Transactions[[#This Row],[Amount]]&lt;0,"credit","debit")</f>
        <v>debit</v>
      </c>
      <c r="O339" t="str" cm="1">
        <f t="array" ref="O33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Subscriptions</v>
      </c>
      <c r="P33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45328</v>
      </c>
      <c r="Q339" s="3">
        <f>DATE(YEAR(Transactions[[#This Row],[Datetime]]),MONTH(Transactions[[#This Row],[Datetime]]),1)</f>
        <v>45323</v>
      </c>
      <c r="R339" t="b">
        <f ca="1">AND(Transactions[[#This Row],[Datetime]]&gt;=EDATE(MAX(Transactions[Datetime]),-6),Transactions[[#This Row],[Datetime]]&lt;=TODAY())</f>
        <v>1</v>
      </c>
      <c r="S339" s="6">
        <f ca="1">AVERAGEIFS(Transactions[Month''s Total],Transactions[Recent],TRUE,Transactions[Custom Category],Transactions[[#This Row],[Custom Category]])</f>
        <v>23.11333333333333</v>
      </c>
      <c r="T339">
        <f>SUMIFS(Transactions[Amount],Transactions[Month],Transactions[[#This Row],[Month]],Transactions[Custom Category],Transactions[[#This Row],[Custom Category]])</f>
        <v>4.5199999999999996</v>
      </c>
      <c r="U339">
        <f ca="1">IF(COUNTIF(Budgets[Custom Category],Transactions[[#This Row],[Custom Category]])=0,Transactions[[#This Row],[6M AVG]],_xlfn.XLOOKUP(Transactions[[#This Row],[Custom Category]],Budgets[Custom Category],Budgets[Monthly],0,0))</f>
        <v>23.11333333333333</v>
      </c>
      <c r="V339">
        <f>IF(Transactions[[#This Row],[Month]]=Sel_Month,Transactions[[#This Row],[Amount]],0)</f>
        <v>0</v>
      </c>
    </row>
    <row r="340" spans="1:22" x14ac:dyDescent="0.25">
      <c r="A340" t="s">
        <v>61</v>
      </c>
      <c r="B340" t="s">
        <v>66</v>
      </c>
      <c r="C340">
        <v>125.88</v>
      </c>
      <c r="D340" t="s">
        <v>165</v>
      </c>
      <c r="E340" t="s">
        <v>233</v>
      </c>
      <c r="F340" t="s">
        <v>69</v>
      </c>
      <c r="G340" t="s">
        <v>166</v>
      </c>
      <c r="H340" t="s">
        <v>167</v>
      </c>
      <c r="I340" t="s">
        <v>132</v>
      </c>
      <c r="J340" t="b">
        <v>0</v>
      </c>
      <c r="K340" t="s">
        <v>234</v>
      </c>
      <c r="L340" t="str">
        <f>_xlfn.XLOOKUP(Transactions[[#This Row],[Account ID]],Accounts[Plaid Account ID],Accounts[Name],"Not Found",0)</f>
        <v>RBC Staff Banking</v>
      </c>
      <c r="M340" t="str">
        <f>_xlfn.XLOOKUP(Transactions[[#This Row],[Account ID]],Accounts[Plaid Account ID],Accounts[Institution Name],"Not Found",0)</f>
        <v>RBC Royal Bank</v>
      </c>
      <c r="N340" t="str">
        <f>IF(Transactions[[#This Row],[Amount]]&lt;0,"credit","debit")</f>
        <v>debit</v>
      </c>
      <c r="O340" t="str" cm="1">
        <f t="array" ref="O34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Utilities,Electric</v>
      </c>
      <c r="P34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45330</v>
      </c>
      <c r="Q340" s="3">
        <f>DATE(YEAR(Transactions[[#This Row],[Datetime]]),MONTH(Transactions[[#This Row],[Datetime]]),1)</f>
        <v>45323</v>
      </c>
      <c r="R340" t="b">
        <f ca="1">AND(Transactions[[#This Row],[Datetime]]&gt;=EDATE(MAX(Transactions[Datetime]),-6),Transactions[[#This Row],[Datetime]]&lt;=TODAY())</f>
        <v>1</v>
      </c>
      <c r="S340" s="6">
        <f ca="1">AVERAGEIFS(Transactions[Month''s Total],Transactions[Recent],TRUE,Transactions[Custom Category],Transactions[[#This Row],[Custom Category]])</f>
        <v>139.88333333333333</v>
      </c>
      <c r="T340">
        <f>SUMIFS(Transactions[Amount],Transactions[Month],Transactions[[#This Row],[Month]],Transactions[Custom Category],Transactions[[#This Row],[Custom Category]])</f>
        <v>125.88</v>
      </c>
      <c r="U340">
        <f ca="1">IF(COUNTIF(Budgets[Custom Category],Transactions[[#This Row],[Custom Category]])=0,Transactions[[#This Row],[6M AVG]],_xlfn.XLOOKUP(Transactions[[#This Row],[Custom Category]],Budgets[Custom Category],Budgets[Monthly],0,0))</f>
        <v>139.88333333333333</v>
      </c>
      <c r="V340">
        <f>IF(Transactions[[#This Row],[Month]]=Sel_Month,Transactions[[#This Row],[Amount]],0)</f>
        <v>0</v>
      </c>
    </row>
    <row r="341" spans="1:22" x14ac:dyDescent="0.25">
      <c r="A341" t="s">
        <v>63</v>
      </c>
      <c r="B341" t="s">
        <v>66</v>
      </c>
      <c r="C341">
        <v>37.409999999999997</v>
      </c>
      <c r="D341" t="s">
        <v>1011</v>
      </c>
      <c r="E341" t="s">
        <v>233</v>
      </c>
      <c r="F341" t="s">
        <v>69</v>
      </c>
      <c r="G341" t="s">
        <v>1012</v>
      </c>
      <c r="H341" t="s">
        <v>1013</v>
      </c>
      <c r="I341" t="s">
        <v>109</v>
      </c>
      <c r="J341" t="b">
        <v>0</v>
      </c>
      <c r="K341" t="s">
        <v>1014</v>
      </c>
      <c r="L341" t="str">
        <f>_xlfn.XLOOKUP(Transactions[[#This Row],[Account ID]],Accounts[Plaid Account ID],Accounts[Name],"Not Found",0)</f>
        <v>WestJet RBC World Elite Mastercard</v>
      </c>
      <c r="M341" t="str">
        <f>_xlfn.XLOOKUP(Transactions[[#This Row],[Account ID]],Accounts[Plaid Account ID],Accounts[Institution Name],"Not Found",0)</f>
        <v>RBC Royal Bank</v>
      </c>
      <c r="N341" t="str">
        <f>IF(Transactions[[#This Row],[Amount]]&lt;0,"credit","debit")</f>
        <v>debit</v>
      </c>
      <c r="O341" t="str" cm="1">
        <f t="array" ref="O34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34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45330</v>
      </c>
      <c r="Q341" s="3">
        <f>DATE(YEAR(Transactions[[#This Row],[Datetime]]),MONTH(Transactions[[#This Row],[Datetime]]),1)</f>
        <v>45323</v>
      </c>
      <c r="R341" t="b">
        <f ca="1">AND(Transactions[[#This Row],[Datetime]]&gt;=EDATE(MAX(Transactions[Datetime]),-6),Transactions[[#This Row],[Datetime]]&lt;=TODAY())</f>
        <v>1</v>
      </c>
      <c r="S341" s="6">
        <f ca="1">AVERAGEIFS(Transactions[Month''s Total],Transactions[Recent],TRUE,Transactions[Custom Category],Transactions[[#This Row],[Custom Category]])</f>
        <v>128.65625000000003</v>
      </c>
      <c r="T341">
        <f>SUMIFS(Transactions[Amount],Transactions[Month],Transactions[[#This Row],[Month]],Transactions[Custom Category],Transactions[[#This Row],[Custom Category]])</f>
        <v>200.69</v>
      </c>
      <c r="U341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341">
        <f>IF(Transactions[[#This Row],[Month]]=Sel_Month,Transactions[[#This Row],[Amount]],0)</f>
        <v>0</v>
      </c>
    </row>
    <row r="342" spans="1:22" x14ac:dyDescent="0.25">
      <c r="A342" t="s">
        <v>63</v>
      </c>
      <c r="B342" t="s">
        <v>66</v>
      </c>
      <c r="C342">
        <v>245.97</v>
      </c>
      <c r="D342" t="s">
        <v>197</v>
      </c>
      <c r="E342" t="s">
        <v>233</v>
      </c>
      <c r="F342" t="s">
        <v>69</v>
      </c>
      <c r="H342" t="s">
        <v>1015</v>
      </c>
      <c r="I342" t="s">
        <v>109</v>
      </c>
      <c r="J342" t="b">
        <v>0</v>
      </c>
      <c r="K342" t="s">
        <v>1016</v>
      </c>
      <c r="L342" t="str">
        <f>_xlfn.XLOOKUP(Transactions[[#This Row],[Account ID]],Accounts[Plaid Account ID],Accounts[Name],"Not Found",0)</f>
        <v>WestJet RBC World Elite Mastercard</v>
      </c>
      <c r="M342" t="str">
        <f>_xlfn.XLOOKUP(Transactions[[#This Row],[Account ID]],Accounts[Plaid Account ID],Accounts[Institution Name],"Not Found",0)</f>
        <v>RBC Royal Bank</v>
      </c>
      <c r="N342" t="str">
        <f>IF(Transactions[[#This Row],[Amount]]&lt;0,"credit","debit")</f>
        <v>debit</v>
      </c>
      <c r="O342" t="str" cm="1">
        <f t="array" ref="O34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Food and Drink, Restaurants</v>
      </c>
      <c r="P34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45330</v>
      </c>
      <c r="Q342" s="3">
        <f>DATE(YEAR(Transactions[[#This Row],[Datetime]]),MONTH(Transactions[[#This Row],[Datetime]]),1)</f>
        <v>45323</v>
      </c>
      <c r="R342" t="b">
        <f ca="1">AND(Transactions[[#This Row],[Datetime]]&gt;=EDATE(MAX(Transactions[Datetime]),-6),Transactions[[#This Row],[Datetime]]&lt;=TODAY())</f>
        <v>1</v>
      </c>
      <c r="S342" s="6">
        <f ca="1">AVERAGEIFS(Transactions[Month''s Total],Transactions[Recent],TRUE,Transactions[Custom Category],Transactions[[#This Row],[Custom Category]])</f>
        <v>414.67285714285714</v>
      </c>
      <c r="T342">
        <f>SUMIFS(Transactions[Amount],Transactions[Month],Transactions[[#This Row],[Month]],Transactions[Custom Category],Transactions[[#This Row],[Custom Category]])</f>
        <v>482.13</v>
      </c>
      <c r="U342">
        <f>IF(COUNTIF(Budgets[Custom Category],Transactions[[#This Row],[Custom Category]])=0,Transactions[[#This Row],[6M AVG]],_xlfn.XLOOKUP(Transactions[[#This Row],[Custom Category]],Budgets[Custom Category],Budgets[Monthly],0,0))</f>
        <v>800</v>
      </c>
      <c r="V342">
        <f>IF(Transactions[[#This Row],[Month]]=Sel_Month,Transactions[[#This Row],[Amount]],0)</f>
        <v>0</v>
      </c>
    </row>
    <row r="343" spans="1:22" x14ac:dyDescent="0.25">
      <c r="A343" t="s">
        <v>63</v>
      </c>
      <c r="B343" t="s">
        <v>66</v>
      </c>
      <c r="C343">
        <v>4.8600000000000003</v>
      </c>
      <c r="D343" t="s">
        <v>1017</v>
      </c>
      <c r="E343" t="s">
        <v>233</v>
      </c>
      <c r="F343" t="s">
        <v>69</v>
      </c>
      <c r="G343" t="s">
        <v>1018</v>
      </c>
      <c r="H343" t="s">
        <v>1019</v>
      </c>
      <c r="I343" t="s">
        <v>132</v>
      </c>
      <c r="J343" t="b">
        <v>0</v>
      </c>
      <c r="K343" t="s">
        <v>1020</v>
      </c>
      <c r="L343" t="str">
        <f>_xlfn.XLOOKUP(Transactions[[#This Row],[Account ID]],Accounts[Plaid Account ID],Accounts[Name],"Not Found",0)</f>
        <v>WestJet RBC World Elite Mastercard</v>
      </c>
      <c r="M343" t="str">
        <f>_xlfn.XLOOKUP(Transactions[[#This Row],[Account ID]],Accounts[Plaid Account ID],Accounts[Institution Name],"Not Found",0)</f>
        <v>RBC Royal Bank</v>
      </c>
      <c r="N343" t="str">
        <f>IF(Transactions[[#This Row],[Amount]]&lt;0,"credit","debit")</f>
        <v>debit</v>
      </c>
      <c r="O343" t="str" cm="1">
        <f t="array" ref="O34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Car Service, Ride Share</v>
      </c>
      <c r="P34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45330</v>
      </c>
      <c r="Q343" s="3">
        <f>DATE(YEAR(Transactions[[#This Row],[Datetime]]),MONTH(Transactions[[#This Row],[Datetime]]),1)</f>
        <v>45323</v>
      </c>
      <c r="R343" t="b">
        <f ca="1">AND(Transactions[[#This Row],[Datetime]]&gt;=EDATE(MAX(Transactions[Datetime]),-6),Transactions[[#This Row],[Datetime]]&lt;=TODAY())</f>
        <v>1</v>
      </c>
      <c r="S343" s="6">
        <f ca="1">AVERAGEIFS(Transactions[Month''s Total],Transactions[Recent],TRUE,Transactions[Custom Category],Transactions[[#This Row],[Custom Category]])</f>
        <v>12.969999999999999</v>
      </c>
      <c r="T343">
        <f>SUMIFS(Transactions[Amount],Transactions[Month],Transactions[[#This Row],[Month]],Transactions[Custom Category],Transactions[[#This Row],[Custom Category]])</f>
        <v>12.969999999999999</v>
      </c>
      <c r="U343">
        <f ca="1">IF(COUNTIF(Budgets[Custom Category],Transactions[[#This Row],[Custom Category]])=0,Transactions[[#This Row],[6M AVG]],_xlfn.XLOOKUP(Transactions[[#This Row],[Custom Category]],Budgets[Custom Category],Budgets[Monthly],0,0))</f>
        <v>12.969999999999999</v>
      </c>
      <c r="V343">
        <f>IF(Transactions[[#This Row],[Month]]=Sel_Month,Transactions[[#This Row],[Amount]],0)</f>
        <v>0</v>
      </c>
    </row>
    <row r="344" spans="1:22" x14ac:dyDescent="0.25">
      <c r="A344" t="s">
        <v>61</v>
      </c>
      <c r="B344" t="s">
        <v>66</v>
      </c>
      <c r="C344">
        <v>206.89</v>
      </c>
      <c r="D344" t="s">
        <v>152</v>
      </c>
      <c r="E344" t="s">
        <v>231</v>
      </c>
      <c r="F344" t="s">
        <v>69</v>
      </c>
      <c r="G344" t="s">
        <v>153</v>
      </c>
      <c r="H344" t="s">
        <v>154</v>
      </c>
      <c r="I344" t="s">
        <v>132</v>
      </c>
      <c r="J344" t="b">
        <v>0</v>
      </c>
      <c r="K344" t="s">
        <v>232</v>
      </c>
      <c r="L344" t="str">
        <f>_xlfn.XLOOKUP(Transactions[[#This Row],[Account ID]],Accounts[Plaid Account ID],Accounts[Name],"Not Found",0)</f>
        <v>RBC Staff Banking</v>
      </c>
      <c r="M344" t="str">
        <f>_xlfn.XLOOKUP(Transactions[[#This Row],[Account ID]],Accounts[Plaid Account ID],Accounts[Institution Name],"Not Found",0)</f>
        <v>RBC Royal Bank</v>
      </c>
      <c r="N344" t="str">
        <f>IF(Transactions[[#This Row],[Amount]]&lt;0,"credit","debit")</f>
        <v>debit</v>
      </c>
      <c r="O344" t="str" cm="1">
        <f t="array" ref="O34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34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45333</v>
      </c>
      <c r="Q344" s="3">
        <f>DATE(YEAR(Transactions[[#This Row],[Datetime]]),MONTH(Transactions[[#This Row],[Datetime]]),1)</f>
        <v>45323</v>
      </c>
      <c r="R344" t="b">
        <f ca="1">AND(Transactions[[#This Row],[Datetime]]&gt;=EDATE(MAX(Transactions[Datetime]),-6),Transactions[[#This Row],[Datetime]]&lt;=TODAY())</f>
        <v>1</v>
      </c>
      <c r="S344" s="6">
        <f ca="1">AVERAGEIFS(Transactions[Month''s Total],Transactions[Recent],TRUE,Transactions[Custom Category],Transactions[[#This Row],[Custom Category]])</f>
        <v>153.08333333333331</v>
      </c>
      <c r="T344">
        <f>SUMIFS(Transactions[Amount],Transactions[Month],Transactions[[#This Row],[Month]],Transactions[Custom Category],Transactions[[#This Row],[Custom Category]])</f>
        <v>206.89</v>
      </c>
      <c r="U344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344">
        <f>IF(Transactions[[#This Row],[Month]]=Sel_Month,Transactions[[#This Row],[Amount]],0)</f>
        <v>0</v>
      </c>
    </row>
    <row r="345" spans="1:22" x14ac:dyDescent="0.25">
      <c r="A345" t="s">
        <v>61</v>
      </c>
      <c r="B345" t="s">
        <v>66</v>
      </c>
      <c r="C345">
        <v>-5523.72</v>
      </c>
      <c r="D345" t="s">
        <v>149</v>
      </c>
      <c r="E345" t="s">
        <v>224</v>
      </c>
      <c r="F345" t="s">
        <v>69</v>
      </c>
      <c r="H345" t="s">
        <v>225</v>
      </c>
      <c r="I345" t="s">
        <v>71</v>
      </c>
      <c r="J345" t="b">
        <v>0</v>
      </c>
      <c r="K345" t="s">
        <v>226</v>
      </c>
      <c r="L345" t="str">
        <f>_xlfn.XLOOKUP(Transactions[[#This Row],[Account ID]],Accounts[Plaid Account ID],Accounts[Name],"Not Found",0)</f>
        <v>RBC Staff Banking</v>
      </c>
      <c r="M345" t="str">
        <f>_xlfn.XLOOKUP(Transactions[[#This Row],[Account ID]],Accounts[Plaid Account ID],Accounts[Institution Name],"Not Found",0)</f>
        <v>RBC Royal Bank</v>
      </c>
      <c r="N345" t="str">
        <f>IF(Transactions[[#This Row],[Amount]]&lt;0,"credit","debit")</f>
        <v>credit</v>
      </c>
      <c r="O345" t="str" cm="1">
        <f t="array" ref="O34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4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45335</v>
      </c>
      <c r="Q345" s="3">
        <f>DATE(YEAR(Transactions[[#This Row],[Datetime]]),MONTH(Transactions[[#This Row],[Datetime]]),1)</f>
        <v>45323</v>
      </c>
      <c r="R345" t="b">
        <f ca="1">AND(Transactions[[#This Row],[Datetime]]&gt;=EDATE(MAX(Transactions[Datetime]),-6),Transactions[[#This Row],[Datetime]]&lt;=TODAY())</f>
        <v>1</v>
      </c>
      <c r="S345" s="6">
        <f ca="1">AVERAGEIFS(Transactions[Month''s Total],Transactions[Recent],TRUE,Transactions[Custom Category],Transactions[[#This Row],[Custom Category]])</f>
        <v>-18125.097037037034</v>
      </c>
      <c r="T345">
        <f>SUMIFS(Transactions[Amount],Transactions[Month],Transactions[[#This Row],[Month]],Transactions[Custom Category],Transactions[[#This Row],[Custom Category]])</f>
        <v>-21523.72</v>
      </c>
      <c r="U34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45">
        <f>IF(Transactions[[#This Row],[Month]]=Sel_Month,Transactions[[#This Row],[Amount]],0)</f>
        <v>0</v>
      </c>
    </row>
    <row r="346" spans="1:22" x14ac:dyDescent="0.25">
      <c r="A346" t="s">
        <v>61</v>
      </c>
      <c r="B346" t="s">
        <v>66</v>
      </c>
      <c r="C346">
        <v>5000</v>
      </c>
      <c r="D346" t="s">
        <v>67</v>
      </c>
      <c r="E346" t="s">
        <v>224</v>
      </c>
      <c r="F346" t="s">
        <v>69</v>
      </c>
      <c r="H346" t="s">
        <v>227</v>
      </c>
      <c r="I346" t="s">
        <v>71</v>
      </c>
      <c r="J346" t="b">
        <v>0</v>
      </c>
      <c r="K346" t="s">
        <v>228</v>
      </c>
      <c r="L346" t="str">
        <f>_xlfn.XLOOKUP(Transactions[[#This Row],[Account ID]],Accounts[Plaid Account ID],Accounts[Name],"Not Found",0)</f>
        <v>RBC Staff Banking</v>
      </c>
      <c r="M346" t="str">
        <f>_xlfn.XLOOKUP(Transactions[[#This Row],[Account ID]],Accounts[Plaid Account ID],Accounts[Institution Name],"Not Found",0)</f>
        <v>RBC Royal Bank</v>
      </c>
      <c r="N346" t="str">
        <f>IF(Transactions[[#This Row],[Amount]]&lt;0,"credit","debit")</f>
        <v>debit</v>
      </c>
      <c r="O346" t="str" cm="1">
        <f t="array" ref="O34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4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45335</v>
      </c>
      <c r="Q346" s="3">
        <f>DATE(YEAR(Transactions[[#This Row],[Datetime]]),MONTH(Transactions[[#This Row],[Datetime]]),1)</f>
        <v>45323</v>
      </c>
      <c r="R346" t="b">
        <f ca="1">AND(Transactions[[#This Row],[Datetime]]&gt;=EDATE(MAX(Transactions[Datetime]),-6),Transactions[[#This Row],[Datetime]]&lt;=TODAY())</f>
        <v>1</v>
      </c>
      <c r="S346" s="6">
        <f ca="1">AVERAGEIFS(Transactions[Month''s Total],Transactions[Recent],TRUE,Transactions[Custom Category],Transactions[[#This Row],[Custom Category]])</f>
        <v>14532.989714285719</v>
      </c>
      <c r="T346">
        <f>SUMIFS(Transactions[Amount],Transactions[Month],Transactions[[#This Row],[Month]],Transactions[Custom Category],Transactions[[#This Row],[Custom Category]])</f>
        <v>9828.4599999999991</v>
      </c>
      <c r="U34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46">
        <f>IF(Transactions[[#This Row],[Month]]=Sel_Month,Transactions[[#This Row],[Amount]],0)</f>
        <v>0</v>
      </c>
    </row>
    <row r="347" spans="1:22" x14ac:dyDescent="0.25">
      <c r="A347" t="s">
        <v>61</v>
      </c>
      <c r="B347" t="s">
        <v>66</v>
      </c>
      <c r="C347">
        <v>4464.1899999999996</v>
      </c>
      <c r="D347" t="s">
        <v>67</v>
      </c>
      <c r="E347" t="s">
        <v>224</v>
      </c>
      <c r="F347" t="s">
        <v>69</v>
      </c>
      <c r="H347" t="s">
        <v>229</v>
      </c>
      <c r="I347" t="s">
        <v>71</v>
      </c>
      <c r="J347" t="b">
        <v>0</v>
      </c>
      <c r="K347" t="s">
        <v>230</v>
      </c>
      <c r="L347" t="str">
        <f>_xlfn.XLOOKUP(Transactions[[#This Row],[Account ID]],Accounts[Plaid Account ID],Accounts[Name],"Not Found",0)</f>
        <v>RBC Staff Banking</v>
      </c>
      <c r="M347" t="str">
        <f>_xlfn.XLOOKUP(Transactions[[#This Row],[Account ID]],Accounts[Plaid Account ID],Accounts[Institution Name],"Not Found",0)</f>
        <v>RBC Royal Bank</v>
      </c>
      <c r="N347" t="str">
        <f>IF(Transactions[[#This Row],[Amount]]&lt;0,"credit","debit")</f>
        <v>debit</v>
      </c>
      <c r="O347" t="str" cm="1">
        <f t="array" ref="O34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4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45335</v>
      </c>
      <c r="Q347" s="3">
        <f>DATE(YEAR(Transactions[[#This Row],[Datetime]]),MONTH(Transactions[[#This Row],[Datetime]]),1)</f>
        <v>45323</v>
      </c>
      <c r="R347" t="b">
        <f ca="1">AND(Transactions[[#This Row],[Datetime]]&gt;=EDATE(MAX(Transactions[Datetime]),-6),Transactions[[#This Row],[Datetime]]&lt;=TODAY())</f>
        <v>1</v>
      </c>
      <c r="S347" s="6">
        <f ca="1">AVERAGEIFS(Transactions[Month''s Total],Transactions[Recent],TRUE,Transactions[Custom Category],Transactions[[#This Row],[Custom Category]])</f>
        <v>12758.461333333335</v>
      </c>
      <c r="T347">
        <f>SUMIFS(Transactions[Amount],Transactions[Month],Transactions[[#This Row],[Month]],Transactions[Custom Category],Transactions[[#This Row],[Custom Category]])</f>
        <v>14456.86</v>
      </c>
      <c r="U347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47">
        <f>IF(Transactions[[#This Row],[Month]]=Sel_Month,Transactions[[#This Row],[Amount]],0)</f>
        <v>0</v>
      </c>
    </row>
    <row r="348" spans="1:22" x14ac:dyDescent="0.25">
      <c r="A348" t="s">
        <v>63</v>
      </c>
      <c r="B348" t="s">
        <v>66</v>
      </c>
      <c r="C348">
        <v>-4464.1899999999996</v>
      </c>
      <c r="D348" t="s">
        <v>99</v>
      </c>
      <c r="E348" t="s">
        <v>224</v>
      </c>
      <c r="F348" t="s">
        <v>69</v>
      </c>
      <c r="H348" t="s">
        <v>968</v>
      </c>
      <c r="I348" t="s">
        <v>71</v>
      </c>
      <c r="J348" t="b">
        <v>0</v>
      </c>
      <c r="K348" t="s">
        <v>1009</v>
      </c>
      <c r="L348" t="str">
        <f>_xlfn.XLOOKUP(Transactions[[#This Row],[Account ID]],Accounts[Plaid Account ID],Accounts[Name],"Not Found",0)</f>
        <v>WestJet RBC World Elite Mastercard</v>
      </c>
      <c r="M348" t="str">
        <f>_xlfn.XLOOKUP(Transactions[[#This Row],[Account ID]],Accounts[Plaid Account ID],Accounts[Institution Name],"Not Found",0)</f>
        <v>RBC Royal Bank</v>
      </c>
      <c r="N348" t="str">
        <f>IF(Transactions[[#This Row],[Amount]]&lt;0,"credit","debit")</f>
        <v>credit</v>
      </c>
      <c r="O348" t="str" cm="1">
        <f t="array" ref="O34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4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45335</v>
      </c>
      <c r="Q348" s="3">
        <f>DATE(YEAR(Transactions[[#This Row],[Datetime]]),MONTH(Transactions[[#This Row],[Datetime]]),1)</f>
        <v>45323</v>
      </c>
      <c r="R348" t="b">
        <f ca="1">AND(Transactions[[#This Row],[Datetime]]&gt;=EDATE(MAX(Transactions[Datetime]),-6),Transactions[[#This Row],[Datetime]]&lt;=TODAY())</f>
        <v>1</v>
      </c>
      <c r="S348" s="6">
        <f ca="1">AVERAGEIFS(Transactions[Month''s Total],Transactions[Recent],TRUE,Transactions[Custom Category],Transactions[[#This Row],[Custom Category]])</f>
        <v>14532.989714285719</v>
      </c>
      <c r="T348">
        <f>SUMIFS(Transactions[Amount],Transactions[Month],Transactions[[#This Row],[Month]],Transactions[Custom Category],Transactions[[#This Row],[Custom Category]])</f>
        <v>9828.4599999999991</v>
      </c>
      <c r="U34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48">
        <f>IF(Transactions[[#This Row],[Month]]=Sel_Month,Transactions[[#This Row],[Amount]],0)</f>
        <v>0</v>
      </c>
    </row>
    <row r="349" spans="1:22" x14ac:dyDescent="0.25">
      <c r="A349" t="s">
        <v>63</v>
      </c>
      <c r="B349" t="s">
        <v>66</v>
      </c>
      <c r="C349">
        <v>51.39</v>
      </c>
      <c r="D349" t="s">
        <v>958</v>
      </c>
      <c r="E349" t="s">
        <v>224</v>
      </c>
      <c r="F349" t="s">
        <v>69</v>
      </c>
      <c r="G349" t="s">
        <v>960</v>
      </c>
      <c r="H349" t="s">
        <v>960</v>
      </c>
      <c r="I349" t="s">
        <v>132</v>
      </c>
      <c r="J349" t="b">
        <v>0</v>
      </c>
      <c r="K349" t="s">
        <v>1010</v>
      </c>
      <c r="L349" t="str">
        <f>_xlfn.XLOOKUP(Transactions[[#This Row],[Account ID]],Accounts[Plaid Account ID],Accounts[Name],"Not Found",0)</f>
        <v>WestJet RBC World Elite Mastercard</v>
      </c>
      <c r="M349" t="str">
        <f>_xlfn.XLOOKUP(Transactions[[#This Row],[Account ID]],Accounts[Plaid Account ID],Accounts[Institution Name],"Not Found",0)</f>
        <v>RBC Royal Bank</v>
      </c>
      <c r="N349" t="str">
        <f>IF(Transactions[[#This Row],[Amount]]&lt;0,"credit","debit")</f>
        <v>debit</v>
      </c>
      <c r="O349" t="str" cm="1">
        <f t="array" ref="O34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34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45335</v>
      </c>
      <c r="Q349" s="3">
        <f>DATE(YEAR(Transactions[[#This Row],[Datetime]]),MONTH(Transactions[[#This Row],[Datetime]]),1)</f>
        <v>45323</v>
      </c>
      <c r="R349" t="b">
        <f ca="1">AND(Transactions[[#This Row],[Datetime]]&gt;=EDATE(MAX(Transactions[Datetime]),-6),Transactions[[#This Row],[Datetime]]&lt;=TODAY())</f>
        <v>1</v>
      </c>
      <c r="S349" s="6">
        <f ca="1">AVERAGEIFS(Transactions[Month''s Total],Transactions[Recent],TRUE,Transactions[Custom Category],Transactions[[#This Row],[Custom Category]])</f>
        <v>128.65625000000003</v>
      </c>
      <c r="T349">
        <f>SUMIFS(Transactions[Amount],Transactions[Month],Transactions[[#This Row],[Month]],Transactions[Custom Category],Transactions[[#This Row],[Custom Category]])</f>
        <v>200.69</v>
      </c>
      <c r="U349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349">
        <f>IF(Transactions[[#This Row],[Month]]=Sel_Month,Transactions[[#This Row],[Amount]],0)</f>
        <v>0</v>
      </c>
    </row>
    <row r="350" spans="1:22" x14ac:dyDescent="0.25">
      <c r="A350" t="s">
        <v>61</v>
      </c>
      <c r="B350" t="s">
        <v>66</v>
      </c>
      <c r="C350">
        <v>438.93</v>
      </c>
      <c r="D350" t="s">
        <v>129</v>
      </c>
      <c r="E350" t="s">
        <v>220</v>
      </c>
      <c r="F350" t="s">
        <v>69</v>
      </c>
      <c r="G350" t="s">
        <v>130</v>
      </c>
      <c r="H350" t="s">
        <v>131</v>
      </c>
      <c r="I350" t="s">
        <v>132</v>
      </c>
      <c r="J350" t="b">
        <v>0</v>
      </c>
      <c r="K350" t="s">
        <v>221</v>
      </c>
      <c r="L350" t="str">
        <f>_xlfn.XLOOKUP(Transactions[[#This Row],[Account ID]],Accounts[Plaid Account ID],Accounts[Name],"Not Found",0)</f>
        <v>RBC Staff Banking</v>
      </c>
      <c r="M350" t="str">
        <f>_xlfn.XLOOKUP(Transactions[[#This Row],[Account ID]],Accounts[Plaid Account ID],Accounts[Institution Name],"Not Found",0)</f>
        <v>RBC Royal Bank</v>
      </c>
      <c r="N350" t="str">
        <f>IF(Transactions[[#This Row],[Amount]]&lt;0,"credit","debit")</f>
        <v>debit</v>
      </c>
      <c r="O350" t="str" cm="1">
        <f t="array" ref="O35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Insurance,Car</v>
      </c>
      <c r="P35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45336</v>
      </c>
      <c r="Q350" s="3">
        <f>DATE(YEAR(Transactions[[#This Row],[Datetime]]),MONTH(Transactions[[#This Row],[Datetime]]),1)</f>
        <v>45323</v>
      </c>
      <c r="R350" t="b">
        <f ca="1">AND(Transactions[[#This Row],[Datetime]]&gt;=EDATE(MAX(Transactions[Datetime]),-6),Transactions[[#This Row],[Datetime]]&lt;=TODAY())</f>
        <v>1</v>
      </c>
      <c r="S350" s="6">
        <f ca="1">AVERAGEIFS(Transactions[Month''s Total],Transactions[Recent],TRUE,Transactions[Custom Category],Transactions[[#This Row],[Custom Category]])</f>
        <v>432.99599999999998</v>
      </c>
      <c r="T350">
        <f>SUMIFS(Transactions[Amount],Transactions[Month],Transactions[[#This Row],[Month]],Transactions[Custom Category],Transactions[[#This Row],[Custom Category]])</f>
        <v>438.93</v>
      </c>
      <c r="U350">
        <f ca="1">IF(COUNTIF(Budgets[Custom Category],Transactions[[#This Row],[Custom Category]])=0,Transactions[[#This Row],[6M AVG]],_xlfn.XLOOKUP(Transactions[[#This Row],[Custom Category]],Budgets[Custom Category],Budgets[Monthly],0,0))</f>
        <v>432.99599999999998</v>
      </c>
      <c r="V350">
        <f>IF(Transactions[[#This Row],[Month]]=Sel_Month,Transactions[[#This Row],[Amount]],0)</f>
        <v>0</v>
      </c>
    </row>
    <row r="351" spans="1:22" x14ac:dyDescent="0.25">
      <c r="A351" t="s">
        <v>61</v>
      </c>
      <c r="B351" t="s">
        <v>66</v>
      </c>
      <c r="C351">
        <v>65.7</v>
      </c>
      <c r="D351" t="s">
        <v>129</v>
      </c>
      <c r="E351" t="s">
        <v>220</v>
      </c>
      <c r="F351" t="s">
        <v>69</v>
      </c>
      <c r="G351" t="s">
        <v>138</v>
      </c>
      <c r="H351" t="s">
        <v>139</v>
      </c>
      <c r="I351" t="s">
        <v>132</v>
      </c>
      <c r="J351" t="b">
        <v>0</v>
      </c>
      <c r="K351" t="s">
        <v>222</v>
      </c>
      <c r="L351" t="str">
        <f>_xlfn.XLOOKUP(Transactions[[#This Row],[Account ID]],Accounts[Plaid Account ID],Accounts[Name],"Not Found",0)</f>
        <v>RBC Staff Banking</v>
      </c>
      <c r="M351" t="str">
        <f>_xlfn.XLOOKUP(Transactions[[#This Row],[Account ID]],Accounts[Plaid Account ID],Accounts[Institution Name],"Not Found",0)</f>
        <v>RBC Royal Bank</v>
      </c>
      <c r="N351" t="str">
        <f>IF(Transactions[[#This Row],[Amount]]&lt;0,"credit","debit")</f>
        <v>debit</v>
      </c>
      <c r="O351" t="str" cm="1">
        <f t="array" ref="O35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Insurance,Life</v>
      </c>
      <c r="P35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45336</v>
      </c>
      <c r="Q351" s="3">
        <f>DATE(YEAR(Transactions[[#This Row],[Datetime]]),MONTH(Transactions[[#This Row],[Datetime]]),1)</f>
        <v>45323</v>
      </c>
      <c r="R351" t="b">
        <f ca="1">AND(Transactions[[#This Row],[Datetime]]&gt;=EDATE(MAX(Transactions[Datetime]),-6),Transactions[[#This Row],[Datetime]]&lt;=TODAY())</f>
        <v>1</v>
      </c>
      <c r="S351" s="6">
        <f ca="1">AVERAGEIFS(Transactions[Month''s Total],Transactions[Recent],TRUE,Transactions[Custom Category],Transactions[[#This Row],[Custom Category]])</f>
        <v>65.7</v>
      </c>
      <c r="T351">
        <f>SUMIFS(Transactions[Amount],Transactions[Month],Transactions[[#This Row],[Month]],Transactions[Custom Category],Transactions[[#This Row],[Custom Category]])</f>
        <v>65.7</v>
      </c>
      <c r="U351">
        <f ca="1">IF(COUNTIF(Budgets[Custom Category],Transactions[[#This Row],[Custom Category]])=0,Transactions[[#This Row],[6M AVG]],_xlfn.XLOOKUP(Transactions[[#This Row],[Custom Category]],Budgets[Custom Category],Budgets[Monthly],0,0))</f>
        <v>65.7</v>
      </c>
      <c r="V351">
        <f>IF(Transactions[[#This Row],[Month]]=Sel_Month,Transactions[[#This Row],[Amount]],0)</f>
        <v>0</v>
      </c>
    </row>
    <row r="352" spans="1:22" x14ac:dyDescent="0.25">
      <c r="A352" t="s">
        <v>61</v>
      </c>
      <c r="B352" t="s">
        <v>66</v>
      </c>
      <c r="C352">
        <v>56.05</v>
      </c>
      <c r="D352" t="s">
        <v>129</v>
      </c>
      <c r="E352" t="s">
        <v>220</v>
      </c>
      <c r="F352" t="s">
        <v>69</v>
      </c>
      <c r="G352" t="s">
        <v>130</v>
      </c>
      <c r="H352" t="s">
        <v>131</v>
      </c>
      <c r="I352" t="s">
        <v>132</v>
      </c>
      <c r="J352" t="b">
        <v>0</v>
      </c>
      <c r="K352" t="s">
        <v>223</v>
      </c>
      <c r="L352" t="str">
        <f>_xlfn.XLOOKUP(Transactions[[#This Row],[Account ID]],Accounts[Plaid Account ID],Accounts[Name],"Not Found",0)</f>
        <v>RBC Staff Banking</v>
      </c>
      <c r="M352" t="str">
        <f>_xlfn.XLOOKUP(Transactions[[#This Row],[Account ID]],Accounts[Plaid Account ID],Accounts[Institution Name],"Not Found",0)</f>
        <v>RBC Royal Bank</v>
      </c>
      <c r="N352" t="str">
        <f>IF(Transactions[[#This Row],[Amount]]&lt;0,"credit","debit")</f>
        <v>debit</v>
      </c>
      <c r="O352" t="str" cm="1">
        <f t="array" ref="O35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Insurance,Home</v>
      </c>
      <c r="P35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45336</v>
      </c>
      <c r="Q352" s="3">
        <f>DATE(YEAR(Transactions[[#This Row],[Datetime]]),MONTH(Transactions[[#This Row],[Datetime]]),1)</f>
        <v>45323</v>
      </c>
      <c r="R352" t="b">
        <f ca="1">AND(Transactions[[#This Row],[Datetime]]&gt;=EDATE(MAX(Transactions[Datetime]),-6),Transactions[[#This Row],[Datetime]]&lt;=TODAY())</f>
        <v>1</v>
      </c>
      <c r="S352" s="6">
        <f ca="1">AVERAGEIFS(Transactions[Month''s Total],Transactions[Recent],TRUE,Transactions[Custom Category],Transactions[[#This Row],[Custom Category]])</f>
        <v>57.905000000000001</v>
      </c>
      <c r="T352">
        <f>SUMIFS(Transactions[Amount],Transactions[Month],Transactions[[#This Row],[Month]],Transactions[Custom Category],Transactions[[#This Row],[Custom Category]])</f>
        <v>56.05</v>
      </c>
      <c r="U352">
        <f ca="1">IF(COUNTIF(Budgets[Custom Category],Transactions[[#This Row],[Custom Category]])=0,Transactions[[#This Row],[6M AVG]],_xlfn.XLOOKUP(Transactions[[#This Row],[Custom Category]],Budgets[Custom Category],Budgets[Monthly],0,0))</f>
        <v>57.905000000000001</v>
      </c>
      <c r="V352">
        <f>IF(Transactions[[#This Row],[Month]]=Sel_Month,Transactions[[#This Row],[Amount]],0)</f>
        <v>0</v>
      </c>
    </row>
    <row r="353" spans="1:22" x14ac:dyDescent="0.25">
      <c r="A353" t="s">
        <v>61</v>
      </c>
      <c r="B353" t="s">
        <v>66</v>
      </c>
      <c r="C353">
        <v>324.55</v>
      </c>
      <c r="D353" t="s">
        <v>134</v>
      </c>
      <c r="E353" t="s">
        <v>218</v>
      </c>
      <c r="F353" t="s">
        <v>69</v>
      </c>
      <c r="G353" t="s">
        <v>135</v>
      </c>
      <c r="H353" t="s">
        <v>136</v>
      </c>
      <c r="I353" t="s">
        <v>132</v>
      </c>
      <c r="J353" t="b">
        <v>0</v>
      </c>
      <c r="K353" t="s">
        <v>219</v>
      </c>
      <c r="L353" t="str">
        <f>_xlfn.XLOOKUP(Transactions[[#This Row],[Account ID]],Accounts[Plaid Account ID],Accounts[Name],"Not Found",0)</f>
        <v>RBC Staff Banking</v>
      </c>
      <c r="M353" t="str">
        <f>_xlfn.XLOOKUP(Transactions[[#This Row],[Account ID]],Accounts[Plaid Account ID],Accounts[Institution Name],"Not Found",0)</f>
        <v>RBC Royal Bank</v>
      </c>
      <c r="N353" t="str">
        <f>IF(Transactions[[#This Row],[Amount]]&lt;0,"credit","debit")</f>
        <v>debit</v>
      </c>
      <c r="O353" t="str" cm="1">
        <f t="array" ref="O35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35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45337</v>
      </c>
      <c r="Q353" s="3">
        <f>DATE(YEAR(Transactions[[#This Row],[Datetime]]),MONTH(Transactions[[#This Row],[Datetime]]),1)</f>
        <v>45323</v>
      </c>
      <c r="R353" t="b">
        <f ca="1">AND(Transactions[[#This Row],[Datetime]]&gt;=EDATE(MAX(Transactions[Datetime]),-6),Transactions[[#This Row],[Datetime]]&lt;=TODAY())</f>
        <v>1</v>
      </c>
      <c r="S353" s="6">
        <f ca="1">AVERAGEIFS(Transactions[Month''s Total],Transactions[Recent],TRUE,Transactions[Custom Category],Transactions[[#This Row],[Custom Category]])</f>
        <v>624.12818181818193</v>
      </c>
      <c r="T353">
        <f>SUMIFS(Transactions[Amount],Transactions[Month],Transactions[[#This Row],[Month]],Transactions[Custom Category],Transactions[[#This Row],[Custom Category]])</f>
        <v>973.65000000000009</v>
      </c>
      <c r="U353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353">
        <f>IF(Transactions[[#This Row],[Month]]=Sel_Month,Transactions[[#This Row],[Amount]],0)</f>
        <v>0</v>
      </c>
    </row>
    <row r="354" spans="1:22" x14ac:dyDescent="0.25">
      <c r="A354" t="s">
        <v>22</v>
      </c>
      <c r="B354" t="s">
        <v>66</v>
      </c>
      <c r="C354">
        <v>11.95</v>
      </c>
      <c r="D354" t="s">
        <v>79</v>
      </c>
      <c r="E354" t="s">
        <v>83</v>
      </c>
      <c r="F354" t="s">
        <v>69</v>
      </c>
      <c r="H354" t="s">
        <v>84</v>
      </c>
      <c r="I354" t="s">
        <v>71</v>
      </c>
      <c r="J354" t="b">
        <v>0</v>
      </c>
      <c r="K354" t="s">
        <v>85</v>
      </c>
      <c r="L354" t="str">
        <f>_xlfn.XLOOKUP(Transactions[[#This Row],[Account ID]],Accounts[Plaid Account ID],Accounts[Name],"Not Found",0)</f>
        <v>Preferred Package</v>
      </c>
      <c r="M354" t="str">
        <f>_xlfn.XLOOKUP(Transactions[[#This Row],[Account ID]],Accounts[Plaid Account ID],Accounts[Institution Name],"Not Found",0)</f>
        <v>Scotiabank</v>
      </c>
      <c r="N354" t="str">
        <f>IF(Transactions[[#This Row],[Amount]]&lt;0,"credit","debit")</f>
        <v>debit</v>
      </c>
      <c r="O354" t="str" cm="1">
        <f t="array" ref="O35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35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45338</v>
      </c>
      <c r="Q354" s="3">
        <f>DATE(YEAR(Transactions[[#This Row],[Datetime]]),MONTH(Transactions[[#This Row],[Datetime]]),1)</f>
        <v>45323</v>
      </c>
      <c r="R354" t="b">
        <f ca="1">AND(Transactions[[#This Row],[Datetime]]&gt;=EDATE(MAX(Transactions[Datetime]),-6),Transactions[[#This Row],[Datetime]]&lt;=TODAY())</f>
        <v>1</v>
      </c>
      <c r="S354" s="6">
        <f ca="1">AVERAGEIFS(Transactions[Month''s Total],Transactions[Recent],TRUE,Transactions[Custom Category],Transactions[[#This Row],[Custom Category]])</f>
        <v>2.5077777777777777</v>
      </c>
      <c r="T354">
        <f>SUMIFS(Transactions[Amount],Transactions[Month],Transactions[[#This Row],[Month]],Transactions[Custom Category],Transactions[[#This Row],[Custom Category]])</f>
        <v>0.58000000000000007</v>
      </c>
      <c r="U354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354">
        <f>IF(Transactions[[#This Row],[Month]]=Sel_Month,Transactions[[#This Row],[Amount]],0)</f>
        <v>0</v>
      </c>
    </row>
    <row r="355" spans="1:22" x14ac:dyDescent="0.25">
      <c r="A355" t="s">
        <v>63</v>
      </c>
      <c r="B355" t="s">
        <v>66</v>
      </c>
      <c r="C355">
        <v>1.52</v>
      </c>
      <c r="D355" t="s">
        <v>1006</v>
      </c>
      <c r="E355" t="s">
        <v>83</v>
      </c>
      <c r="F355" t="s">
        <v>69</v>
      </c>
      <c r="G355" t="s">
        <v>1007</v>
      </c>
      <c r="H355" t="s">
        <v>1007</v>
      </c>
      <c r="I355" t="s">
        <v>109</v>
      </c>
      <c r="J355" t="b">
        <v>0</v>
      </c>
      <c r="K355" t="s">
        <v>1008</v>
      </c>
      <c r="L355" t="str">
        <f>_xlfn.XLOOKUP(Transactions[[#This Row],[Account ID]],Accounts[Plaid Account ID],Accounts[Name],"Not Found",0)</f>
        <v>WestJet RBC World Elite Mastercard</v>
      </c>
      <c r="M355" t="str">
        <f>_xlfn.XLOOKUP(Transactions[[#This Row],[Account ID]],Accounts[Plaid Account ID],Accounts[Institution Name],"Not Found",0)</f>
        <v>RBC Royal Bank</v>
      </c>
      <c r="N355" t="str">
        <f>IF(Transactions[[#This Row],[Amount]]&lt;0,"credit","debit")</f>
        <v>debit</v>
      </c>
      <c r="O355" t="str" cm="1">
        <f t="array" ref="O35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Food and Drink, Restaurants</v>
      </c>
      <c r="P35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45338</v>
      </c>
      <c r="Q355" s="3">
        <f>DATE(YEAR(Transactions[[#This Row],[Datetime]]),MONTH(Transactions[[#This Row],[Datetime]]),1)</f>
        <v>45323</v>
      </c>
      <c r="R355" t="b">
        <f ca="1">AND(Transactions[[#This Row],[Datetime]]&gt;=EDATE(MAX(Transactions[Datetime]),-6),Transactions[[#This Row],[Datetime]]&lt;=TODAY())</f>
        <v>1</v>
      </c>
      <c r="S355" s="6">
        <f ca="1">AVERAGEIFS(Transactions[Month''s Total],Transactions[Recent],TRUE,Transactions[Custom Category],Transactions[[#This Row],[Custom Category]])</f>
        <v>414.67285714285714</v>
      </c>
      <c r="T355">
        <f>SUMIFS(Transactions[Amount],Transactions[Month],Transactions[[#This Row],[Month]],Transactions[Custom Category],Transactions[[#This Row],[Custom Category]])</f>
        <v>482.13</v>
      </c>
      <c r="U355">
        <f>IF(COUNTIF(Budgets[Custom Category],Transactions[[#This Row],[Custom Category]])=0,Transactions[[#This Row],[6M AVG]],_xlfn.XLOOKUP(Transactions[[#This Row],[Custom Category]],Budgets[Custom Category],Budgets[Monthly],0,0))</f>
        <v>800</v>
      </c>
      <c r="V355">
        <f>IF(Transactions[[#This Row],[Month]]=Sel_Month,Transactions[[#This Row],[Amount]],0)</f>
        <v>0</v>
      </c>
    </row>
    <row r="356" spans="1:22" x14ac:dyDescent="0.25">
      <c r="A356" t="s">
        <v>63</v>
      </c>
      <c r="B356" t="s">
        <v>66</v>
      </c>
      <c r="C356">
        <v>3.7</v>
      </c>
      <c r="D356" t="s">
        <v>963</v>
      </c>
      <c r="E356" t="s">
        <v>1000</v>
      </c>
      <c r="F356" t="s">
        <v>69</v>
      </c>
      <c r="G356" t="s">
        <v>964</v>
      </c>
      <c r="H356" t="s">
        <v>1001</v>
      </c>
      <c r="I356" t="s">
        <v>109</v>
      </c>
      <c r="J356" t="b">
        <v>0</v>
      </c>
      <c r="K356" t="s">
        <v>1002</v>
      </c>
      <c r="L356" t="str">
        <f>_xlfn.XLOOKUP(Transactions[[#This Row],[Account ID]],Accounts[Plaid Account ID],Accounts[Name],"Not Found",0)</f>
        <v>WestJet RBC World Elite Mastercard</v>
      </c>
      <c r="M356" t="str">
        <f>_xlfn.XLOOKUP(Transactions[[#This Row],[Account ID]],Accounts[Plaid Account ID],Accounts[Institution Name],"Not Found",0)</f>
        <v>RBC Royal Bank</v>
      </c>
      <c r="N356" t="str">
        <f>IF(Transactions[[#This Row],[Amount]]&lt;0,"credit","debit")</f>
        <v>debit</v>
      </c>
      <c r="O356" t="str" cm="1">
        <f t="array" ref="O35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Public Transportation Services</v>
      </c>
      <c r="P35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45339</v>
      </c>
      <c r="Q356" s="3">
        <f>DATE(YEAR(Transactions[[#This Row],[Datetime]]),MONTH(Transactions[[#This Row],[Datetime]]),1)</f>
        <v>45323</v>
      </c>
      <c r="R356" t="b">
        <f ca="1">AND(Transactions[[#This Row],[Datetime]]&gt;=EDATE(MAX(Transactions[Datetime]),-6),Transactions[[#This Row],[Datetime]]&lt;=TODAY())</f>
        <v>1</v>
      </c>
      <c r="S356" s="6">
        <f ca="1">AVERAGEIFS(Transactions[Month''s Total],Transactions[Recent],TRUE,Transactions[Custom Category],Transactions[[#This Row],[Custom Category]])</f>
        <v>11.100000000000001</v>
      </c>
      <c r="T356">
        <f>SUMIFS(Transactions[Amount],Transactions[Month],Transactions[[#This Row],[Month]],Transactions[Custom Category],Transactions[[#This Row],[Custom Category]])</f>
        <v>14.8</v>
      </c>
      <c r="U356">
        <f ca="1">IF(COUNTIF(Budgets[Custom Category],Transactions[[#This Row],[Custom Category]])=0,Transactions[[#This Row],[6M AVG]],_xlfn.XLOOKUP(Transactions[[#This Row],[Custom Category]],Budgets[Custom Category],Budgets[Monthly],0,0))</f>
        <v>11.100000000000001</v>
      </c>
      <c r="V356">
        <f>IF(Transactions[[#This Row],[Month]]=Sel_Month,Transactions[[#This Row],[Amount]],0)</f>
        <v>0</v>
      </c>
    </row>
    <row r="357" spans="1:22" x14ac:dyDescent="0.25">
      <c r="A357" t="s">
        <v>63</v>
      </c>
      <c r="B357" t="s">
        <v>66</v>
      </c>
      <c r="C357">
        <v>16.39</v>
      </c>
      <c r="D357" t="s">
        <v>1003</v>
      </c>
      <c r="E357" t="s">
        <v>1000</v>
      </c>
      <c r="F357" t="s">
        <v>69</v>
      </c>
      <c r="H357" t="s">
        <v>1004</v>
      </c>
      <c r="I357" t="s">
        <v>109</v>
      </c>
      <c r="J357" t="b">
        <v>0</v>
      </c>
      <c r="K357" t="s">
        <v>1005</v>
      </c>
      <c r="L357" t="str">
        <f>_xlfn.XLOOKUP(Transactions[[#This Row],[Account ID]],Accounts[Plaid Account ID],Accounts[Name],"Not Found",0)</f>
        <v>WestJet RBC World Elite Mastercard</v>
      </c>
      <c r="M357" t="str">
        <f>_xlfn.XLOOKUP(Transactions[[#This Row],[Account ID]],Accounts[Plaid Account ID],Accounts[Institution Name],"Not Found",0)</f>
        <v>RBC Royal Bank</v>
      </c>
      <c r="N357" t="str">
        <f>IF(Transactions[[#This Row],[Amount]]&lt;0,"credit","debit")</f>
        <v>debit</v>
      </c>
      <c r="O357" t="str" cm="1">
        <f t="array" ref="O35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Discretionary</v>
      </c>
      <c r="P35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45339</v>
      </c>
      <c r="Q357" s="3">
        <f>DATE(YEAR(Transactions[[#This Row],[Datetime]]),MONTH(Transactions[[#This Row],[Datetime]]),1)</f>
        <v>45323</v>
      </c>
      <c r="R357" t="b">
        <f ca="1">AND(Transactions[[#This Row],[Datetime]]&gt;=EDATE(MAX(Transactions[Datetime]),-6),Transactions[[#This Row],[Datetime]]&lt;=TODAY())</f>
        <v>1</v>
      </c>
      <c r="S357" s="6">
        <f ca="1">AVERAGEIFS(Transactions[Month''s Total],Transactions[Recent],TRUE,Transactions[Custom Category],Transactions[[#This Row],[Custom Category]])</f>
        <v>16.39</v>
      </c>
      <c r="T357">
        <f>SUMIFS(Transactions[Amount],Transactions[Month],Transactions[[#This Row],[Month]],Transactions[Custom Category],Transactions[[#This Row],[Custom Category]])</f>
        <v>16.39</v>
      </c>
      <c r="U357">
        <f ca="1">IF(COUNTIF(Budgets[Custom Category],Transactions[[#This Row],[Custom Category]])=0,Transactions[[#This Row],[6M AVG]],_xlfn.XLOOKUP(Transactions[[#This Row],[Custom Category]],Budgets[Custom Category],Budgets[Monthly],0,0))</f>
        <v>16.39</v>
      </c>
      <c r="V357">
        <f>IF(Transactions[[#This Row],[Month]]=Sel_Month,Transactions[[#This Row],[Amount]],0)</f>
        <v>0</v>
      </c>
    </row>
    <row r="358" spans="1:22" x14ac:dyDescent="0.25">
      <c r="A358" t="s">
        <v>61</v>
      </c>
      <c r="B358" t="s">
        <v>66</v>
      </c>
      <c r="C358">
        <v>0.57999999999999996</v>
      </c>
      <c r="D358" t="s">
        <v>95</v>
      </c>
      <c r="E358" t="s">
        <v>216</v>
      </c>
      <c r="F358" t="s">
        <v>69</v>
      </c>
      <c r="H358" t="s">
        <v>118</v>
      </c>
      <c r="I358" t="s">
        <v>71</v>
      </c>
      <c r="J358" t="b">
        <v>0</v>
      </c>
      <c r="K358" t="s">
        <v>217</v>
      </c>
      <c r="L358" t="str">
        <f>_xlfn.XLOOKUP(Transactions[[#This Row],[Account ID]],Accounts[Plaid Account ID],Accounts[Name],"Not Found",0)</f>
        <v>RBC Staff Banking</v>
      </c>
      <c r="M358" t="str">
        <f>_xlfn.XLOOKUP(Transactions[[#This Row],[Account ID]],Accounts[Plaid Account ID],Accounts[Institution Name],"Not Found",0)</f>
        <v>RBC Royal Bank</v>
      </c>
      <c r="N358" t="str">
        <f>IF(Transactions[[#This Row],[Amount]]&lt;0,"credit","debit")</f>
        <v>debit</v>
      </c>
      <c r="O358" t="str" cm="1">
        <f t="array" ref="O35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35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45340</v>
      </c>
      <c r="Q358" s="3">
        <f>DATE(YEAR(Transactions[[#This Row],[Datetime]]),MONTH(Transactions[[#This Row],[Datetime]]),1)</f>
        <v>45323</v>
      </c>
      <c r="R358" t="b">
        <f ca="1">AND(Transactions[[#This Row],[Datetime]]&gt;=EDATE(MAX(Transactions[Datetime]),-6),Transactions[[#This Row],[Datetime]]&lt;=TODAY())</f>
        <v>1</v>
      </c>
      <c r="S358" s="6">
        <f ca="1">AVERAGEIFS(Transactions[Month''s Total],Transactions[Recent],TRUE,Transactions[Custom Category],Transactions[[#This Row],[Custom Category]])</f>
        <v>2.5077777777777777</v>
      </c>
      <c r="T358">
        <f>SUMIFS(Transactions[Amount],Transactions[Month],Transactions[[#This Row],[Month]],Transactions[Custom Category],Transactions[[#This Row],[Custom Category]])</f>
        <v>0.58000000000000007</v>
      </c>
      <c r="U358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358">
        <f>IF(Transactions[[#This Row],[Month]]=Sel_Month,Transactions[[#This Row],[Amount]],0)</f>
        <v>0</v>
      </c>
    </row>
    <row r="359" spans="1:22" x14ac:dyDescent="0.25">
      <c r="A359" t="s">
        <v>63</v>
      </c>
      <c r="B359" t="s">
        <v>66</v>
      </c>
      <c r="C359">
        <v>5.64</v>
      </c>
      <c r="D359" t="s">
        <v>197</v>
      </c>
      <c r="E359" t="s">
        <v>996</v>
      </c>
      <c r="F359" t="s">
        <v>69</v>
      </c>
      <c r="G359" t="s">
        <v>198</v>
      </c>
      <c r="H359" t="s">
        <v>198</v>
      </c>
      <c r="I359" t="s">
        <v>109</v>
      </c>
      <c r="J359" t="b">
        <v>0</v>
      </c>
      <c r="K359" t="s">
        <v>997</v>
      </c>
      <c r="L359" t="str">
        <f>_xlfn.XLOOKUP(Transactions[[#This Row],[Account ID]],Accounts[Plaid Account ID],Accounts[Name],"Not Found",0)</f>
        <v>WestJet RBC World Elite Mastercard</v>
      </c>
      <c r="M359" t="str">
        <f>_xlfn.XLOOKUP(Transactions[[#This Row],[Account ID]],Accounts[Plaid Account ID],Accounts[Institution Name],"Not Found",0)</f>
        <v>RBC Royal Bank</v>
      </c>
      <c r="N359" t="str">
        <f>IF(Transactions[[#This Row],[Amount]]&lt;0,"credit","debit")</f>
        <v>debit</v>
      </c>
      <c r="O359" t="str" cm="1">
        <f t="array" ref="O35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Food and Drink, Restaurants</v>
      </c>
      <c r="P35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45341</v>
      </c>
      <c r="Q359" s="3">
        <f>DATE(YEAR(Transactions[[#This Row],[Datetime]]),MONTH(Transactions[[#This Row],[Datetime]]),1)</f>
        <v>45323</v>
      </c>
      <c r="R359" t="b">
        <f ca="1">AND(Transactions[[#This Row],[Datetime]]&gt;=EDATE(MAX(Transactions[Datetime]),-6),Transactions[[#This Row],[Datetime]]&lt;=TODAY())</f>
        <v>1</v>
      </c>
      <c r="S359" s="6">
        <f ca="1">AVERAGEIFS(Transactions[Month''s Total],Transactions[Recent],TRUE,Transactions[Custom Category],Transactions[[#This Row],[Custom Category]])</f>
        <v>414.67285714285714</v>
      </c>
      <c r="T359">
        <f>SUMIFS(Transactions[Amount],Transactions[Month],Transactions[[#This Row],[Month]],Transactions[Custom Category],Transactions[[#This Row],[Custom Category]])</f>
        <v>482.13</v>
      </c>
      <c r="U359">
        <f>IF(COUNTIF(Budgets[Custom Category],Transactions[[#This Row],[Custom Category]])=0,Transactions[[#This Row],[6M AVG]],_xlfn.XLOOKUP(Transactions[[#This Row],[Custom Category]],Budgets[Custom Category],Budgets[Monthly],0,0))</f>
        <v>800</v>
      </c>
      <c r="V359">
        <f>IF(Transactions[[#This Row],[Month]]=Sel_Month,Transactions[[#This Row],[Amount]],0)</f>
        <v>0</v>
      </c>
    </row>
    <row r="360" spans="1:22" x14ac:dyDescent="0.25">
      <c r="A360" t="s">
        <v>63</v>
      </c>
      <c r="B360" t="s">
        <v>66</v>
      </c>
      <c r="C360">
        <v>3.7</v>
      </c>
      <c r="D360" t="s">
        <v>963</v>
      </c>
      <c r="E360" t="s">
        <v>996</v>
      </c>
      <c r="F360" t="s">
        <v>69</v>
      </c>
      <c r="G360" t="s">
        <v>964</v>
      </c>
      <c r="H360" t="s">
        <v>998</v>
      </c>
      <c r="I360" t="s">
        <v>109</v>
      </c>
      <c r="J360" t="b">
        <v>0</v>
      </c>
      <c r="K360" t="s">
        <v>999</v>
      </c>
      <c r="L360" t="str">
        <f>_xlfn.XLOOKUP(Transactions[[#This Row],[Account ID]],Accounts[Plaid Account ID],Accounts[Name],"Not Found",0)</f>
        <v>WestJet RBC World Elite Mastercard</v>
      </c>
      <c r="M360" t="str">
        <f>_xlfn.XLOOKUP(Transactions[[#This Row],[Account ID]],Accounts[Plaid Account ID],Accounts[Institution Name],"Not Found",0)</f>
        <v>RBC Royal Bank</v>
      </c>
      <c r="N360" t="str">
        <f>IF(Transactions[[#This Row],[Amount]]&lt;0,"credit","debit")</f>
        <v>debit</v>
      </c>
      <c r="O360" t="str" cm="1">
        <f t="array" ref="O36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Public Transportation Services</v>
      </c>
      <c r="P36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45341</v>
      </c>
      <c r="Q360" s="3">
        <f>DATE(YEAR(Transactions[[#This Row],[Datetime]]),MONTH(Transactions[[#This Row],[Datetime]]),1)</f>
        <v>45323</v>
      </c>
      <c r="R360" t="b">
        <f ca="1">AND(Transactions[[#This Row],[Datetime]]&gt;=EDATE(MAX(Transactions[Datetime]),-6),Transactions[[#This Row],[Datetime]]&lt;=TODAY())</f>
        <v>1</v>
      </c>
      <c r="S360" s="6">
        <f ca="1">AVERAGEIFS(Transactions[Month''s Total],Transactions[Recent],TRUE,Transactions[Custom Category],Transactions[[#This Row],[Custom Category]])</f>
        <v>11.100000000000001</v>
      </c>
      <c r="T360">
        <f>SUMIFS(Transactions[Amount],Transactions[Month],Transactions[[#This Row],[Month]],Transactions[Custom Category],Transactions[[#This Row],[Custom Category]])</f>
        <v>14.8</v>
      </c>
      <c r="U360">
        <f ca="1">IF(COUNTIF(Budgets[Custom Category],Transactions[[#This Row],[Custom Category]])=0,Transactions[[#This Row],[6M AVG]],_xlfn.XLOOKUP(Transactions[[#This Row],[Custom Category]],Budgets[Custom Category],Budgets[Monthly],0,0))</f>
        <v>11.100000000000001</v>
      </c>
      <c r="V360">
        <f>IF(Transactions[[#This Row],[Month]]=Sel_Month,Transactions[[#This Row],[Amount]],0)</f>
        <v>0</v>
      </c>
    </row>
    <row r="361" spans="1:22" x14ac:dyDescent="0.25">
      <c r="A361" t="s">
        <v>22</v>
      </c>
      <c r="B361" t="s">
        <v>66</v>
      </c>
      <c r="C361">
        <v>-11.95</v>
      </c>
      <c r="D361" t="s">
        <v>79</v>
      </c>
      <c r="E361" t="s">
        <v>80</v>
      </c>
      <c r="F361" t="s">
        <v>69</v>
      </c>
      <c r="H361" t="s">
        <v>81</v>
      </c>
      <c r="I361" t="s">
        <v>71</v>
      </c>
      <c r="J361" t="b">
        <v>0</v>
      </c>
      <c r="K361" t="s">
        <v>82</v>
      </c>
      <c r="L361" t="str">
        <f>_xlfn.XLOOKUP(Transactions[[#This Row],[Account ID]],Accounts[Plaid Account ID],Accounts[Name],"Not Found",0)</f>
        <v>Preferred Package</v>
      </c>
      <c r="M361" t="str">
        <f>_xlfn.XLOOKUP(Transactions[[#This Row],[Account ID]],Accounts[Plaid Account ID],Accounts[Institution Name],"Not Found",0)</f>
        <v>Scotiabank</v>
      </c>
      <c r="N361" t="str">
        <f>IF(Transactions[[#This Row],[Amount]]&lt;0,"credit","debit")</f>
        <v>credit</v>
      </c>
      <c r="O361" t="str" cm="1">
        <f t="array" ref="O36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36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45342</v>
      </c>
      <c r="Q361" s="3">
        <f>DATE(YEAR(Transactions[[#This Row],[Datetime]]),MONTH(Transactions[[#This Row],[Datetime]]),1)</f>
        <v>45323</v>
      </c>
      <c r="R361" t="b">
        <f ca="1">AND(Transactions[[#This Row],[Datetime]]&gt;=EDATE(MAX(Transactions[Datetime]),-6),Transactions[[#This Row],[Datetime]]&lt;=TODAY())</f>
        <v>1</v>
      </c>
      <c r="S361" s="6">
        <f ca="1">AVERAGEIFS(Transactions[Month''s Total],Transactions[Recent],TRUE,Transactions[Custom Category],Transactions[[#This Row],[Custom Category]])</f>
        <v>2.5077777777777777</v>
      </c>
      <c r="T361">
        <f>SUMIFS(Transactions[Amount],Transactions[Month],Transactions[[#This Row],[Month]],Transactions[Custom Category],Transactions[[#This Row],[Custom Category]])</f>
        <v>0.58000000000000007</v>
      </c>
      <c r="U361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361">
        <f>IF(Transactions[[#This Row],[Month]]=Sel_Month,Transactions[[#This Row],[Amount]],0)</f>
        <v>0</v>
      </c>
    </row>
    <row r="362" spans="1:22" x14ac:dyDescent="0.25">
      <c r="A362" t="s">
        <v>63</v>
      </c>
      <c r="B362" t="s">
        <v>66</v>
      </c>
      <c r="C362">
        <v>3.7</v>
      </c>
      <c r="D362" t="s">
        <v>963</v>
      </c>
      <c r="E362" t="s">
        <v>80</v>
      </c>
      <c r="F362" t="s">
        <v>69</v>
      </c>
      <c r="G362" t="s">
        <v>964</v>
      </c>
      <c r="H362" t="s">
        <v>994</v>
      </c>
      <c r="I362" t="s">
        <v>109</v>
      </c>
      <c r="J362" t="b">
        <v>0</v>
      </c>
      <c r="K362" t="s">
        <v>995</v>
      </c>
      <c r="L362" t="str">
        <f>_xlfn.XLOOKUP(Transactions[[#This Row],[Account ID]],Accounts[Plaid Account ID],Accounts[Name],"Not Found",0)</f>
        <v>WestJet RBC World Elite Mastercard</v>
      </c>
      <c r="M362" t="str">
        <f>_xlfn.XLOOKUP(Transactions[[#This Row],[Account ID]],Accounts[Plaid Account ID],Accounts[Institution Name],"Not Found",0)</f>
        <v>RBC Royal Bank</v>
      </c>
      <c r="N362" t="str">
        <f>IF(Transactions[[#This Row],[Amount]]&lt;0,"credit","debit")</f>
        <v>debit</v>
      </c>
      <c r="O362" t="str" cm="1">
        <f t="array" ref="O36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Public Transportation Services</v>
      </c>
      <c r="P36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45342</v>
      </c>
      <c r="Q362" s="3">
        <f>DATE(YEAR(Transactions[[#This Row],[Datetime]]),MONTH(Transactions[[#This Row],[Datetime]]),1)</f>
        <v>45323</v>
      </c>
      <c r="R362" t="b">
        <f ca="1">AND(Transactions[[#This Row],[Datetime]]&gt;=EDATE(MAX(Transactions[Datetime]),-6),Transactions[[#This Row],[Datetime]]&lt;=TODAY())</f>
        <v>1</v>
      </c>
      <c r="S362" s="6">
        <f ca="1">AVERAGEIFS(Transactions[Month''s Total],Transactions[Recent],TRUE,Transactions[Custom Category],Transactions[[#This Row],[Custom Category]])</f>
        <v>11.100000000000001</v>
      </c>
      <c r="T362">
        <f>SUMIFS(Transactions[Amount],Transactions[Month],Transactions[[#This Row],[Month]],Transactions[Custom Category],Transactions[[#This Row],[Custom Category]])</f>
        <v>14.8</v>
      </c>
      <c r="U362">
        <f ca="1">IF(COUNTIF(Budgets[Custom Category],Transactions[[#This Row],[Custom Category]])=0,Transactions[[#This Row],[6M AVG]],_xlfn.XLOOKUP(Transactions[[#This Row],[Custom Category]],Budgets[Custom Category],Budgets[Monthly],0,0))</f>
        <v>11.100000000000001</v>
      </c>
      <c r="V362">
        <f>IF(Transactions[[#This Row],[Month]]=Sel_Month,Transactions[[#This Row],[Amount]],0)</f>
        <v>0</v>
      </c>
    </row>
    <row r="363" spans="1:22" x14ac:dyDescent="0.25">
      <c r="A363" t="s">
        <v>61</v>
      </c>
      <c r="B363" t="s">
        <v>66</v>
      </c>
      <c r="C363">
        <v>210</v>
      </c>
      <c r="D363" t="s">
        <v>67</v>
      </c>
      <c r="E363" t="s">
        <v>208</v>
      </c>
      <c r="F363" t="s">
        <v>69</v>
      </c>
      <c r="H363" t="s">
        <v>209</v>
      </c>
      <c r="I363" t="s">
        <v>71</v>
      </c>
      <c r="J363" t="b">
        <v>0</v>
      </c>
      <c r="K363" t="s">
        <v>210</v>
      </c>
      <c r="L363" t="str">
        <f>_xlfn.XLOOKUP(Transactions[[#This Row],[Account ID]],Accounts[Plaid Account ID],Accounts[Name],"Not Found",0)</f>
        <v>RBC Staff Banking</v>
      </c>
      <c r="M363" t="str">
        <f>_xlfn.XLOOKUP(Transactions[[#This Row],[Account ID]],Accounts[Plaid Account ID],Accounts[Institution Name],"Not Found",0)</f>
        <v>RBC Royal Bank</v>
      </c>
      <c r="N363" t="str">
        <f>IF(Transactions[[#This Row],[Amount]]&lt;0,"credit","debit")</f>
        <v>debit</v>
      </c>
      <c r="O363" t="str" cm="1">
        <f t="array" ref="O36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6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45343</v>
      </c>
      <c r="Q363" s="3">
        <f>DATE(YEAR(Transactions[[#This Row],[Datetime]]),MONTH(Transactions[[#This Row],[Datetime]]),1)</f>
        <v>45323</v>
      </c>
      <c r="R363" t="b">
        <f ca="1">AND(Transactions[[#This Row],[Datetime]]&gt;=EDATE(MAX(Transactions[Datetime]),-6),Transactions[[#This Row],[Datetime]]&lt;=TODAY())</f>
        <v>1</v>
      </c>
      <c r="S363" s="6">
        <f ca="1">AVERAGEIFS(Transactions[Month''s Total],Transactions[Recent],TRUE,Transactions[Custom Category],Transactions[[#This Row],[Custom Category]])</f>
        <v>14532.989714285719</v>
      </c>
      <c r="T363">
        <f>SUMIFS(Transactions[Amount],Transactions[Month],Transactions[[#This Row],[Month]],Transactions[Custom Category],Transactions[[#This Row],[Custom Category]])</f>
        <v>9828.4599999999991</v>
      </c>
      <c r="U36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63">
        <f>IF(Transactions[[#This Row],[Month]]=Sel_Month,Transactions[[#This Row],[Amount]],0)</f>
        <v>0</v>
      </c>
    </row>
    <row r="364" spans="1:22" x14ac:dyDescent="0.25">
      <c r="A364" t="s">
        <v>61</v>
      </c>
      <c r="B364" t="s">
        <v>66</v>
      </c>
      <c r="C364">
        <v>-1000</v>
      </c>
      <c r="D364" t="s">
        <v>99</v>
      </c>
      <c r="E364" t="s">
        <v>208</v>
      </c>
      <c r="F364" t="s">
        <v>69</v>
      </c>
      <c r="H364" t="s">
        <v>211</v>
      </c>
      <c r="I364" t="s">
        <v>71</v>
      </c>
      <c r="J364" t="b">
        <v>0</v>
      </c>
      <c r="K364" t="s">
        <v>212</v>
      </c>
      <c r="L364" t="str">
        <f>_xlfn.XLOOKUP(Transactions[[#This Row],[Account ID]],Accounts[Plaid Account ID],Accounts[Name],"Not Found",0)</f>
        <v>RBC Staff Banking</v>
      </c>
      <c r="M364" t="str">
        <f>_xlfn.XLOOKUP(Transactions[[#This Row],[Account ID]],Accounts[Plaid Account ID],Accounts[Institution Name],"Not Found",0)</f>
        <v>RBC Royal Bank</v>
      </c>
      <c r="N364" t="str">
        <f>IF(Transactions[[#This Row],[Amount]]&lt;0,"credit","debit")</f>
        <v>credit</v>
      </c>
      <c r="O364" t="str" cm="1">
        <f t="array" ref="O36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6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45343</v>
      </c>
      <c r="Q364" s="3">
        <f>DATE(YEAR(Transactions[[#This Row],[Datetime]]),MONTH(Transactions[[#This Row],[Datetime]]),1)</f>
        <v>45323</v>
      </c>
      <c r="R364" t="b">
        <f ca="1">AND(Transactions[[#This Row],[Datetime]]&gt;=EDATE(MAX(Transactions[Datetime]),-6),Transactions[[#This Row],[Datetime]]&lt;=TODAY())</f>
        <v>1</v>
      </c>
      <c r="S364" s="6">
        <f ca="1">AVERAGEIFS(Transactions[Month''s Total],Transactions[Recent],TRUE,Transactions[Custom Category],Transactions[[#This Row],[Custom Category]])</f>
        <v>-18125.097037037034</v>
      </c>
      <c r="T364">
        <f>SUMIFS(Transactions[Amount],Transactions[Month],Transactions[[#This Row],[Month]],Transactions[Custom Category],Transactions[[#This Row],[Custom Category]])</f>
        <v>-21523.72</v>
      </c>
      <c r="U364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64">
        <f>IF(Transactions[[#This Row],[Month]]=Sel_Month,Transactions[[#This Row],[Amount]],0)</f>
        <v>0</v>
      </c>
    </row>
    <row r="365" spans="1:22" x14ac:dyDescent="0.25">
      <c r="A365" t="s">
        <v>61</v>
      </c>
      <c r="B365" t="s">
        <v>66</v>
      </c>
      <c r="C365">
        <v>-105.02</v>
      </c>
      <c r="D365" t="s">
        <v>213</v>
      </c>
      <c r="E365" t="s">
        <v>208</v>
      </c>
      <c r="F365" t="s">
        <v>69</v>
      </c>
      <c r="H365" t="s">
        <v>214</v>
      </c>
      <c r="I365" t="s">
        <v>71</v>
      </c>
      <c r="J365" t="b">
        <v>0</v>
      </c>
      <c r="K365" t="s">
        <v>215</v>
      </c>
      <c r="L365" t="str">
        <f>_xlfn.XLOOKUP(Transactions[[#This Row],[Account ID]],Accounts[Plaid Account ID],Accounts[Name],"Not Found",0)</f>
        <v>RBC Staff Banking</v>
      </c>
      <c r="M365" t="str">
        <f>_xlfn.XLOOKUP(Transactions[[#This Row],[Account ID]],Accounts[Plaid Account ID],Accounts[Institution Name],"Not Found",0)</f>
        <v>RBC Royal Bank</v>
      </c>
      <c r="N365" t="str">
        <f>IF(Transactions[[#This Row],[Amount]]&lt;0,"credit","debit")</f>
        <v>credit</v>
      </c>
      <c r="O365" t="str" cm="1">
        <f t="array" ref="O36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6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45343</v>
      </c>
      <c r="Q365" s="3">
        <f>DATE(YEAR(Transactions[[#This Row],[Datetime]]),MONTH(Transactions[[#This Row],[Datetime]]),1)</f>
        <v>45323</v>
      </c>
      <c r="R365" t="b">
        <f ca="1">AND(Transactions[[#This Row],[Datetime]]&gt;=EDATE(MAX(Transactions[Datetime]),-6),Transactions[[#This Row],[Datetime]]&lt;=TODAY())</f>
        <v>1</v>
      </c>
      <c r="S365" s="6">
        <f ca="1">AVERAGEIFS(Transactions[Month''s Total],Transactions[Recent],TRUE,Transactions[Custom Category],Transactions[[#This Row],[Custom Category]])</f>
        <v>14532.989714285719</v>
      </c>
      <c r="T365">
        <f>SUMIFS(Transactions[Amount],Transactions[Month],Transactions[[#This Row],[Month]],Transactions[Custom Category],Transactions[[#This Row],[Custom Category]])</f>
        <v>9828.4599999999991</v>
      </c>
      <c r="U36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65">
        <f>IF(Transactions[[#This Row],[Month]]=Sel_Month,Transactions[[#This Row],[Amount]],0)</f>
        <v>0</v>
      </c>
    </row>
    <row r="366" spans="1:22" x14ac:dyDescent="0.25">
      <c r="A366" t="s">
        <v>22</v>
      </c>
      <c r="B366" t="s">
        <v>66</v>
      </c>
      <c r="C366">
        <v>4804.21</v>
      </c>
      <c r="D366" t="s">
        <v>67</v>
      </c>
      <c r="E366" t="s">
        <v>76</v>
      </c>
      <c r="F366" t="s">
        <v>69</v>
      </c>
      <c r="H366" t="s">
        <v>70</v>
      </c>
      <c r="I366" t="s">
        <v>71</v>
      </c>
      <c r="J366" t="b">
        <v>0</v>
      </c>
      <c r="K366" t="s">
        <v>77</v>
      </c>
      <c r="L366" t="str">
        <f>_xlfn.XLOOKUP(Transactions[[#This Row],[Account ID]],Accounts[Plaid Account ID],Accounts[Name],"Not Found",0)</f>
        <v>Preferred Package</v>
      </c>
      <c r="M366" t="str">
        <f>_xlfn.XLOOKUP(Transactions[[#This Row],[Account ID]],Accounts[Plaid Account ID],Accounts[Institution Name],"Not Found",0)</f>
        <v>Scotiabank</v>
      </c>
      <c r="N366" t="str">
        <f>IF(Transactions[[#This Row],[Amount]]&lt;0,"credit","debit")</f>
        <v>debit</v>
      </c>
      <c r="O366" t="str" cm="1">
        <f t="array" ref="O36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6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45344</v>
      </c>
      <c r="Q366" s="3">
        <f>DATE(YEAR(Transactions[[#This Row],[Datetime]]),MONTH(Transactions[[#This Row],[Datetime]]),1)</f>
        <v>45323</v>
      </c>
      <c r="R366" t="b">
        <f ca="1">AND(Transactions[[#This Row],[Datetime]]&gt;=EDATE(MAX(Transactions[Datetime]),-6),Transactions[[#This Row],[Datetime]]&lt;=TODAY())</f>
        <v>1</v>
      </c>
      <c r="S366" s="6">
        <f ca="1">AVERAGEIFS(Transactions[Month''s Total],Transactions[Recent],TRUE,Transactions[Custom Category],Transactions[[#This Row],[Custom Category]])</f>
        <v>12758.461333333335</v>
      </c>
      <c r="T366">
        <f>SUMIFS(Transactions[Amount],Transactions[Month],Transactions[[#This Row],[Month]],Transactions[Custom Category],Transactions[[#This Row],[Custom Category]])</f>
        <v>14456.86</v>
      </c>
      <c r="U36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66">
        <f>IF(Transactions[[#This Row],[Month]]=Sel_Month,Transactions[[#This Row],[Amount]],0)</f>
        <v>0</v>
      </c>
    </row>
    <row r="367" spans="1:22" x14ac:dyDescent="0.25">
      <c r="A367" t="s">
        <v>22</v>
      </c>
      <c r="B367" t="s">
        <v>66</v>
      </c>
      <c r="C367">
        <v>-4804.21</v>
      </c>
      <c r="D367" t="s">
        <v>73</v>
      </c>
      <c r="E367" t="s">
        <v>76</v>
      </c>
      <c r="F367" t="s">
        <v>69</v>
      </c>
      <c r="H367" t="s">
        <v>74</v>
      </c>
      <c r="I367" t="s">
        <v>71</v>
      </c>
      <c r="J367" t="b">
        <v>0</v>
      </c>
      <c r="K367" t="s">
        <v>78</v>
      </c>
      <c r="L367" t="str">
        <f>_xlfn.XLOOKUP(Transactions[[#This Row],[Account ID]],Accounts[Plaid Account ID],Accounts[Name],"Not Found",0)</f>
        <v>Preferred Package</v>
      </c>
      <c r="M367" t="str">
        <f>_xlfn.XLOOKUP(Transactions[[#This Row],[Account ID]],Accounts[Plaid Account ID],Accounts[Institution Name],"Not Found",0)</f>
        <v>Scotiabank</v>
      </c>
      <c r="N367" t="str">
        <f>IF(Transactions[[#This Row],[Amount]]&lt;0,"credit","debit")</f>
        <v>credit</v>
      </c>
      <c r="O367" t="str" cm="1">
        <f t="array" ref="O36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36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45344</v>
      </c>
      <c r="Q367" s="3">
        <f>DATE(YEAR(Transactions[[#This Row],[Datetime]]),MONTH(Transactions[[#This Row],[Datetime]]),1)</f>
        <v>45323</v>
      </c>
      <c r="R367" t="b">
        <f ca="1">AND(Transactions[[#This Row],[Datetime]]&gt;=EDATE(MAX(Transactions[Datetime]),-6),Transactions[[#This Row],[Datetime]]&lt;=TODAY())</f>
        <v>1</v>
      </c>
      <c r="S367" s="6">
        <f ca="1">AVERAGEIFS(Transactions[Month''s Total],Transactions[Recent],TRUE,Transactions[Custom Category],Transactions[[#This Row],[Custom Category]])</f>
        <v>-12680.457777777781</v>
      </c>
      <c r="T367">
        <f>SUMIFS(Transactions[Amount],Transactions[Month],Transactions[[#This Row],[Month]],Transactions[Custom Category],Transactions[[#This Row],[Custom Category]])</f>
        <v>-9787.67</v>
      </c>
      <c r="U367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367">
        <f>IF(Transactions[[#This Row],[Month]]=Sel_Month,Transactions[[#This Row],[Amount]],0)</f>
        <v>0</v>
      </c>
    </row>
    <row r="368" spans="1:22" x14ac:dyDescent="0.25">
      <c r="A368" t="s">
        <v>61</v>
      </c>
      <c r="B368" t="s">
        <v>66</v>
      </c>
      <c r="C368">
        <v>-5000</v>
      </c>
      <c r="D368" t="s">
        <v>99</v>
      </c>
      <c r="E368" t="s">
        <v>76</v>
      </c>
      <c r="F368" t="s">
        <v>69</v>
      </c>
      <c r="H368" t="s">
        <v>202</v>
      </c>
      <c r="I368" t="s">
        <v>71</v>
      </c>
      <c r="J368" t="b">
        <v>0</v>
      </c>
      <c r="K368" t="s">
        <v>203</v>
      </c>
      <c r="L368" t="str">
        <f>_xlfn.XLOOKUP(Transactions[[#This Row],[Account ID]],Accounts[Plaid Account ID],Accounts[Name],"Not Found",0)</f>
        <v>RBC Staff Banking</v>
      </c>
      <c r="M368" t="str">
        <f>_xlfn.XLOOKUP(Transactions[[#This Row],[Account ID]],Accounts[Plaid Account ID],Accounts[Institution Name],"Not Found",0)</f>
        <v>RBC Royal Bank</v>
      </c>
      <c r="N368" t="str">
        <f>IF(Transactions[[#This Row],[Amount]]&lt;0,"credit","debit")</f>
        <v>credit</v>
      </c>
      <c r="O368" t="str" cm="1">
        <f t="array" ref="O36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6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45344</v>
      </c>
      <c r="Q368" s="3">
        <f>DATE(YEAR(Transactions[[#This Row],[Datetime]]),MONTH(Transactions[[#This Row],[Datetime]]),1)</f>
        <v>45323</v>
      </c>
      <c r="R368" t="b">
        <f ca="1">AND(Transactions[[#This Row],[Datetime]]&gt;=EDATE(MAX(Transactions[Datetime]),-6),Transactions[[#This Row],[Datetime]]&lt;=TODAY())</f>
        <v>1</v>
      </c>
      <c r="S368" s="6">
        <f ca="1">AVERAGEIFS(Transactions[Month''s Total],Transactions[Recent],TRUE,Transactions[Custom Category],Transactions[[#This Row],[Custom Category]])</f>
        <v>-18125.097037037034</v>
      </c>
      <c r="T368">
        <f>SUMIFS(Transactions[Amount],Transactions[Month],Transactions[[#This Row],[Month]],Transactions[Custom Category],Transactions[[#This Row],[Custom Category]])</f>
        <v>-21523.72</v>
      </c>
      <c r="U36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68">
        <f>IF(Transactions[[#This Row],[Month]]=Sel_Month,Transactions[[#This Row],[Amount]],0)</f>
        <v>0</v>
      </c>
    </row>
    <row r="369" spans="1:22" x14ac:dyDescent="0.25">
      <c r="A369" t="s">
        <v>61</v>
      </c>
      <c r="B369" t="s">
        <v>66</v>
      </c>
      <c r="C369">
        <v>205</v>
      </c>
      <c r="D369" t="s">
        <v>67</v>
      </c>
      <c r="E369" t="s">
        <v>76</v>
      </c>
      <c r="F369" t="s">
        <v>69</v>
      </c>
      <c r="H369" t="s">
        <v>204</v>
      </c>
      <c r="I369" t="s">
        <v>71</v>
      </c>
      <c r="J369" t="b">
        <v>0</v>
      </c>
      <c r="K369" t="s">
        <v>205</v>
      </c>
      <c r="L369" t="str">
        <f>_xlfn.XLOOKUP(Transactions[[#This Row],[Account ID]],Accounts[Plaid Account ID],Accounts[Name],"Not Found",0)</f>
        <v>RBC Staff Banking</v>
      </c>
      <c r="M369" t="str">
        <f>_xlfn.XLOOKUP(Transactions[[#This Row],[Account ID]],Accounts[Plaid Account ID],Accounts[Institution Name],"Not Found",0)</f>
        <v>RBC Royal Bank</v>
      </c>
      <c r="N369" t="str">
        <f>IF(Transactions[[#This Row],[Amount]]&lt;0,"credit","debit")</f>
        <v>debit</v>
      </c>
      <c r="O369" t="str" cm="1">
        <f t="array" ref="O36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6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45344</v>
      </c>
      <c r="Q369" s="3">
        <f>DATE(YEAR(Transactions[[#This Row],[Datetime]]),MONTH(Transactions[[#This Row],[Datetime]]),1)</f>
        <v>45323</v>
      </c>
      <c r="R369" t="b">
        <f ca="1">AND(Transactions[[#This Row],[Datetime]]&gt;=EDATE(MAX(Transactions[Datetime]),-6),Transactions[[#This Row],[Datetime]]&lt;=TODAY())</f>
        <v>1</v>
      </c>
      <c r="S369" s="6">
        <f ca="1">AVERAGEIFS(Transactions[Month''s Total],Transactions[Recent],TRUE,Transactions[Custom Category],Transactions[[#This Row],[Custom Category]])</f>
        <v>12758.461333333335</v>
      </c>
      <c r="T369">
        <f>SUMIFS(Transactions[Amount],Transactions[Month],Transactions[[#This Row],[Month]],Transactions[Custom Category],Transactions[[#This Row],[Custom Category]])</f>
        <v>14456.86</v>
      </c>
      <c r="U36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69">
        <f>IF(Transactions[[#This Row],[Month]]=Sel_Month,Transactions[[#This Row],[Amount]],0)</f>
        <v>0</v>
      </c>
    </row>
    <row r="370" spans="1:22" x14ac:dyDescent="0.25">
      <c r="A370" t="s">
        <v>61</v>
      </c>
      <c r="B370" t="s">
        <v>66</v>
      </c>
      <c r="C370">
        <v>4804.21</v>
      </c>
      <c r="D370" t="s">
        <v>67</v>
      </c>
      <c r="E370" t="s">
        <v>76</v>
      </c>
      <c r="F370" t="s">
        <v>69</v>
      </c>
      <c r="H370" t="s">
        <v>206</v>
      </c>
      <c r="I370" t="s">
        <v>71</v>
      </c>
      <c r="J370" t="b">
        <v>0</v>
      </c>
      <c r="K370" t="s">
        <v>207</v>
      </c>
      <c r="L370" t="str">
        <f>_xlfn.XLOOKUP(Transactions[[#This Row],[Account ID]],Accounts[Plaid Account ID],Accounts[Name],"Not Found",0)</f>
        <v>RBC Staff Banking</v>
      </c>
      <c r="M370" t="str">
        <f>_xlfn.XLOOKUP(Transactions[[#This Row],[Account ID]],Accounts[Plaid Account ID],Accounts[Institution Name],"Not Found",0)</f>
        <v>RBC Royal Bank</v>
      </c>
      <c r="N370" t="str">
        <f>IF(Transactions[[#This Row],[Amount]]&lt;0,"credit","debit")</f>
        <v>debit</v>
      </c>
      <c r="O370" t="str" cm="1">
        <f t="array" ref="O37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7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45344</v>
      </c>
      <c r="Q370" s="3">
        <f>DATE(YEAR(Transactions[[#This Row],[Datetime]]),MONTH(Transactions[[#This Row],[Datetime]]),1)</f>
        <v>45323</v>
      </c>
      <c r="R370" t="b">
        <f ca="1">AND(Transactions[[#This Row],[Datetime]]&gt;=EDATE(MAX(Transactions[Datetime]),-6),Transactions[[#This Row],[Datetime]]&lt;=TODAY())</f>
        <v>1</v>
      </c>
      <c r="S370" s="6">
        <f ca="1">AVERAGEIFS(Transactions[Month''s Total],Transactions[Recent],TRUE,Transactions[Custom Category],Transactions[[#This Row],[Custom Category]])</f>
        <v>14532.989714285719</v>
      </c>
      <c r="T370">
        <f>SUMIFS(Transactions[Amount],Transactions[Month],Transactions[[#This Row],[Month]],Transactions[Custom Category],Transactions[[#This Row],[Custom Category]])</f>
        <v>9828.4599999999991</v>
      </c>
      <c r="U37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70">
        <f>IF(Transactions[[#This Row],[Month]]=Sel_Month,Transactions[[#This Row],[Amount]],0)</f>
        <v>0</v>
      </c>
    </row>
    <row r="371" spans="1:22" x14ac:dyDescent="0.25">
      <c r="A371" t="s">
        <v>63</v>
      </c>
      <c r="B371" t="s">
        <v>66</v>
      </c>
      <c r="C371">
        <v>289.08999999999997</v>
      </c>
      <c r="D371" t="s">
        <v>977</v>
      </c>
      <c r="E371" t="s">
        <v>990</v>
      </c>
      <c r="F371" t="s">
        <v>69</v>
      </c>
      <c r="G371" t="s">
        <v>991</v>
      </c>
      <c r="H371" t="s">
        <v>985</v>
      </c>
      <c r="I371" t="s">
        <v>132</v>
      </c>
      <c r="J371" t="b">
        <v>0</v>
      </c>
      <c r="K371" t="s">
        <v>992</v>
      </c>
      <c r="L371" t="str">
        <f>_xlfn.XLOOKUP(Transactions[[#This Row],[Account ID]],Accounts[Plaid Account ID],Accounts[Name],"Not Found",0)</f>
        <v>WestJet RBC World Elite Mastercard</v>
      </c>
      <c r="M371" t="str">
        <f>_xlfn.XLOOKUP(Transactions[[#This Row],[Account ID]],Accounts[Plaid Account ID],Accounts[Institution Name],"Not Found",0)</f>
        <v>RBC Royal Bank</v>
      </c>
      <c r="N371" t="str">
        <f>IF(Transactions[[#This Row],[Amount]]&lt;0,"credit","debit")</f>
        <v>debit</v>
      </c>
      <c r="O371" t="str" cm="1">
        <f t="array" ref="O37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Business,Advertising</v>
      </c>
      <c r="P37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45345</v>
      </c>
      <c r="Q371" s="3">
        <f>DATE(YEAR(Transactions[[#This Row],[Datetime]]),MONTH(Transactions[[#This Row],[Datetime]]),1)</f>
        <v>45323</v>
      </c>
      <c r="R371" t="b">
        <f ca="1">AND(Transactions[[#This Row],[Datetime]]&gt;=EDATE(MAX(Transactions[Datetime]),-6),Transactions[[#This Row],[Datetime]]&lt;=TODAY())</f>
        <v>1</v>
      </c>
      <c r="S371" s="6">
        <f ca="1">AVERAGEIFS(Transactions[Month''s Total],Transactions[Recent],TRUE,Transactions[Custom Category],Transactions[[#This Row],[Custom Category]])</f>
        <v>6.21</v>
      </c>
      <c r="T371">
        <f>SUMIFS(Transactions[Amount],Transactions[Month],Transactions[[#This Row],[Month]],Transactions[Custom Category],Transactions[[#This Row],[Custom Category]])</f>
        <v>0</v>
      </c>
      <c r="U371">
        <f ca="1">IF(COUNTIF(Budgets[Custom Category],Transactions[[#This Row],[Custom Category]])=0,Transactions[[#This Row],[6M AVG]],_xlfn.XLOOKUP(Transactions[[#This Row],[Custom Category]],Budgets[Custom Category],Budgets[Monthly],0,0))</f>
        <v>6.21</v>
      </c>
      <c r="V371">
        <f>IF(Transactions[[#This Row],[Month]]=Sel_Month,Transactions[[#This Row],[Amount]],0)</f>
        <v>0</v>
      </c>
    </row>
    <row r="372" spans="1:22" x14ac:dyDescent="0.25">
      <c r="A372" t="s">
        <v>63</v>
      </c>
      <c r="B372" t="s">
        <v>66</v>
      </c>
      <c r="C372">
        <v>30.57</v>
      </c>
      <c r="D372" t="s">
        <v>958</v>
      </c>
      <c r="E372" t="s">
        <v>990</v>
      </c>
      <c r="F372" t="s">
        <v>69</v>
      </c>
      <c r="G372" t="s">
        <v>960</v>
      </c>
      <c r="H372" t="s">
        <v>960</v>
      </c>
      <c r="I372" t="s">
        <v>132</v>
      </c>
      <c r="J372" t="b">
        <v>0</v>
      </c>
      <c r="K372" t="s">
        <v>993</v>
      </c>
      <c r="L372" t="str">
        <f>_xlfn.XLOOKUP(Transactions[[#This Row],[Account ID]],Accounts[Plaid Account ID],Accounts[Name],"Not Found",0)</f>
        <v>WestJet RBC World Elite Mastercard</v>
      </c>
      <c r="M372" t="str">
        <f>_xlfn.XLOOKUP(Transactions[[#This Row],[Account ID]],Accounts[Plaid Account ID],Accounts[Institution Name],"Not Found",0)</f>
        <v>RBC Royal Bank</v>
      </c>
      <c r="N372" t="str">
        <f>IF(Transactions[[#This Row],[Amount]]&lt;0,"credit","debit")</f>
        <v>debit</v>
      </c>
      <c r="O372" t="str" cm="1">
        <f t="array" ref="O37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37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45345</v>
      </c>
      <c r="Q372" s="3">
        <f>DATE(YEAR(Transactions[[#This Row],[Datetime]]),MONTH(Transactions[[#This Row],[Datetime]]),1)</f>
        <v>45323</v>
      </c>
      <c r="R372" t="b">
        <f ca="1">AND(Transactions[[#This Row],[Datetime]]&gt;=EDATE(MAX(Transactions[Datetime]),-6),Transactions[[#This Row],[Datetime]]&lt;=TODAY())</f>
        <v>1</v>
      </c>
      <c r="S372" s="6">
        <f ca="1">AVERAGEIFS(Transactions[Month''s Total],Transactions[Recent],TRUE,Transactions[Custom Category],Transactions[[#This Row],[Custom Category]])</f>
        <v>128.65625000000003</v>
      </c>
      <c r="T372">
        <f>SUMIFS(Transactions[Amount],Transactions[Month],Transactions[[#This Row],[Month]],Transactions[Custom Category],Transactions[[#This Row],[Custom Category]])</f>
        <v>200.69</v>
      </c>
      <c r="U372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372">
        <f>IF(Transactions[[#This Row],[Month]]=Sel_Month,Transactions[[#This Row],[Amount]],0)</f>
        <v>0</v>
      </c>
    </row>
    <row r="373" spans="1:22" x14ac:dyDescent="0.25">
      <c r="A373" t="s">
        <v>63</v>
      </c>
      <c r="B373" t="s">
        <v>66</v>
      </c>
      <c r="C373">
        <v>22.59</v>
      </c>
      <c r="D373" t="s">
        <v>958</v>
      </c>
      <c r="E373" t="s">
        <v>987</v>
      </c>
      <c r="F373" t="s">
        <v>69</v>
      </c>
      <c r="G373" t="s">
        <v>960</v>
      </c>
      <c r="H373" t="s">
        <v>960</v>
      </c>
      <c r="I373" t="s">
        <v>132</v>
      </c>
      <c r="J373" t="b">
        <v>0</v>
      </c>
      <c r="K373" t="s">
        <v>988</v>
      </c>
      <c r="L373" t="str">
        <f>_xlfn.XLOOKUP(Transactions[[#This Row],[Account ID]],Accounts[Plaid Account ID],Accounts[Name],"Not Found",0)</f>
        <v>WestJet RBC World Elite Mastercard</v>
      </c>
      <c r="M373" t="str">
        <f>_xlfn.XLOOKUP(Transactions[[#This Row],[Account ID]],Accounts[Plaid Account ID],Accounts[Institution Name],"Not Found",0)</f>
        <v>RBC Royal Bank</v>
      </c>
      <c r="N373" t="str">
        <f>IF(Transactions[[#This Row],[Amount]]&lt;0,"credit","debit")</f>
        <v>debit</v>
      </c>
      <c r="O373" t="str" cm="1">
        <f t="array" ref="O37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37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45346</v>
      </c>
      <c r="Q373" s="3">
        <f>DATE(YEAR(Transactions[[#This Row],[Datetime]]),MONTH(Transactions[[#This Row],[Datetime]]),1)</f>
        <v>45323</v>
      </c>
      <c r="R373" t="b">
        <f ca="1">AND(Transactions[[#This Row],[Datetime]]&gt;=EDATE(MAX(Transactions[Datetime]),-6),Transactions[[#This Row],[Datetime]]&lt;=TODAY())</f>
        <v>1</v>
      </c>
      <c r="S373" s="6">
        <f ca="1">AVERAGEIFS(Transactions[Month''s Total],Transactions[Recent],TRUE,Transactions[Custom Category],Transactions[[#This Row],[Custom Category]])</f>
        <v>128.65625000000003</v>
      </c>
      <c r="T373">
        <f>SUMIFS(Transactions[Amount],Transactions[Month],Transactions[[#This Row],[Month]],Transactions[Custom Category],Transactions[[#This Row],[Custom Category]])</f>
        <v>200.69</v>
      </c>
      <c r="U373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373">
        <f>IF(Transactions[[#This Row],[Month]]=Sel_Month,Transactions[[#This Row],[Amount]],0)</f>
        <v>0</v>
      </c>
    </row>
    <row r="374" spans="1:22" x14ac:dyDescent="0.25">
      <c r="A374" t="s">
        <v>63</v>
      </c>
      <c r="B374" t="s">
        <v>66</v>
      </c>
      <c r="C374">
        <v>45.19</v>
      </c>
      <c r="D374" t="s">
        <v>958</v>
      </c>
      <c r="E374" t="s">
        <v>987</v>
      </c>
      <c r="F374" t="s">
        <v>69</v>
      </c>
      <c r="G374" t="s">
        <v>960</v>
      </c>
      <c r="H374" t="s">
        <v>960</v>
      </c>
      <c r="I374" t="s">
        <v>132</v>
      </c>
      <c r="J374" t="b">
        <v>0</v>
      </c>
      <c r="K374" t="s">
        <v>989</v>
      </c>
      <c r="L374" t="str">
        <f>_xlfn.XLOOKUP(Transactions[[#This Row],[Account ID]],Accounts[Plaid Account ID],Accounts[Name],"Not Found",0)</f>
        <v>WestJet RBC World Elite Mastercard</v>
      </c>
      <c r="M374" t="str">
        <f>_xlfn.XLOOKUP(Transactions[[#This Row],[Account ID]],Accounts[Plaid Account ID],Accounts[Institution Name],"Not Found",0)</f>
        <v>RBC Royal Bank</v>
      </c>
      <c r="N374" t="str">
        <f>IF(Transactions[[#This Row],[Amount]]&lt;0,"credit","debit")</f>
        <v>debit</v>
      </c>
      <c r="O374" t="str" cm="1">
        <f t="array" ref="O37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37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45346</v>
      </c>
      <c r="Q374" s="3">
        <f>DATE(YEAR(Transactions[[#This Row],[Datetime]]),MONTH(Transactions[[#This Row],[Datetime]]),1)</f>
        <v>45323</v>
      </c>
      <c r="R374" t="b">
        <f ca="1">AND(Transactions[[#This Row],[Datetime]]&gt;=EDATE(MAX(Transactions[Datetime]),-6),Transactions[[#This Row],[Datetime]]&lt;=TODAY())</f>
        <v>1</v>
      </c>
      <c r="S374" s="6">
        <f ca="1">AVERAGEIFS(Transactions[Month''s Total],Transactions[Recent],TRUE,Transactions[Custom Category],Transactions[[#This Row],[Custom Category]])</f>
        <v>128.65625000000003</v>
      </c>
      <c r="T374">
        <f>SUMIFS(Transactions[Amount],Transactions[Month],Transactions[[#This Row],[Month]],Transactions[Custom Category],Transactions[[#This Row],[Custom Category]])</f>
        <v>200.69</v>
      </c>
      <c r="U374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374">
        <f>IF(Transactions[[#This Row],[Month]]=Sel_Month,Transactions[[#This Row],[Amount]],0)</f>
        <v>0</v>
      </c>
    </row>
    <row r="375" spans="1:22" x14ac:dyDescent="0.25">
      <c r="A375" t="s">
        <v>22</v>
      </c>
      <c r="B375" t="s">
        <v>66</v>
      </c>
      <c r="C375">
        <v>4983.46</v>
      </c>
      <c r="D375" t="s">
        <v>67</v>
      </c>
      <c r="E375" t="s">
        <v>68</v>
      </c>
      <c r="F375" t="s">
        <v>69</v>
      </c>
      <c r="H375" t="s">
        <v>70</v>
      </c>
      <c r="I375" t="s">
        <v>71</v>
      </c>
      <c r="J375" t="b">
        <v>0</v>
      </c>
      <c r="K375" t="s">
        <v>72</v>
      </c>
      <c r="L375" t="str">
        <f>_xlfn.XLOOKUP(Transactions[[#This Row],[Account ID]],Accounts[Plaid Account ID],Accounts[Name],"Not Found",0)</f>
        <v>Preferred Package</v>
      </c>
      <c r="M375" t="str">
        <f>_xlfn.XLOOKUP(Transactions[[#This Row],[Account ID]],Accounts[Plaid Account ID],Accounts[Institution Name],"Not Found",0)</f>
        <v>Scotiabank</v>
      </c>
      <c r="N375" t="str">
        <f>IF(Transactions[[#This Row],[Amount]]&lt;0,"credit","debit")</f>
        <v>debit</v>
      </c>
      <c r="O375" t="str" cm="1">
        <f t="array" ref="O37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7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45347</v>
      </c>
      <c r="Q375" s="3">
        <f>DATE(YEAR(Transactions[[#This Row],[Datetime]]),MONTH(Transactions[[#This Row],[Datetime]]),1)</f>
        <v>45323</v>
      </c>
      <c r="R375" t="b">
        <f ca="1">AND(Transactions[[#This Row],[Datetime]]&gt;=EDATE(MAX(Transactions[Datetime]),-6),Transactions[[#This Row],[Datetime]]&lt;=TODAY())</f>
        <v>1</v>
      </c>
      <c r="S375" s="6">
        <f ca="1">AVERAGEIFS(Transactions[Month''s Total],Transactions[Recent],TRUE,Transactions[Custom Category],Transactions[[#This Row],[Custom Category]])</f>
        <v>12758.461333333335</v>
      </c>
      <c r="T375">
        <f>SUMIFS(Transactions[Amount],Transactions[Month],Transactions[[#This Row],[Month]],Transactions[Custom Category],Transactions[[#This Row],[Custom Category]])</f>
        <v>14456.86</v>
      </c>
      <c r="U37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75">
        <f>IF(Transactions[[#This Row],[Month]]=Sel_Month,Transactions[[#This Row],[Amount]],0)</f>
        <v>0</v>
      </c>
    </row>
    <row r="376" spans="1:22" x14ac:dyDescent="0.25">
      <c r="A376" t="s">
        <v>22</v>
      </c>
      <c r="B376" t="s">
        <v>66</v>
      </c>
      <c r="C376">
        <v>-4983.46</v>
      </c>
      <c r="D376" t="s">
        <v>73</v>
      </c>
      <c r="E376" t="s">
        <v>68</v>
      </c>
      <c r="F376" t="s">
        <v>69</v>
      </c>
      <c r="H376" t="s">
        <v>74</v>
      </c>
      <c r="I376" t="s">
        <v>71</v>
      </c>
      <c r="J376" t="b">
        <v>0</v>
      </c>
      <c r="K376" t="s">
        <v>75</v>
      </c>
      <c r="L376" t="str">
        <f>_xlfn.XLOOKUP(Transactions[[#This Row],[Account ID]],Accounts[Plaid Account ID],Accounts[Name],"Not Found",0)</f>
        <v>Preferred Package</v>
      </c>
      <c r="M376" t="str">
        <f>_xlfn.XLOOKUP(Transactions[[#This Row],[Account ID]],Accounts[Plaid Account ID],Accounts[Institution Name],"Not Found",0)</f>
        <v>Scotiabank</v>
      </c>
      <c r="N376" t="str">
        <f>IF(Transactions[[#This Row],[Amount]]&lt;0,"credit","debit")</f>
        <v>credit</v>
      </c>
      <c r="O376" t="str" cm="1">
        <f t="array" ref="O37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37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45347</v>
      </c>
      <c r="Q376" s="3">
        <f>DATE(YEAR(Transactions[[#This Row],[Datetime]]),MONTH(Transactions[[#This Row],[Datetime]]),1)</f>
        <v>45323</v>
      </c>
      <c r="R376" t="b">
        <f ca="1">AND(Transactions[[#This Row],[Datetime]]&gt;=EDATE(MAX(Transactions[Datetime]),-6),Transactions[[#This Row],[Datetime]]&lt;=TODAY())</f>
        <v>1</v>
      </c>
      <c r="S376" s="6">
        <f ca="1">AVERAGEIFS(Transactions[Month''s Total],Transactions[Recent],TRUE,Transactions[Custom Category],Transactions[[#This Row],[Custom Category]])</f>
        <v>-12680.457777777781</v>
      </c>
      <c r="T376">
        <f>SUMIFS(Transactions[Amount],Transactions[Month],Transactions[[#This Row],[Month]],Transactions[Custom Category],Transactions[[#This Row],[Custom Category]])</f>
        <v>-9787.67</v>
      </c>
      <c r="U376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376">
        <f>IF(Transactions[[#This Row],[Month]]=Sel_Month,Transactions[[#This Row],[Amount]],0)</f>
        <v>0</v>
      </c>
    </row>
    <row r="377" spans="1:22" x14ac:dyDescent="0.25">
      <c r="A377" t="s">
        <v>61</v>
      </c>
      <c r="B377" t="s">
        <v>66</v>
      </c>
      <c r="C377">
        <v>-5000</v>
      </c>
      <c r="D377" t="s">
        <v>99</v>
      </c>
      <c r="E377" t="s">
        <v>68</v>
      </c>
      <c r="F377" t="s">
        <v>69</v>
      </c>
      <c r="H377" t="s">
        <v>195</v>
      </c>
      <c r="I377" t="s">
        <v>71</v>
      </c>
      <c r="J377" t="b">
        <v>0</v>
      </c>
      <c r="K377" t="s">
        <v>196</v>
      </c>
      <c r="L377" t="str">
        <f>_xlfn.XLOOKUP(Transactions[[#This Row],[Account ID]],Accounts[Plaid Account ID],Accounts[Name],"Not Found",0)</f>
        <v>RBC Staff Banking</v>
      </c>
      <c r="M377" t="str">
        <f>_xlfn.XLOOKUP(Transactions[[#This Row],[Account ID]],Accounts[Plaid Account ID],Accounts[Institution Name],"Not Found",0)</f>
        <v>RBC Royal Bank</v>
      </c>
      <c r="N377" t="str">
        <f>IF(Transactions[[#This Row],[Amount]]&lt;0,"credit","debit")</f>
        <v>credit</v>
      </c>
      <c r="O377" t="str" cm="1">
        <f t="array" ref="O37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7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45347</v>
      </c>
      <c r="Q377" s="3">
        <f>DATE(YEAR(Transactions[[#This Row],[Datetime]]),MONTH(Transactions[[#This Row],[Datetime]]),1)</f>
        <v>45323</v>
      </c>
      <c r="R377" t="b">
        <f ca="1">AND(Transactions[[#This Row],[Datetime]]&gt;=EDATE(MAX(Transactions[Datetime]),-6),Transactions[[#This Row],[Datetime]]&lt;=TODAY())</f>
        <v>1</v>
      </c>
      <c r="S377" s="6">
        <f ca="1">AVERAGEIFS(Transactions[Month''s Total],Transactions[Recent],TRUE,Transactions[Custom Category],Transactions[[#This Row],[Custom Category]])</f>
        <v>-18125.097037037034</v>
      </c>
      <c r="T377">
        <f>SUMIFS(Transactions[Amount],Transactions[Month],Transactions[[#This Row],[Month]],Transactions[Custom Category],Transactions[[#This Row],[Custom Category]])</f>
        <v>-21523.72</v>
      </c>
      <c r="U37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77">
        <f>IF(Transactions[[#This Row],[Month]]=Sel_Month,Transactions[[#This Row],[Amount]],0)</f>
        <v>0</v>
      </c>
    </row>
    <row r="378" spans="1:22" x14ac:dyDescent="0.25">
      <c r="A378" t="s">
        <v>61</v>
      </c>
      <c r="B378" t="s">
        <v>66</v>
      </c>
      <c r="C378">
        <v>16.54</v>
      </c>
      <c r="D378" t="s">
        <v>197</v>
      </c>
      <c r="E378" t="s">
        <v>68</v>
      </c>
      <c r="F378" t="s">
        <v>69</v>
      </c>
      <c r="G378" t="s">
        <v>198</v>
      </c>
      <c r="H378" t="s">
        <v>198</v>
      </c>
      <c r="I378" t="s">
        <v>109</v>
      </c>
      <c r="J378" t="b">
        <v>0</v>
      </c>
      <c r="K378" t="s">
        <v>199</v>
      </c>
      <c r="L378" t="str">
        <f>_xlfn.XLOOKUP(Transactions[[#This Row],[Account ID]],Accounts[Plaid Account ID],Accounts[Name],"Not Found",0)</f>
        <v>RBC Staff Banking</v>
      </c>
      <c r="M378" t="str">
        <f>_xlfn.XLOOKUP(Transactions[[#This Row],[Account ID]],Accounts[Plaid Account ID],Accounts[Institution Name],"Not Found",0)</f>
        <v>RBC Royal Bank</v>
      </c>
      <c r="N378" t="str">
        <f>IF(Transactions[[#This Row],[Amount]]&lt;0,"credit","debit")</f>
        <v>debit</v>
      </c>
      <c r="O378" t="str" cm="1">
        <f t="array" ref="O37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Food and Drink, Restaurants</v>
      </c>
      <c r="P37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45347</v>
      </c>
      <c r="Q378" s="3">
        <f>DATE(YEAR(Transactions[[#This Row],[Datetime]]),MONTH(Transactions[[#This Row],[Datetime]]),1)</f>
        <v>45323</v>
      </c>
      <c r="R378" t="b">
        <f ca="1">AND(Transactions[[#This Row],[Datetime]]&gt;=EDATE(MAX(Transactions[Datetime]),-6),Transactions[[#This Row],[Datetime]]&lt;=TODAY())</f>
        <v>1</v>
      </c>
      <c r="S378" s="6">
        <f ca="1">AVERAGEIFS(Transactions[Month''s Total],Transactions[Recent],TRUE,Transactions[Custom Category],Transactions[[#This Row],[Custom Category]])</f>
        <v>414.67285714285714</v>
      </c>
      <c r="T378">
        <f>SUMIFS(Transactions[Amount],Transactions[Month],Transactions[[#This Row],[Month]],Transactions[Custom Category],Transactions[[#This Row],[Custom Category]])</f>
        <v>482.13</v>
      </c>
      <c r="U378">
        <f>IF(COUNTIF(Budgets[Custom Category],Transactions[[#This Row],[Custom Category]])=0,Transactions[[#This Row],[6M AVG]],_xlfn.XLOOKUP(Transactions[[#This Row],[Custom Category]],Budgets[Custom Category],Budgets[Monthly],0,0))</f>
        <v>800</v>
      </c>
      <c r="V378">
        <f>IF(Transactions[[#This Row],[Month]]=Sel_Month,Transactions[[#This Row],[Amount]],0)</f>
        <v>0</v>
      </c>
    </row>
    <row r="379" spans="1:22" x14ac:dyDescent="0.25">
      <c r="A379" t="s">
        <v>61</v>
      </c>
      <c r="B379" t="s">
        <v>66</v>
      </c>
      <c r="C379">
        <v>4983.46</v>
      </c>
      <c r="D379" t="s">
        <v>67</v>
      </c>
      <c r="E379" t="s">
        <v>68</v>
      </c>
      <c r="F379" t="s">
        <v>69</v>
      </c>
      <c r="H379" t="s">
        <v>200</v>
      </c>
      <c r="I379" t="s">
        <v>71</v>
      </c>
      <c r="J379" t="b">
        <v>0</v>
      </c>
      <c r="K379" t="s">
        <v>201</v>
      </c>
      <c r="L379" t="str">
        <f>_xlfn.XLOOKUP(Transactions[[#This Row],[Account ID]],Accounts[Plaid Account ID],Accounts[Name],"Not Found",0)</f>
        <v>RBC Staff Banking</v>
      </c>
      <c r="M379" t="str">
        <f>_xlfn.XLOOKUP(Transactions[[#This Row],[Account ID]],Accounts[Plaid Account ID],Accounts[Institution Name],"Not Found",0)</f>
        <v>RBC Royal Bank</v>
      </c>
      <c r="N379" t="str">
        <f>IF(Transactions[[#This Row],[Amount]]&lt;0,"credit","debit")</f>
        <v>debit</v>
      </c>
      <c r="O379" t="str" cm="1">
        <f t="array" ref="O37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7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45347</v>
      </c>
      <c r="Q379" s="3">
        <f>DATE(YEAR(Transactions[[#This Row],[Datetime]]),MONTH(Transactions[[#This Row],[Datetime]]),1)</f>
        <v>45323</v>
      </c>
      <c r="R379" t="b">
        <f ca="1">AND(Transactions[[#This Row],[Datetime]]&gt;=EDATE(MAX(Transactions[Datetime]),-6),Transactions[[#This Row],[Datetime]]&lt;=TODAY())</f>
        <v>1</v>
      </c>
      <c r="S379" s="6">
        <f ca="1">AVERAGEIFS(Transactions[Month''s Total],Transactions[Recent],TRUE,Transactions[Custom Category],Transactions[[#This Row],[Custom Category]])</f>
        <v>14532.989714285719</v>
      </c>
      <c r="T379">
        <f>SUMIFS(Transactions[Amount],Transactions[Month],Transactions[[#This Row],[Month]],Transactions[Custom Category],Transactions[[#This Row],[Custom Category]])</f>
        <v>9828.4599999999991</v>
      </c>
      <c r="U37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79">
        <f>IF(Transactions[[#This Row],[Month]]=Sel_Month,Transactions[[#This Row],[Amount]],0)</f>
        <v>0</v>
      </c>
    </row>
    <row r="380" spans="1:22" x14ac:dyDescent="0.25">
      <c r="A380" t="s">
        <v>63</v>
      </c>
      <c r="B380" t="s">
        <v>66</v>
      </c>
      <c r="C380">
        <v>-289.08999999999997</v>
      </c>
      <c r="D380" t="s">
        <v>977</v>
      </c>
      <c r="E380" t="s">
        <v>68</v>
      </c>
      <c r="F380" t="s">
        <v>69</v>
      </c>
      <c r="H380" t="s">
        <v>985</v>
      </c>
      <c r="I380" t="s">
        <v>71</v>
      </c>
      <c r="J380" t="b">
        <v>0</v>
      </c>
      <c r="K380" t="s">
        <v>986</v>
      </c>
      <c r="L380" t="str">
        <f>_xlfn.XLOOKUP(Transactions[[#This Row],[Account ID]],Accounts[Plaid Account ID],Accounts[Name],"Not Found",0)</f>
        <v>WestJet RBC World Elite Mastercard</v>
      </c>
      <c r="M380" t="str">
        <f>_xlfn.XLOOKUP(Transactions[[#This Row],[Account ID]],Accounts[Plaid Account ID],Accounts[Institution Name],"Not Found",0)</f>
        <v>RBC Royal Bank</v>
      </c>
      <c r="N380" t="str">
        <f>IF(Transactions[[#This Row],[Amount]]&lt;0,"credit","debit")</f>
        <v>credit</v>
      </c>
      <c r="O380" t="str" cm="1">
        <f t="array" ref="O38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Business,Advertising</v>
      </c>
      <c r="P38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45347</v>
      </c>
      <c r="Q380" s="3">
        <f>DATE(YEAR(Transactions[[#This Row],[Datetime]]),MONTH(Transactions[[#This Row],[Datetime]]),1)</f>
        <v>45323</v>
      </c>
      <c r="R380" t="b">
        <f ca="1">AND(Transactions[[#This Row],[Datetime]]&gt;=EDATE(MAX(Transactions[Datetime]),-6),Transactions[[#This Row],[Datetime]]&lt;=TODAY())</f>
        <v>1</v>
      </c>
      <c r="S380" s="6">
        <f ca="1">AVERAGEIFS(Transactions[Month''s Total],Transactions[Recent],TRUE,Transactions[Custom Category],Transactions[[#This Row],[Custom Category]])</f>
        <v>6.21</v>
      </c>
      <c r="T380">
        <f>SUMIFS(Transactions[Amount],Transactions[Month],Transactions[[#This Row],[Month]],Transactions[Custom Category],Transactions[[#This Row],[Custom Category]])</f>
        <v>0</v>
      </c>
      <c r="U380">
        <f ca="1">IF(COUNTIF(Budgets[Custom Category],Transactions[[#This Row],[Custom Category]])=0,Transactions[[#This Row],[6M AVG]],_xlfn.XLOOKUP(Transactions[[#This Row],[Custom Category]],Budgets[Custom Category],Budgets[Monthly],0,0))</f>
        <v>6.21</v>
      </c>
      <c r="V380">
        <f>IF(Transactions[[#This Row],[Month]]=Sel_Month,Transactions[[#This Row],[Amount]],0)</f>
        <v>0</v>
      </c>
    </row>
    <row r="381" spans="1:22" x14ac:dyDescent="0.25">
      <c r="A381" t="s">
        <v>63</v>
      </c>
      <c r="B381" t="s">
        <v>66</v>
      </c>
      <c r="C381">
        <v>3.7</v>
      </c>
      <c r="D381" t="s">
        <v>963</v>
      </c>
      <c r="E381" t="s">
        <v>982</v>
      </c>
      <c r="F381" t="s">
        <v>69</v>
      </c>
      <c r="G381" t="s">
        <v>964</v>
      </c>
      <c r="H381" t="s">
        <v>983</v>
      </c>
      <c r="I381" t="s">
        <v>109</v>
      </c>
      <c r="J381" t="b">
        <v>0</v>
      </c>
      <c r="K381" t="s">
        <v>984</v>
      </c>
      <c r="L381" t="str">
        <f>_xlfn.XLOOKUP(Transactions[[#This Row],[Account ID]],Accounts[Plaid Account ID],Accounts[Name],"Not Found",0)</f>
        <v>WestJet RBC World Elite Mastercard</v>
      </c>
      <c r="M381" t="str">
        <f>_xlfn.XLOOKUP(Transactions[[#This Row],[Account ID]],Accounts[Plaid Account ID],Accounts[Institution Name],"Not Found",0)</f>
        <v>RBC Royal Bank</v>
      </c>
      <c r="N381" t="str">
        <f>IF(Transactions[[#This Row],[Amount]]&lt;0,"credit","debit")</f>
        <v>debit</v>
      </c>
      <c r="O381" t="str" cm="1">
        <f t="array" ref="O38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Public Transportation Services</v>
      </c>
      <c r="P38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45349</v>
      </c>
      <c r="Q381" s="3">
        <f>DATE(YEAR(Transactions[[#This Row],[Datetime]]),MONTH(Transactions[[#This Row],[Datetime]]),1)</f>
        <v>45323</v>
      </c>
      <c r="R381" t="b">
        <f ca="1">AND(Transactions[[#This Row],[Datetime]]&gt;=EDATE(MAX(Transactions[Datetime]),-6),Transactions[[#This Row],[Datetime]]&lt;=TODAY())</f>
        <v>1</v>
      </c>
      <c r="S381" s="6">
        <f ca="1">AVERAGEIFS(Transactions[Month''s Total],Transactions[Recent],TRUE,Transactions[Custom Category],Transactions[[#This Row],[Custom Category]])</f>
        <v>11.100000000000001</v>
      </c>
      <c r="T381">
        <f>SUMIFS(Transactions[Amount],Transactions[Month],Transactions[[#This Row],[Month]],Transactions[Custom Category],Transactions[[#This Row],[Custom Category]])</f>
        <v>14.8</v>
      </c>
      <c r="U381">
        <f ca="1">IF(COUNTIF(Budgets[Custom Category],Transactions[[#This Row],[Custom Category]])=0,Transactions[[#This Row],[6M AVG]],_xlfn.XLOOKUP(Transactions[[#This Row],[Custom Category]],Budgets[Custom Category],Budgets[Monthly],0,0))</f>
        <v>11.100000000000001</v>
      </c>
      <c r="V381">
        <f>IF(Transactions[[#This Row],[Month]]=Sel_Month,Transactions[[#This Row],[Amount]],0)</f>
        <v>0</v>
      </c>
    </row>
    <row r="382" spans="1:22" x14ac:dyDescent="0.25">
      <c r="A382" t="s">
        <v>61</v>
      </c>
      <c r="B382" t="s">
        <v>66</v>
      </c>
      <c r="C382">
        <v>-904</v>
      </c>
      <c r="D382" t="s">
        <v>99</v>
      </c>
      <c r="E382" t="s">
        <v>183</v>
      </c>
      <c r="F382" t="s">
        <v>69</v>
      </c>
      <c r="H382" t="s">
        <v>184</v>
      </c>
      <c r="I382" t="s">
        <v>71</v>
      </c>
      <c r="J382" t="b">
        <v>0</v>
      </c>
      <c r="K382" t="s">
        <v>185</v>
      </c>
      <c r="L382" t="str">
        <f>_xlfn.XLOOKUP(Transactions[[#This Row],[Account ID]],Accounts[Plaid Account ID],Accounts[Name],"Not Found",0)</f>
        <v>RBC Staff Banking</v>
      </c>
      <c r="M382" t="str">
        <f>_xlfn.XLOOKUP(Transactions[[#This Row],[Account ID]],Accounts[Plaid Account ID],Accounts[Institution Name],"Not Found",0)</f>
        <v>RBC Royal Bank</v>
      </c>
      <c r="N382" t="str">
        <f>IF(Transactions[[#This Row],[Amount]]&lt;0,"credit","debit")</f>
        <v>credit</v>
      </c>
      <c r="O382" t="str" cm="1">
        <f t="array" ref="O38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38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45351</v>
      </c>
      <c r="Q382" s="3">
        <f>DATE(YEAR(Transactions[[#This Row],[Datetime]]),MONTH(Transactions[[#This Row],[Datetime]]),1)</f>
        <v>45323</v>
      </c>
      <c r="R382" t="b">
        <f ca="1">AND(Transactions[[#This Row],[Datetime]]&gt;=EDATE(MAX(Transactions[Datetime]),-6),Transactions[[#This Row],[Datetime]]&lt;=TODAY())</f>
        <v>1</v>
      </c>
      <c r="S382" s="6">
        <f ca="1">AVERAGEIFS(Transactions[Month''s Total],Transactions[Recent],TRUE,Transactions[Custom Category],Transactions[[#This Row],[Custom Category]])</f>
        <v>-3209.0714285714284</v>
      </c>
      <c r="T382">
        <f>SUMIFS(Transactions[Amount],Transactions[Month],Transactions[[#This Row],[Month]],Transactions[Custom Category],Transactions[[#This Row],[Custom Category]])</f>
        <v>-2736</v>
      </c>
      <c r="U382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382">
        <f>IF(Transactions[[#This Row],[Month]]=Sel_Month,Transactions[[#This Row],[Amount]],0)</f>
        <v>0</v>
      </c>
    </row>
    <row r="383" spans="1:22" x14ac:dyDescent="0.25">
      <c r="A383" t="s">
        <v>61</v>
      </c>
      <c r="B383" t="s">
        <v>66</v>
      </c>
      <c r="C383">
        <v>3690</v>
      </c>
      <c r="D383" t="s">
        <v>67</v>
      </c>
      <c r="E383" t="s">
        <v>183</v>
      </c>
      <c r="F383" t="s">
        <v>69</v>
      </c>
      <c r="H383" t="s">
        <v>186</v>
      </c>
      <c r="I383" t="s">
        <v>71</v>
      </c>
      <c r="J383" t="b">
        <v>0</v>
      </c>
      <c r="K383" t="s">
        <v>187</v>
      </c>
      <c r="L383" t="str">
        <f>_xlfn.XLOOKUP(Transactions[[#This Row],[Account ID]],Accounts[Plaid Account ID],Accounts[Name],"Not Found",0)</f>
        <v>RBC Staff Banking</v>
      </c>
      <c r="M383" t="str">
        <f>_xlfn.XLOOKUP(Transactions[[#This Row],[Account ID]],Accounts[Plaid Account ID],Accounts[Institution Name],"Not Found",0)</f>
        <v>RBC Royal Bank</v>
      </c>
      <c r="N383" t="str">
        <f>IF(Transactions[[#This Row],[Amount]]&lt;0,"credit","debit")</f>
        <v>debit</v>
      </c>
      <c r="O383" t="str" cm="1">
        <f t="array" ref="O38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Rent</v>
      </c>
      <c r="P38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45351</v>
      </c>
      <c r="Q383" s="3">
        <f>DATE(YEAR(Transactions[[#This Row],[Datetime]]),MONTH(Transactions[[#This Row],[Datetime]]),1)</f>
        <v>45323</v>
      </c>
      <c r="R383" t="b">
        <f ca="1">AND(Transactions[[#This Row],[Datetime]]&gt;=EDATE(MAX(Transactions[Datetime]),-6),Transactions[[#This Row],[Datetime]]&lt;=TODAY())</f>
        <v>1</v>
      </c>
      <c r="S383" s="6">
        <f ca="1">AVERAGEIFS(Transactions[Month''s Total],Transactions[Recent],TRUE,Transactions[Custom Category],Transactions[[#This Row],[Custom Category]])</f>
        <v>5076</v>
      </c>
      <c r="T383">
        <f>SUMIFS(Transactions[Amount],Transactions[Month],Transactions[[#This Row],[Month]],Transactions[Custom Category],Transactions[[#This Row],[Custom Category]])</f>
        <v>3690</v>
      </c>
      <c r="U383">
        <f ca="1">IF(COUNTIF(Budgets[Custom Category],Transactions[[#This Row],[Custom Category]])=0,Transactions[[#This Row],[6M AVG]],_xlfn.XLOOKUP(Transactions[[#This Row],[Custom Category]],Budgets[Custom Category],Budgets[Monthly],0,0))</f>
        <v>5076</v>
      </c>
      <c r="V383">
        <f>IF(Transactions[[#This Row],[Month]]=Sel_Month,Transactions[[#This Row],[Amount]],0)</f>
        <v>0</v>
      </c>
    </row>
    <row r="384" spans="1:22" x14ac:dyDescent="0.25">
      <c r="A384" t="s">
        <v>61</v>
      </c>
      <c r="B384" t="s">
        <v>66</v>
      </c>
      <c r="C384">
        <v>-600</v>
      </c>
      <c r="D384" t="s">
        <v>99</v>
      </c>
      <c r="E384" t="s">
        <v>183</v>
      </c>
      <c r="F384" t="s">
        <v>69</v>
      </c>
      <c r="H384" t="s">
        <v>188</v>
      </c>
      <c r="I384" t="s">
        <v>71</v>
      </c>
      <c r="J384" t="b">
        <v>0</v>
      </c>
      <c r="K384" t="s">
        <v>189</v>
      </c>
      <c r="L384" t="str">
        <f>_xlfn.XLOOKUP(Transactions[[#This Row],[Account ID]],Accounts[Plaid Account ID],Accounts[Name],"Not Found",0)</f>
        <v>RBC Staff Banking</v>
      </c>
      <c r="M384" t="str">
        <f>_xlfn.XLOOKUP(Transactions[[#This Row],[Account ID]],Accounts[Plaid Account ID],Accounts[Institution Name],"Not Found",0)</f>
        <v>RBC Royal Bank</v>
      </c>
      <c r="N384" t="str">
        <f>IF(Transactions[[#This Row],[Amount]]&lt;0,"credit","debit")</f>
        <v>credit</v>
      </c>
      <c r="O384" t="str" cm="1">
        <f t="array" ref="O38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8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45351</v>
      </c>
      <c r="Q384" s="3">
        <f>DATE(YEAR(Transactions[[#This Row],[Datetime]]),MONTH(Transactions[[#This Row],[Datetime]]),1)</f>
        <v>45323</v>
      </c>
      <c r="R384" t="b">
        <f ca="1">AND(Transactions[[#This Row],[Datetime]]&gt;=EDATE(MAX(Transactions[Datetime]),-6),Transactions[[#This Row],[Datetime]]&lt;=TODAY())</f>
        <v>1</v>
      </c>
      <c r="S384" s="6">
        <f ca="1">AVERAGEIFS(Transactions[Month''s Total],Transactions[Recent],TRUE,Transactions[Custom Category],Transactions[[#This Row],[Custom Category]])</f>
        <v>14532.989714285719</v>
      </c>
      <c r="T384">
        <f>SUMIFS(Transactions[Amount],Transactions[Month],Transactions[[#This Row],[Month]],Transactions[Custom Category],Transactions[[#This Row],[Custom Category]])</f>
        <v>9828.4599999999991</v>
      </c>
      <c r="U38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84">
        <f>IF(Transactions[[#This Row],[Month]]=Sel_Month,Transactions[[#This Row],[Amount]],0)</f>
        <v>0</v>
      </c>
    </row>
    <row r="385" spans="1:22" x14ac:dyDescent="0.25">
      <c r="A385" t="s">
        <v>61</v>
      </c>
      <c r="B385" t="s">
        <v>66</v>
      </c>
      <c r="C385">
        <v>-5000</v>
      </c>
      <c r="D385" t="s">
        <v>99</v>
      </c>
      <c r="E385" t="s">
        <v>183</v>
      </c>
      <c r="F385" t="s">
        <v>69</v>
      </c>
      <c r="H385" t="s">
        <v>190</v>
      </c>
      <c r="I385" t="s">
        <v>71</v>
      </c>
      <c r="J385" t="b">
        <v>0</v>
      </c>
      <c r="K385" t="s">
        <v>191</v>
      </c>
      <c r="L385" t="str">
        <f>_xlfn.XLOOKUP(Transactions[[#This Row],[Account ID]],Accounts[Plaid Account ID],Accounts[Name],"Not Found",0)</f>
        <v>RBC Staff Banking</v>
      </c>
      <c r="M385" t="str">
        <f>_xlfn.XLOOKUP(Transactions[[#This Row],[Account ID]],Accounts[Plaid Account ID],Accounts[Institution Name],"Not Found",0)</f>
        <v>RBC Royal Bank</v>
      </c>
      <c r="N385" t="str">
        <f>IF(Transactions[[#This Row],[Amount]]&lt;0,"credit","debit")</f>
        <v>credit</v>
      </c>
      <c r="O385" t="str" cm="1">
        <f t="array" ref="O38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8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45351</v>
      </c>
      <c r="Q385" s="3">
        <f>DATE(YEAR(Transactions[[#This Row],[Datetime]]),MONTH(Transactions[[#This Row],[Datetime]]),1)</f>
        <v>45323</v>
      </c>
      <c r="R385" t="b">
        <f ca="1">AND(Transactions[[#This Row],[Datetime]]&gt;=EDATE(MAX(Transactions[Datetime]),-6),Transactions[[#This Row],[Datetime]]&lt;=TODAY())</f>
        <v>1</v>
      </c>
      <c r="S385" s="6">
        <f ca="1">AVERAGEIFS(Transactions[Month''s Total],Transactions[Recent],TRUE,Transactions[Custom Category],Transactions[[#This Row],[Custom Category]])</f>
        <v>-18125.097037037034</v>
      </c>
      <c r="T385">
        <f>SUMIFS(Transactions[Amount],Transactions[Month],Transactions[[#This Row],[Month]],Transactions[Custom Category],Transactions[[#This Row],[Custom Category]])</f>
        <v>-21523.72</v>
      </c>
      <c r="U38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85">
        <f>IF(Transactions[[#This Row],[Month]]=Sel_Month,Transactions[[#This Row],[Amount]],0)</f>
        <v>0</v>
      </c>
    </row>
    <row r="386" spans="1:22" x14ac:dyDescent="0.25">
      <c r="A386" t="s">
        <v>61</v>
      </c>
      <c r="B386" t="s">
        <v>66</v>
      </c>
      <c r="C386">
        <v>324.55</v>
      </c>
      <c r="D386" t="s">
        <v>134</v>
      </c>
      <c r="E386" t="s">
        <v>183</v>
      </c>
      <c r="F386" t="s">
        <v>69</v>
      </c>
      <c r="G386" t="s">
        <v>135</v>
      </c>
      <c r="H386" t="s">
        <v>136</v>
      </c>
      <c r="I386" t="s">
        <v>132</v>
      </c>
      <c r="J386" t="b">
        <v>0</v>
      </c>
      <c r="K386" t="s">
        <v>192</v>
      </c>
      <c r="L386" t="str">
        <f>_xlfn.XLOOKUP(Transactions[[#This Row],[Account ID]],Accounts[Plaid Account ID],Accounts[Name],"Not Found",0)</f>
        <v>RBC Staff Banking</v>
      </c>
      <c r="M386" t="str">
        <f>_xlfn.XLOOKUP(Transactions[[#This Row],[Account ID]],Accounts[Plaid Account ID],Accounts[Institution Name],"Not Found",0)</f>
        <v>RBC Royal Bank</v>
      </c>
      <c r="N386" t="str">
        <f>IF(Transactions[[#This Row],[Amount]]&lt;0,"credit","debit")</f>
        <v>debit</v>
      </c>
      <c r="O386" t="str" cm="1">
        <f t="array" ref="O38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38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45351</v>
      </c>
      <c r="Q386" s="3">
        <f>DATE(YEAR(Transactions[[#This Row],[Datetime]]),MONTH(Transactions[[#This Row],[Datetime]]),1)</f>
        <v>45323</v>
      </c>
      <c r="R386" t="b">
        <f ca="1">AND(Transactions[[#This Row],[Datetime]]&gt;=EDATE(MAX(Transactions[Datetime]),-6),Transactions[[#This Row],[Datetime]]&lt;=TODAY())</f>
        <v>1</v>
      </c>
      <c r="S386" s="6">
        <f ca="1">AVERAGEIFS(Transactions[Month''s Total],Transactions[Recent],TRUE,Transactions[Custom Category],Transactions[[#This Row],[Custom Category]])</f>
        <v>624.12818181818193</v>
      </c>
      <c r="T386">
        <f>SUMIFS(Transactions[Amount],Transactions[Month],Transactions[[#This Row],[Month]],Transactions[Custom Category],Transactions[[#This Row],[Custom Category]])</f>
        <v>973.65000000000009</v>
      </c>
      <c r="U386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386">
        <f>IF(Transactions[[#This Row],[Month]]=Sel_Month,Transactions[[#This Row],[Amount]],0)</f>
        <v>0</v>
      </c>
    </row>
    <row r="387" spans="1:22" x14ac:dyDescent="0.25">
      <c r="A387" t="s">
        <v>61</v>
      </c>
      <c r="B387" t="s">
        <v>66</v>
      </c>
      <c r="C387">
        <v>-1832</v>
      </c>
      <c r="D387" t="s">
        <v>99</v>
      </c>
      <c r="E387" t="s">
        <v>183</v>
      </c>
      <c r="F387" t="s">
        <v>69</v>
      </c>
      <c r="H387" t="s">
        <v>193</v>
      </c>
      <c r="I387" t="s">
        <v>71</v>
      </c>
      <c r="J387" t="b">
        <v>0</v>
      </c>
      <c r="K387" t="s">
        <v>194</v>
      </c>
      <c r="L387" t="str">
        <f>_xlfn.XLOOKUP(Transactions[[#This Row],[Account ID]],Accounts[Plaid Account ID],Accounts[Name],"Not Found",0)</f>
        <v>RBC Staff Banking</v>
      </c>
      <c r="M387" t="str">
        <f>_xlfn.XLOOKUP(Transactions[[#This Row],[Account ID]],Accounts[Plaid Account ID],Accounts[Institution Name],"Not Found",0)</f>
        <v>RBC Royal Bank</v>
      </c>
      <c r="N387" t="str">
        <f>IF(Transactions[[#This Row],[Amount]]&lt;0,"credit","debit")</f>
        <v>credit</v>
      </c>
      <c r="O387" t="str" cm="1">
        <f t="array" ref="O38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38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45351</v>
      </c>
      <c r="Q387" s="3">
        <f>DATE(YEAR(Transactions[[#This Row],[Datetime]]),MONTH(Transactions[[#This Row],[Datetime]]),1)</f>
        <v>45323</v>
      </c>
      <c r="R387" t="b">
        <f ca="1">AND(Transactions[[#This Row],[Datetime]]&gt;=EDATE(MAX(Transactions[Datetime]),-6),Transactions[[#This Row],[Datetime]]&lt;=TODAY())</f>
        <v>1</v>
      </c>
      <c r="S387" s="6">
        <f ca="1">AVERAGEIFS(Transactions[Month''s Total],Transactions[Recent],TRUE,Transactions[Custom Category],Transactions[[#This Row],[Custom Category]])</f>
        <v>-3209.0714285714284</v>
      </c>
      <c r="T387">
        <f>SUMIFS(Transactions[Amount],Transactions[Month],Transactions[[#This Row],[Month]],Transactions[Custom Category],Transactions[[#This Row],[Custom Category]])</f>
        <v>-2736</v>
      </c>
      <c r="U387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387">
        <f>IF(Transactions[[#This Row],[Month]]=Sel_Month,Transactions[[#This Row],[Amount]],0)</f>
        <v>0</v>
      </c>
    </row>
    <row r="388" spans="1:22" x14ac:dyDescent="0.25">
      <c r="A388" t="s">
        <v>63</v>
      </c>
      <c r="B388" t="s">
        <v>66</v>
      </c>
      <c r="C388">
        <v>27.89</v>
      </c>
      <c r="D388" t="s">
        <v>977</v>
      </c>
      <c r="E388" t="s">
        <v>978</v>
      </c>
      <c r="F388" t="s">
        <v>69</v>
      </c>
      <c r="G388" t="s">
        <v>979</v>
      </c>
      <c r="H388" t="s">
        <v>980</v>
      </c>
      <c r="I388" t="s">
        <v>132</v>
      </c>
      <c r="J388" t="b">
        <v>0</v>
      </c>
      <c r="K388" t="s">
        <v>981</v>
      </c>
      <c r="L388" t="str">
        <f>_xlfn.XLOOKUP(Transactions[[#This Row],[Account ID]],Accounts[Plaid Account ID],Accounts[Name],"Not Found",0)</f>
        <v>WestJet RBC World Elite Mastercard</v>
      </c>
      <c r="M388" t="str">
        <f>_xlfn.XLOOKUP(Transactions[[#This Row],[Account ID]],Accounts[Plaid Account ID],Accounts[Institution Name],"Not Found",0)</f>
        <v>RBC Royal Bank</v>
      </c>
      <c r="N388" t="str">
        <f>IF(Transactions[[#This Row],[Amount]]&lt;0,"credit","debit")</f>
        <v>debit</v>
      </c>
      <c r="O388" t="str" cm="1">
        <f t="array" ref="O38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Subscriptions</v>
      </c>
      <c r="P38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45352</v>
      </c>
      <c r="Q388" s="3">
        <f>DATE(YEAR(Transactions[[#This Row],[Datetime]]),MONTH(Transactions[[#This Row],[Datetime]]),1)</f>
        <v>45352</v>
      </c>
      <c r="R388" t="b">
        <f ca="1">AND(Transactions[[#This Row],[Datetime]]&gt;=EDATE(MAX(Transactions[Datetime]),-6),Transactions[[#This Row],[Datetime]]&lt;=TODAY())</f>
        <v>1</v>
      </c>
      <c r="S388" s="6">
        <f ca="1">AVERAGEIFS(Transactions[Month''s Total],Transactions[Recent],TRUE,Transactions[Custom Category],Transactions[[#This Row],[Custom Category]])</f>
        <v>23.11333333333333</v>
      </c>
      <c r="T388">
        <f>SUMIFS(Transactions[Amount],Transactions[Month],Transactions[[#This Row],[Month]],Transactions[Custom Category],Transactions[[#This Row],[Custom Category]])</f>
        <v>32.409999999999997</v>
      </c>
      <c r="U388">
        <f ca="1">IF(COUNTIF(Budgets[Custom Category],Transactions[[#This Row],[Custom Category]])=0,Transactions[[#This Row],[6M AVG]],_xlfn.XLOOKUP(Transactions[[#This Row],[Custom Category]],Budgets[Custom Category],Budgets[Monthly],0,0))</f>
        <v>23.11333333333333</v>
      </c>
      <c r="V388">
        <f>IF(Transactions[[#This Row],[Month]]=Sel_Month,Transactions[[#This Row],[Amount]],0)</f>
        <v>0</v>
      </c>
    </row>
    <row r="389" spans="1:22" x14ac:dyDescent="0.25">
      <c r="A389" t="s">
        <v>61</v>
      </c>
      <c r="B389" t="s">
        <v>66</v>
      </c>
      <c r="C389">
        <v>4417.45</v>
      </c>
      <c r="D389" t="s">
        <v>67</v>
      </c>
      <c r="E389" t="s">
        <v>178</v>
      </c>
      <c r="F389" t="s">
        <v>69</v>
      </c>
      <c r="H389" t="s">
        <v>179</v>
      </c>
      <c r="I389" t="s">
        <v>71</v>
      </c>
      <c r="J389" t="b">
        <v>0</v>
      </c>
      <c r="K389" t="s">
        <v>180</v>
      </c>
      <c r="L389" t="str">
        <f>_xlfn.XLOOKUP(Transactions[[#This Row],[Account ID]],Accounts[Plaid Account ID],Accounts[Name],"Not Found",0)</f>
        <v>RBC Staff Banking</v>
      </c>
      <c r="M389" t="str">
        <f>_xlfn.XLOOKUP(Transactions[[#This Row],[Account ID]],Accounts[Plaid Account ID],Accounts[Institution Name],"Not Found",0)</f>
        <v>RBC Royal Bank</v>
      </c>
      <c r="N389" t="str">
        <f>IF(Transactions[[#This Row],[Amount]]&lt;0,"credit","debit")</f>
        <v>debit</v>
      </c>
      <c r="O389" t="str" cm="1">
        <f t="array" ref="O38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8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45354</v>
      </c>
      <c r="Q389" s="3">
        <f>DATE(YEAR(Transactions[[#This Row],[Datetime]]),MONTH(Transactions[[#This Row],[Datetime]]),1)</f>
        <v>45352</v>
      </c>
      <c r="R389" t="b">
        <f ca="1">AND(Transactions[[#This Row],[Datetime]]&gt;=EDATE(MAX(Transactions[Datetime]),-6),Transactions[[#This Row],[Datetime]]&lt;=TODAY())</f>
        <v>1</v>
      </c>
      <c r="S389" s="6">
        <f ca="1">AVERAGEIFS(Transactions[Month''s Total],Transactions[Recent],TRUE,Transactions[Custom Category],Transactions[[#This Row],[Custom Category]])</f>
        <v>14532.989714285719</v>
      </c>
      <c r="T389">
        <f>SUMIFS(Transactions[Amount],Transactions[Month],Transactions[[#This Row],[Month]],Transactions[Custom Category],Transactions[[#This Row],[Custom Category]])</f>
        <v>25434.52</v>
      </c>
      <c r="U38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89">
        <f>IF(Transactions[[#This Row],[Month]]=Sel_Month,Transactions[[#This Row],[Amount]],0)</f>
        <v>0</v>
      </c>
    </row>
    <row r="390" spans="1:22" x14ac:dyDescent="0.25">
      <c r="A390" t="s">
        <v>61</v>
      </c>
      <c r="B390" t="s">
        <v>66</v>
      </c>
      <c r="C390">
        <v>-96</v>
      </c>
      <c r="D390" t="s">
        <v>99</v>
      </c>
      <c r="E390" t="s">
        <v>178</v>
      </c>
      <c r="F390" t="s">
        <v>69</v>
      </c>
      <c r="H390" t="s">
        <v>181</v>
      </c>
      <c r="I390" t="s">
        <v>71</v>
      </c>
      <c r="J390" t="b">
        <v>0</v>
      </c>
      <c r="K390" t="s">
        <v>182</v>
      </c>
      <c r="L390" t="str">
        <f>_xlfn.XLOOKUP(Transactions[[#This Row],[Account ID]],Accounts[Plaid Account ID],Accounts[Name],"Not Found",0)</f>
        <v>RBC Staff Banking</v>
      </c>
      <c r="M390" t="str">
        <f>_xlfn.XLOOKUP(Transactions[[#This Row],[Account ID]],Accounts[Plaid Account ID],Accounts[Institution Name],"Not Found",0)</f>
        <v>RBC Royal Bank</v>
      </c>
      <c r="N390" t="str">
        <f>IF(Transactions[[#This Row],[Amount]]&lt;0,"credit","debit")</f>
        <v>credit</v>
      </c>
      <c r="O390" t="str" cm="1">
        <f t="array" ref="O39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39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45354</v>
      </c>
      <c r="Q390" s="3">
        <f>DATE(YEAR(Transactions[[#This Row],[Datetime]]),MONTH(Transactions[[#This Row],[Datetime]]),1)</f>
        <v>45352</v>
      </c>
      <c r="R390" t="b">
        <f ca="1">AND(Transactions[[#This Row],[Datetime]]&gt;=EDATE(MAX(Transactions[Datetime]),-6),Transactions[[#This Row],[Datetime]]&lt;=TODAY())</f>
        <v>1</v>
      </c>
      <c r="S390" s="6">
        <f ca="1">AVERAGEIFS(Transactions[Month''s Total],Transactions[Recent],TRUE,Transactions[Custom Category],Transactions[[#This Row],[Custom Category]])</f>
        <v>-3209.0714285714284</v>
      </c>
      <c r="T390">
        <f>SUMIFS(Transactions[Amount],Transactions[Month],Transactions[[#This Row],[Month]],Transactions[Custom Category],Transactions[[#This Row],[Custom Category]])</f>
        <v>-3266</v>
      </c>
      <c r="U390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390">
        <f>IF(Transactions[[#This Row],[Month]]=Sel_Month,Transactions[[#This Row],[Amount]],0)</f>
        <v>0</v>
      </c>
    </row>
    <row r="391" spans="1:22" x14ac:dyDescent="0.25">
      <c r="A391" t="s">
        <v>61</v>
      </c>
      <c r="B391" t="s">
        <v>66</v>
      </c>
      <c r="C391">
        <v>15.97</v>
      </c>
      <c r="D391" t="s">
        <v>174</v>
      </c>
      <c r="E391" t="s">
        <v>175</v>
      </c>
      <c r="F391" t="s">
        <v>69</v>
      </c>
      <c r="H391" t="s">
        <v>176</v>
      </c>
      <c r="I391" t="s">
        <v>71</v>
      </c>
      <c r="J391" t="b">
        <v>0</v>
      </c>
      <c r="K391" t="s">
        <v>177</v>
      </c>
      <c r="L391" t="str">
        <f>_xlfn.XLOOKUP(Transactions[[#This Row],[Account ID]],Accounts[Plaid Account ID],Accounts[Name],"Not Found",0)</f>
        <v>RBC Staff Banking</v>
      </c>
      <c r="M391" t="str">
        <f>_xlfn.XLOOKUP(Transactions[[#This Row],[Account ID]],Accounts[Plaid Account ID],Accounts[Institution Name],"Not Found",0)</f>
        <v>RBC Royal Bank</v>
      </c>
      <c r="N391" t="str">
        <f>IF(Transactions[[#This Row],[Amount]]&lt;0,"credit","debit")</f>
        <v>debit</v>
      </c>
      <c r="O391" t="str" cm="1">
        <f t="array" ref="O39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9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45355</v>
      </c>
      <c r="Q391" s="3">
        <f>DATE(YEAR(Transactions[[#This Row],[Datetime]]),MONTH(Transactions[[#This Row],[Datetime]]),1)</f>
        <v>45352</v>
      </c>
      <c r="R391" t="b">
        <f ca="1">AND(Transactions[[#This Row],[Datetime]]&gt;=EDATE(MAX(Transactions[Datetime]),-6),Transactions[[#This Row],[Datetime]]&lt;=TODAY())</f>
        <v>1</v>
      </c>
      <c r="S391" s="6">
        <f ca="1">AVERAGEIFS(Transactions[Month''s Total],Transactions[Recent],TRUE,Transactions[Custom Category],Transactions[[#This Row],[Custom Category]])</f>
        <v>14532.989714285719</v>
      </c>
      <c r="T391">
        <f>SUMIFS(Transactions[Amount],Transactions[Month],Transactions[[#This Row],[Month]],Transactions[Custom Category],Transactions[[#This Row],[Custom Category]])</f>
        <v>25434.52</v>
      </c>
      <c r="U391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91">
        <f>IF(Transactions[[#This Row],[Month]]=Sel_Month,Transactions[[#This Row],[Amount]],0)</f>
        <v>0</v>
      </c>
    </row>
    <row r="392" spans="1:22" x14ac:dyDescent="0.25">
      <c r="A392" t="s">
        <v>63</v>
      </c>
      <c r="B392" t="s">
        <v>66</v>
      </c>
      <c r="C392">
        <v>4.5199999999999996</v>
      </c>
      <c r="D392" t="s">
        <v>197</v>
      </c>
      <c r="E392" t="s">
        <v>973</v>
      </c>
      <c r="F392" t="s">
        <v>69</v>
      </c>
      <c r="G392" t="s">
        <v>974</v>
      </c>
      <c r="H392" t="s">
        <v>975</v>
      </c>
      <c r="I392" t="s">
        <v>109</v>
      </c>
      <c r="J392" t="b">
        <v>0</v>
      </c>
      <c r="K392" t="s">
        <v>976</v>
      </c>
      <c r="L392" t="str">
        <f>_xlfn.XLOOKUP(Transactions[[#This Row],[Account ID]],Accounts[Plaid Account ID],Accounts[Name],"Not Found",0)</f>
        <v>WestJet RBC World Elite Mastercard</v>
      </c>
      <c r="M392" t="str">
        <f>_xlfn.XLOOKUP(Transactions[[#This Row],[Account ID]],Accounts[Plaid Account ID],Accounts[Institution Name],"Not Found",0)</f>
        <v>RBC Royal Bank</v>
      </c>
      <c r="N392" t="str">
        <f>IF(Transactions[[#This Row],[Amount]]&lt;0,"credit","debit")</f>
        <v>debit</v>
      </c>
      <c r="O392" t="str" cm="1">
        <f t="array" ref="O39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Subscriptions</v>
      </c>
      <c r="P39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45356</v>
      </c>
      <c r="Q392" s="3">
        <f>DATE(YEAR(Transactions[[#This Row],[Datetime]]),MONTH(Transactions[[#This Row],[Datetime]]),1)</f>
        <v>45352</v>
      </c>
      <c r="R392" t="b">
        <f ca="1">AND(Transactions[[#This Row],[Datetime]]&gt;=EDATE(MAX(Transactions[Datetime]),-6),Transactions[[#This Row],[Datetime]]&lt;=TODAY())</f>
        <v>1</v>
      </c>
      <c r="S392" s="6">
        <f ca="1">AVERAGEIFS(Transactions[Month''s Total],Transactions[Recent],TRUE,Transactions[Custom Category],Transactions[[#This Row],[Custom Category]])</f>
        <v>23.11333333333333</v>
      </c>
      <c r="T392">
        <f>SUMIFS(Transactions[Amount],Transactions[Month],Transactions[[#This Row],[Month]],Transactions[Custom Category],Transactions[[#This Row],[Custom Category]])</f>
        <v>32.409999999999997</v>
      </c>
      <c r="U392">
        <f ca="1">IF(COUNTIF(Budgets[Custom Category],Transactions[[#This Row],[Custom Category]])=0,Transactions[[#This Row],[6M AVG]],_xlfn.XLOOKUP(Transactions[[#This Row],[Custom Category]],Budgets[Custom Category],Budgets[Monthly],0,0))</f>
        <v>23.11333333333333</v>
      </c>
      <c r="V392">
        <f>IF(Transactions[[#This Row],[Month]]=Sel_Month,Transactions[[#This Row],[Amount]],0)</f>
        <v>0</v>
      </c>
    </row>
    <row r="393" spans="1:22" x14ac:dyDescent="0.25">
      <c r="A393" t="s">
        <v>61</v>
      </c>
      <c r="B393" t="s">
        <v>66</v>
      </c>
      <c r="C393">
        <v>-1063</v>
      </c>
      <c r="D393" t="s">
        <v>99</v>
      </c>
      <c r="E393" t="s">
        <v>169</v>
      </c>
      <c r="F393" t="s">
        <v>69</v>
      </c>
      <c r="H393" t="s">
        <v>170</v>
      </c>
      <c r="I393" t="s">
        <v>71</v>
      </c>
      <c r="J393" t="b">
        <v>0</v>
      </c>
      <c r="K393" t="s">
        <v>171</v>
      </c>
      <c r="L393" t="str">
        <f>_xlfn.XLOOKUP(Transactions[[#This Row],[Account ID]],Accounts[Plaid Account ID],Accounts[Name],"Not Found",0)</f>
        <v>RBC Staff Banking</v>
      </c>
      <c r="M393" t="str">
        <f>_xlfn.XLOOKUP(Transactions[[#This Row],[Account ID]],Accounts[Plaid Account ID],Accounts[Institution Name],"Not Found",0)</f>
        <v>RBC Royal Bank</v>
      </c>
      <c r="N393" t="str">
        <f>IF(Transactions[[#This Row],[Amount]]&lt;0,"credit","debit")</f>
        <v>credit</v>
      </c>
      <c r="O393" t="str" cm="1">
        <f t="array" ref="O39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39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45357</v>
      </c>
      <c r="Q393" s="3">
        <f>DATE(YEAR(Transactions[[#This Row],[Datetime]]),MONTH(Transactions[[#This Row],[Datetime]]),1)</f>
        <v>45352</v>
      </c>
      <c r="R393" t="b">
        <f ca="1">AND(Transactions[[#This Row],[Datetime]]&gt;=EDATE(MAX(Transactions[Datetime]),-6),Transactions[[#This Row],[Datetime]]&lt;=TODAY())</f>
        <v>1</v>
      </c>
      <c r="S393" s="6">
        <f ca="1">AVERAGEIFS(Transactions[Month''s Total],Transactions[Recent],TRUE,Transactions[Custom Category],Transactions[[#This Row],[Custom Category]])</f>
        <v>-18125.097037037034</v>
      </c>
      <c r="T393">
        <f>SUMIFS(Transactions[Amount],Transactions[Month],Transactions[[#This Row],[Month]],Transactions[Custom Category],Transactions[[#This Row],[Custom Category]])</f>
        <v>-22459.99</v>
      </c>
      <c r="U39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393">
        <f>IF(Transactions[[#This Row],[Month]]=Sel_Month,Transactions[[#This Row],[Amount]],0)</f>
        <v>0</v>
      </c>
    </row>
    <row r="394" spans="1:22" x14ac:dyDescent="0.25">
      <c r="A394" t="s">
        <v>61</v>
      </c>
      <c r="B394" t="s">
        <v>66</v>
      </c>
      <c r="C394">
        <v>1047.03</v>
      </c>
      <c r="D394" t="s">
        <v>67</v>
      </c>
      <c r="E394" t="s">
        <v>169</v>
      </c>
      <c r="F394" t="s">
        <v>69</v>
      </c>
      <c r="H394" t="s">
        <v>172</v>
      </c>
      <c r="I394" t="s">
        <v>71</v>
      </c>
      <c r="J394" t="b">
        <v>0</v>
      </c>
      <c r="K394" t="s">
        <v>173</v>
      </c>
      <c r="L394" t="str">
        <f>_xlfn.XLOOKUP(Transactions[[#This Row],[Account ID]],Accounts[Plaid Account ID],Accounts[Name],"Not Found",0)</f>
        <v>RBC Staff Banking</v>
      </c>
      <c r="M394" t="str">
        <f>_xlfn.XLOOKUP(Transactions[[#This Row],[Account ID]],Accounts[Plaid Account ID],Accounts[Institution Name],"Not Found",0)</f>
        <v>RBC Royal Bank</v>
      </c>
      <c r="N394" t="str">
        <f>IF(Transactions[[#This Row],[Amount]]&lt;0,"credit","debit")</f>
        <v>debit</v>
      </c>
      <c r="O394" t="str" cm="1">
        <f t="array" ref="O39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9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45357</v>
      </c>
      <c r="Q394" s="3">
        <f>DATE(YEAR(Transactions[[#This Row],[Datetime]]),MONTH(Transactions[[#This Row],[Datetime]]),1)</f>
        <v>45352</v>
      </c>
      <c r="R394" t="b">
        <f ca="1">AND(Transactions[[#This Row],[Datetime]]&gt;=EDATE(MAX(Transactions[Datetime]),-6),Transactions[[#This Row],[Datetime]]&lt;=TODAY())</f>
        <v>1</v>
      </c>
      <c r="S394" s="6">
        <f ca="1">AVERAGEIFS(Transactions[Month''s Total],Transactions[Recent],TRUE,Transactions[Custom Category],Transactions[[#This Row],[Custom Category]])</f>
        <v>14532.989714285719</v>
      </c>
      <c r="T394">
        <f>SUMIFS(Transactions[Amount],Transactions[Month],Transactions[[#This Row],[Month]],Transactions[Custom Category],Transactions[[#This Row],[Custom Category]])</f>
        <v>25434.52</v>
      </c>
      <c r="U39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94">
        <f>IF(Transactions[[#This Row],[Month]]=Sel_Month,Transactions[[#This Row],[Amount]],0)</f>
        <v>0</v>
      </c>
    </row>
    <row r="395" spans="1:22" x14ac:dyDescent="0.25">
      <c r="A395" t="s">
        <v>22</v>
      </c>
      <c r="B395" t="s">
        <v>66</v>
      </c>
      <c r="C395">
        <v>3799.36</v>
      </c>
      <c r="D395" t="s">
        <v>67</v>
      </c>
      <c r="E395" t="s">
        <v>89</v>
      </c>
      <c r="F395" t="s">
        <v>69</v>
      </c>
      <c r="H395" t="s">
        <v>70</v>
      </c>
      <c r="I395" t="s">
        <v>71</v>
      </c>
      <c r="J395" t="b">
        <v>0</v>
      </c>
      <c r="K395" t="s">
        <v>90</v>
      </c>
      <c r="L395" t="str">
        <f>_xlfn.XLOOKUP(Transactions[[#This Row],[Account ID]],Accounts[Plaid Account ID],Accounts[Name],"Not Found",0)</f>
        <v>Preferred Package</v>
      </c>
      <c r="M395" t="str">
        <f>_xlfn.XLOOKUP(Transactions[[#This Row],[Account ID]],Accounts[Plaid Account ID],Accounts[Institution Name],"Not Found",0)</f>
        <v>Scotiabank</v>
      </c>
      <c r="N395" t="str">
        <f>IF(Transactions[[#This Row],[Amount]]&lt;0,"credit","debit")</f>
        <v>debit</v>
      </c>
      <c r="O395" t="str" cm="1">
        <f t="array" ref="O39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9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45359</v>
      </c>
      <c r="Q395" s="3">
        <f>DATE(YEAR(Transactions[[#This Row],[Datetime]]),MONTH(Transactions[[#This Row],[Datetime]]),1)</f>
        <v>45352</v>
      </c>
      <c r="R395" t="b">
        <f ca="1">AND(Transactions[[#This Row],[Datetime]]&gt;=EDATE(MAX(Transactions[Datetime]),-6),Transactions[[#This Row],[Datetime]]&lt;=TODAY())</f>
        <v>1</v>
      </c>
      <c r="S395" s="6">
        <f ca="1">AVERAGEIFS(Transactions[Month''s Total],Transactions[Recent],TRUE,Transactions[Custom Category],Transactions[[#This Row],[Custom Category]])</f>
        <v>12758.461333333335</v>
      </c>
      <c r="T395">
        <f>SUMIFS(Transactions[Amount],Transactions[Month],Transactions[[#This Row],[Month]],Transactions[Custom Category],Transactions[[#This Row],[Custom Category]])</f>
        <v>17658.5</v>
      </c>
      <c r="U39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95">
        <f>IF(Transactions[[#This Row],[Month]]=Sel_Month,Transactions[[#This Row],[Amount]],0)</f>
        <v>0</v>
      </c>
    </row>
    <row r="396" spans="1:22" x14ac:dyDescent="0.25">
      <c r="A396" t="s">
        <v>22</v>
      </c>
      <c r="B396" t="s">
        <v>66</v>
      </c>
      <c r="C396">
        <v>-3799.36</v>
      </c>
      <c r="D396" t="s">
        <v>73</v>
      </c>
      <c r="E396" t="s">
        <v>89</v>
      </c>
      <c r="F396" t="s">
        <v>69</v>
      </c>
      <c r="H396" t="s">
        <v>74</v>
      </c>
      <c r="I396" t="s">
        <v>71</v>
      </c>
      <c r="J396" t="b">
        <v>0</v>
      </c>
      <c r="K396" t="s">
        <v>91</v>
      </c>
      <c r="L396" t="str">
        <f>_xlfn.XLOOKUP(Transactions[[#This Row],[Account ID]],Accounts[Plaid Account ID],Accounts[Name],"Not Found",0)</f>
        <v>Preferred Package</v>
      </c>
      <c r="M396" t="str">
        <f>_xlfn.XLOOKUP(Transactions[[#This Row],[Account ID]],Accounts[Plaid Account ID],Accounts[Institution Name],"Not Found",0)</f>
        <v>Scotiabank</v>
      </c>
      <c r="N396" t="str">
        <f>IF(Transactions[[#This Row],[Amount]]&lt;0,"credit","debit")</f>
        <v>credit</v>
      </c>
      <c r="O396" t="str" cm="1">
        <f t="array" ref="O39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39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45359</v>
      </c>
      <c r="Q396" s="3">
        <f>DATE(YEAR(Transactions[[#This Row],[Datetime]]),MONTH(Transactions[[#This Row],[Datetime]]),1)</f>
        <v>45352</v>
      </c>
      <c r="R396" t="b">
        <f ca="1">AND(Transactions[[#This Row],[Datetime]]&gt;=EDATE(MAX(Transactions[Datetime]),-6),Transactions[[#This Row],[Datetime]]&lt;=TODAY())</f>
        <v>1</v>
      </c>
      <c r="S396" s="6">
        <f ca="1">AVERAGEIFS(Transactions[Month''s Total],Transactions[Recent],TRUE,Transactions[Custom Category],Transactions[[#This Row],[Custom Category]])</f>
        <v>-12680.457777777781</v>
      </c>
      <c r="T396">
        <f>SUMIFS(Transactions[Amount],Transactions[Month],Transactions[[#This Row],[Month]],Transactions[Custom Category],Transactions[[#This Row],[Custom Category]])</f>
        <v>-15758.130000000001</v>
      </c>
      <c r="U396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396">
        <f>IF(Transactions[[#This Row],[Month]]=Sel_Month,Transactions[[#This Row],[Amount]],0)</f>
        <v>0</v>
      </c>
    </row>
    <row r="397" spans="1:22" x14ac:dyDescent="0.25">
      <c r="A397" t="s">
        <v>63</v>
      </c>
      <c r="B397" t="s">
        <v>66</v>
      </c>
      <c r="C397">
        <v>-1058.6400000000001</v>
      </c>
      <c r="D397" t="s">
        <v>99</v>
      </c>
      <c r="E397" t="s">
        <v>89</v>
      </c>
      <c r="F397" t="s">
        <v>69</v>
      </c>
      <c r="H397" t="s">
        <v>968</v>
      </c>
      <c r="I397" t="s">
        <v>71</v>
      </c>
      <c r="J397" t="b">
        <v>0</v>
      </c>
      <c r="K397" t="s">
        <v>969</v>
      </c>
      <c r="L397" t="str">
        <f>_xlfn.XLOOKUP(Transactions[[#This Row],[Account ID]],Accounts[Plaid Account ID],Accounts[Name],"Not Found",0)</f>
        <v>WestJet RBC World Elite Mastercard</v>
      </c>
      <c r="M397" t="str">
        <f>_xlfn.XLOOKUP(Transactions[[#This Row],[Account ID]],Accounts[Plaid Account ID],Accounts[Institution Name],"Not Found",0)</f>
        <v>RBC Royal Bank</v>
      </c>
      <c r="N397" t="str">
        <f>IF(Transactions[[#This Row],[Amount]]&lt;0,"credit","debit")</f>
        <v>credit</v>
      </c>
      <c r="O397" t="str" cm="1">
        <f t="array" ref="O39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39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45359</v>
      </c>
      <c r="Q397" s="3">
        <f>DATE(YEAR(Transactions[[#This Row],[Datetime]]),MONTH(Transactions[[#This Row],[Datetime]]),1)</f>
        <v>45352</v>
      </c>
      <c r="R397" t="b">
        <f ca="1">AND(Transactions[[#This Row],[Datetime]]&gt;=EDATE(MAX(Transactions[Datetime]),-6),Transactions[[#This Row],[Datetime]]&lt;=TODAY())</f>
        <v>1</v>
      </c>
      <c r="S397" s="6">
        <f ca="1">AVERAGEIFS(Transactions[Month''s Total],Transactions[Recent],TRUE,Transactions[Custom Category],Transactions[[#This Row],[Custom Category]])</f>
        <v>14532.989714285719</v>
      </c>
      <c r="T397">
        <f>SUMIFS(Transactions[Amount],Transactions[Month],Transactions[[#This Row],[Month]],Transactions[Custom Category],Transactions[[#This Row],[Custom Category]])</f>
        <v>25434.52</v>
      </c>
      <c r="U39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397">
        <f>IF(Transactions[[#This Row],[Month]]=Sel_Month,Transactions[[#This Row],[Amount]],0)</f>
        <v>0</v>
      </c>
    </row>
    <row r="398" spans="1:22" x14ac:dyDescent="0.25">
      <c r="A398" t="s">
        <v>63</v>
      </c>
      <c r="B398" t="s">
        <v>66</v>
      </c>
      <c r="C398">
        <v>12.42</v>
      </c>
      <c r="D398" t="s">
        <v>366</v>
      </c>
      <c r="E398" t="s">
        <v>89</v>
      </c>
      <c r="F398" t="s">
        <v>69</v>
      </c>
      <c r="G398" t="s">
        <v>970</v>
      </c>
      <c r="H398" t="s">
        <v>971</v>
      </c>
      <c r="I398" t="s">
        <v>132</v>
      </c>
      <c r="J398" t="b">
        <v>0</v>
      </c>
      <c r="K398" t="s">
        <v>972</v>
      </c>
      <c r="L398" t="str">
        <f>_xlfn.XLOOKUP(Transactions[[#This Row],[Account ID]],Accounts[Plaid Account ID],Accounts[Name],"Not Found",0)</f>
        <v>WestJet RBC World Elite Mastercard</v>
      </c>
      <c r="M398" t="str">
        <f>_xlfn.XLOOKUP(Transactions[[#This Row],[Account ID]],Accounts[Plaid Account ID],Accounts[Institution Name],"Not Found",0)</f>
        <v>RBC Royal Bank</v>
      </c>
      <c r="N398" t="str">
        <f>IF(Transactions[[#This Row],[Amount]]&lt;0,"credit","debit")</f>
        <v>debit</v>
      </c>
      <c r="O398" t="str" cm="1">
        <f t="array" ref="O39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Business,Advertising</v>
      </c>
      <c r="P39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45359</v>
      </c>
      <c r="Q398" s="3">
        <f>DATE(YEAR(Transactions[[#This Row],[Datetime]]),MONTH(Transactions[[#This Row],[Datetime]]),1)</f>
        <v>45352</v>
      </c>
      <c r="R398" t="b">
        <f ca="1">AND(Transactions[[#This Row],[Datetime]]&gt;=EDATE(MAX(Transactions[Datetime]),-6),Transactions[[#This Row],[Datetime]]&lt;=TODAY())</f>
        <v>1</v>
      </c>
      <c r="S398" s="6">
        <f ca="1">AVERAGEIFS(Transactions[Month''s Total],Transactions[Recent],TRUE,Transactions[Custom Category],Transactions[[#This Row],[Custom Category]])</f>
        <v>6.21</v>
      </c>
      <c r="T398">
        <f>SUMIFS(Transactions[Amount],Transactions[Month],Transactions[[#This Row],[Month]],Transactions[Custom Category],Transactions[[#This Row],[Custom Category]])</f>
        <v>12.42</v>
      </c>
      <c r="U398">
        <f ca="1">IF(COUNTIF(Budgets[Custom Category],Transactions[[#This Row],[Custom Category]])=0,Transactions[[#This Row],[6M AVG]],_xlfn.XLOOKUP(Transactions[[#This Row],[Custom Category]],Budgets[Custom Category],Budgets[Monthly],0,0))</f>
        <v>6.21</v>
      </c>
      <c r="V398">
        <f>IF(Transactions[[#This Row],[Month]]=Sel_Month,Transactions[[#This Row],[Amount]],0)</f>
        <v>0</v>
      </c>
    </row>
    <row r="399" spans="1:22" x14ac:dyDescent="0.25">
      <c r="A399" t="s">
        <v>61</v>
      </c>
      <c r="B399" t="s">
        <v>66</v>
      </c>
      <c r="C399">
        <v>1058.6400000000001</v>
      </c>
      <c r="D399" t="s">
        <v>67</v>
      </c>
      <c r="E399" t="s">
        <v>156</v>
      </c>
      <c r="F399" t="s">
        <v>69</v>
      </c>
      <c r="H399" t="s">
        <v>157</v>
      </c>
      <c r="I399" t="s">
        <v>71</v>
      </c>
      <c r="J399" t="b">
        <v>0</v>
      </c>
      <c r="K399" t="s">
        <v>158</v>
      </c>
      <c r="L399" t="str">
        <f>_xlfn.XLOOKUP(Transactions[[#This Row],[Account ID]],Accounts[Plaid Account ID],Accounts[Name],"Not Found",0)</f>
        <v>RBC Staff Banking</v>
      </c>
      <c r="M399" t="str">
        <f>_xlfn.XLOOKUP(Transactions[[#This Row],[Account ID]],Accounts[Plaid Account ID],Accounts[Institution Name],"Not Found",0)</f>
        <v>RBC Royal Bank</v>
      </c>
      <c r="N399" t="str">
        <f>IF(Transactions[[#This Row],[Amount]]&lt;0,"credit","debit")</f>
        <v>debit</v>
      </c>
      <c r="O399" t="str" cm="1">
        <f t="array" ref="O39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39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45361</v>
      </c>
      <c r="Q399" s="3">
        <f>DATE(YEAR(Transactions[[#This Row],[Datetime]]),MONTH(Transactions[[#This Row],[Datetime]]),1)</f>
        <v>45352</v>
      </c>
      <c r="R399" t="b">
        <f ca="1">AND(Transactions[[#This Row],[Datetime]]&gt;=EDATE(MAX(Transactions[Datetime]),-6),Transactions[[#This Row],[Datetime]]&lt;=TODAY())</f>
        <v>1</v>
      </c>
      <c r="S399" s="6">
        <f ca="1">AVERAGEIFS(Transactions[Month''s Total],Transactions[Recent],TRUE,Transactions[Custom Category],Transactions[[#This Row],[Custom Category]])</f>
        <v>12758.461333333335</v>
      </c>
      <c r="T399">
        <f>SUMIFS(Transactions[Amount],Transactions[Month],Transactions[[#This Row],[Month]],Transactions[Custom Category],Transactions[[#This Row],[Custom Category]])</f>
        <v>17658.5</v>
      </c>
      <c r="U39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399">
        <f>IF(Transactions[[#This Row],[Month]]=Sel_Month,Transactions[[#This Row],[Amount]],0)</f>
        <v>0</v>
      </c>
    </row>
    <row r="400" spans="1:22" x14ac:dyDescent="0.25">
      <c r="A400" t="s">
        <v>61</v>
      </c>
      <c r="B400" t="s">
        <v>66</v>
      </c>
      <c r="C400">
        <v>3799.36</v>
      </c>
      <c r="D400" t="s">
        <v>67</v>
      </c>
      <c r="E400" t="s">
        <v>156</v>
      </c>
      <c r="F400" t="s">
        <v>69</v>
      </c>
      <c r="H400" t="s">
        <v>159</v>
      </c>
      <c r="I400" t="s">
        <v>71</v>
      </c>
      <c r="J400" t="b">
        <v>0</v>
      </c>
      <c r="K400" t="s">
        <v>160</v>
      </c>
      <c r="L400" t="str">
        <f>_xlfn.XLOOKUP(Transactions[[#This Row],[Account ID]],Accounts[Plaid Account ID],Accounts[Name],"Not Found",0)</f>
        <v>RBC Staff Banking</v>
      </c>
      <c r="M400" t="str">
        <f>_xlfn.XLOOKUP(Transactions[[#This Row],[Account ID]],Accounts[Plaid Account ID],Accounts[Institution Name],"Not Found",0)</f>
        <v>RBC Royal Bank</v>
      </c>
      <c r="N400" t="str">
        <f>IF(Transactions[[#This Row],[Amount]]&lt;0,"credit","debit")</f>
        <v>debit</v>
      </c>
      <c r="O400" t="str" cm="1">
        <f t="array" ref="O40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0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45361</v>
      </c>
      <c r="Q400" s="3">
        <f>DATE(YEAR(Transactions[[#This Row],[Datetime]]),MONTH(Transactions[[#This Row],[Datetime]]),1)</f>
        <v>45352</v>
      </c>
      <c r="R400" t="b">
        <f ca="1">AND(Transactions[[#This Row],[Datetime]]&gt;=EDATE(MAX(Transactions[Datetime]),-6),Transactions[[#This Row],[Datetime]]&lt;=TODAY())</f>
        <v>1</v>
      </c>
      <c r="S400" s="6">
        <f ca="1">AVERAGEIFS(Transactions[Month''s Total],Transactions[Recent],TRUE,Transactions[Custom Category],Transactions[[#This Row],[Custom Category]])</f>
        <v>14532.989714285719</v>
      </c>
      <c r="T400">
        <f>SUMIFS(Transactions[Amount],Transactions[Month],Transactions[[#This Row],[Month]],Transactions[Custom Category],Transactions[[#This Row],[Custom Category]])</f>
        <v>25434.52</v>
      </c>
      <c r="U400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00">
        <f>IF(Transactions[[#This Row],[Month]]=Sel_Month,Transactions[[#This Row],[Amount]],0)</f>
        <v>0</v>
      </c>
    </row>
    <row r="401" spans="1:22" x14ac:dyDescent="0.25">
      <c r="A401" t="s">
        <v>61</v>
      </c>
      <c r="B401" t="s">
        <v>66</v>
      </c>
      <c r="C401">
        <v>142</v>
      </c>
      <c r="D401" t="s">
        <v>67</v>
      </c>
      <c r="E401" t="s">
        <v>156</v>
      </c>
      <c r="F401" t="s">
        <v>69</v>
      </c>
      <c r="H401" t="s">
        <v>161</v>
      </c>
      <c r="I401" t="s">
        <v>71</v>
      </c>
      <c r="J401" t="b">
        <v>0</v>
      </c>
      <c r="K401" t="s">
        <v>162</v>
      </c>
      <c r="L401" t="str">
        <f>_xlfn.XLOOKUP(Transactions[[#This Row],[Account ID]],Accounts[Plaid Account ID],Accounts[Name],"Not Found",0)</f>
        <v>RBC Staff Banking</v>
      </c>
      <c r="M401" t="str">
        <f>_xlfn.XLOOKUP(Transactions[[#This Row],[Account ID]],Accounts[Plaid Account ID],Accounts[Institution Name],"Not Found",0)</f>
        <v>RBC Royal Bank</v>
      </c>
      <c r="N401" t="str">
        <f>IF(Transactions[[#This Row],[Amount]]&lt;0,"credit","debit")</f>
        <v>debit</v>
      </c>
      <c r="O401" t="str" cm="1">
        <f t="array" ref="O40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0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45361</v>
      </c>
      <c r="Q401" s="3">
        <f>DATE(YEAR(Transactions[[#This Row],[Datetime]]),MONTH(Transactions[[#This Row],[Datetime]]),1)</f>
        <v>45352</v>
      </c>
      <c r="R401" t="b">
        <f ca="1">AND(Transactions[[#This Row],[Datetime]]&gt;=EDATE(MAX(Transactions[Datetime]),-6),Transactions[[#This Row],[Datetime]]&lt;=TODAY())</f>
        <v>1</v>
      </c>
      <c r="S401" s="6">
        <f ca="1">AVERAGEIFS(Transactions[Month''s Total],Transactions[Recent],TRUE,Transactions[Custom Category],Transactions[[#This Row],[Custom Category]])</f>
        <v>12758.461333333335</v>
      </c>
      <c r="T401">
        <f>SUMIFS(Transactions[Amount],Transactions[Month],Transactions[[#This Row],[Month]],Transactions[Custom Category],Transactions[[#This Row],[Custom Category]])</f>
        <v>17658.5</v>
      </c>
      <c r="U40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01">
        <f>IF(Transactions[[#This Row],[Month]]=Sel_Month,Transactions[[#This Row],[Amount]],0)</f>
        <v>0</v>
      </c>
    </row>
    <row r="402" spans="1:22" x14ac:dyDescent="0.25">
      <c r="A402" t="s">
        <v>61</v>
      </c>
      <c r="B402" t="s">
        <v>66</v>
      </c>
      <c r="C402">
        <v>-5000</v>
      </c>
      <c r="D402" t="s">
        <v>99</v>
      </c>
      <c r="E402" t="s">
        <v>156</v>
      </c>
      <c r="F402" t="s">
        <v>69</v>
      </c>
      <c r="H402" t="s">
        <v>163</v>
      </c>
      <c r="I402" t="s">
        <v>71</v>
      </c>
      <c r="J402" t="b">
        <v>0</v>
      </c>
      <c r="K402" t="s">
        <v>164</v>
      </c>
      <c r="L402" t="str">
        <f>_xlfn.XLOOKUP(Transactions[[#This Row],[Account ID]],Accounts[Plaid Account ID],Accounts[Name],"Not Found",0)</f>
        <v>RBC Staff Banking</v>
      </c>
      <c r="M402" t="str">
        <f>_xlfn.XLOOKUP(Transactions[[#This Row],[Account ID]],Accounts[Plaid Account ID],Accounts[Institution Name],"Not Found",0)</f>
        <v>RBC Royal Bank</v>
      </c>
      <c r="N402" t="str">
        <f>IF(Transactions[[#This Row],[Amount]]&lt;0,"credit","debit")</f>
        <v>credit</v>
      </c>
      <c r="O402" t="str" cm="1">
        <f t="array" ref="O40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0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45361</v>
      </c>
      <c r="Q402" s="3">
        <f>DATE(YEAR(Transactions[[#This Row],[Datetime]]),MONTH(Transactions[[#This Row],[Datetime]]),1)</f>
        <v>45352</v>
      </c>
      <c r="R402" t="b">
        <f ca="1">AND(Transactions[[#This Row],[Datetime]]&gt;=EDATE(MAX(Transactions[Datetime]),-6),Transactions[[#This Row],[Datetime]]&lt;=TODAY())</f>
        <v>1</v>
      </c>
      <c r="S402" s="6">
        <f ca="1">AVERAGEIFS(Transactions[Month''s Total],Transactions[Recent],TRUE,Transactions[Custom Category],Transactions[[#This Row],[Custom Category]])</f>
        <v>-18125.097037037034</v>
      </c>
      <c r="T402">
        <f>SUMIFS(Transactions[Amount],Transactions[Month],Transactions[[#This Row],[Month]],Transactions[Custom Category],Transactions[[#This Row],[Custom Category]])</f>
        <v>-22459.99</v>
      </c>
      <c r="U402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02">
        <f>IF(Transactions[[#This Row],[Month]]=Sel_Month,Transactions[[#This Row],[Amount]],0)</f>
        <v>0</v>
      </c>
    </row>
    <row r="403" spans="1:22" x14ac:dyDescent="0.25">
      <c r="A403" t="s">
        <v>61</v>
      </c>
      <c r="B403" t="s">
        <v>66</v>
      </c>
      <c r="C403">
        <v>153.32</v>
      </c>
      <c r="D403" t="s">
        <v>165</v>
      </c>
      <c r="E403" t="s">
        <v>156</v>
      </c>
      <c r="F403" t="s">
        <v>69</v>
      </c>
      <c r="G403" t="s">
        <v>166</v>
      </c>
      <c r="H403" t="s">
        <v>167</v>
      </c>
      <c r="I403" t="s">
        <v>132</v>
      </c>
      <c r="J403" t="b">
        <v>0</v>
      </c>
      <c r="K403" t="s">
        <v>168</v>
      </c>
      <c r="L403" t="str">
        <f>_xlfn.XLOOKUP(Transactions[[#This Row],[Account ID]],Accounts[Plaid Account ID],Accounts[Name],"Not Found",0)</f>
        <v>RBC Staff Banking</v>
      </c>
      <c r="M403" t="str">
        <f>_xlfn.XLOOKUP(Transactions[[#This Row],[Account ID]],Accounts[Plaid Account ID],Accounts[Institution Name],"Not Found",0)</f>
        <v>RBC Royal Bank</v>
      </c>
      <c r="N403" t="str">
        <f>IF(Transactions[[#This Row],[Amount]]&lt;0,"credit","debit")</f>
        <v>debit</v>
      </c>
      <c r="O403" t="str" cm="1">
        <f t="array" ref="O40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Utilities,Electric</v>
      </c>
      <c r="P40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45361</v>
      </c>
      <c r="Q403" s="3">
        <f>DATE(YEAR(Transactions[[#This Row],[Datetime]]),MONTH(Transactions[[#This Row],[Datetime]]),1)</f>
        <v>45352</v>
      </c>
      <c r="R403" t="b">
        <f ca="1">AND(Transactions[[#This Row],[Datetime]]&gt;=EDATE(MAX(Transactions[Datetime]),-6),Transactions[[#This Row],[Datetime]]&lt;=TODAY())</f>
        <v>1</v>
      </c>
      <c r="S403" s="6">
        <f ca="1">AVERAGEIFS(Transactions[Month''s Total],Transactions[Recent],TRUE,Transactions[Custom Category],Transactions[[#This Row],[Custom Category]])</f>
        <v>139.88333333333333</v>
      </c>
      <c r="T403">
        <f>SUMIFS(Transactions[Amount],Transactions[Month],Transactions[[#This Row],[Month]],Transactions[Custom Category],Transactions[[#This Row],[Custom Category]])</f>
        <v>153.32</v>
      </c>
      <c r="U403">
        <f ca="1">IF(COUNTIF(Budgets[Custom Category],Transactions[[#This Row],[Custom Category]])=0,Transactions[[#This Row],[6M AVG]],_xlfn.XLOOKUP(Transactions[[#This Row],[Custom Category]],Budgets[Custom Category],Budgets[Monthly],0,0))</f>
        <v>139.88333333333333</v>
      </c>
      <c r="V403">
        <f>IF(Transactions[[#This Row],[Month]]=Sel_Month,Transactions[[#This Row],[Amount]],0)</f>
        <v>0</v>
      </c>
    </row>
    <row r="404" spans="1:22" x14ac:dyDescent="0.25">
      <c r="A404" t="s">
        <v>61</v>
      </c>
      <c r="B404" t="s">
        <v>66</v>
      </c>
      <c r="C404">
        <v>5254.58</v>
      </c>
      <c r="D404" t="s">
        <v>67</v>
      </c>
      <c r="E404" t="s">
        <v>146</v>
      </c>
      <c r="F404" t="s">
        <v>69</v>
      </c>
      <c r="H404" t="s">
        <v>147</v>
      </c>
      <c r="I404" t="s">
        <v>71</v>
      </c>
      <c r="J404" t="b">
        <v>0</v>
      </c>
      <c r="K404" t="s">
        <v>148</v>
      </c>
      <c r="L404" t="str">
        <f>_xlfn.XLOOKUP(Transactions[[#This Row],[Account ID]],Accounts[Plaid Account ID],Accounts[Name],"Not Found",0)</f>
        <v>RBC Staff Banking</v>
      </c>
      <c r="M404" t="str">
        <f>_xlfn.XLOOKUP(Transactions[[#This Row],[Account ID]],Accounts[Plaid Account ID],Accounts[Institution Name],"Not Found",0)</f>
        <v>RBC Royal Bank</v>
      </c>
      <c r="N404" t="str">
        <f>IF(Transactions[[#This Row],[Amount]]&lt;0,"credit","debit")</f>
        <v>debit</v>
      </c>
      <c r="O404" t="str" cm="1">
        <f t="array" ref="O40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0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45362</v>
      </c>
      <c r="Q404" s="3">
        <f>DATE(YEAR(Transactions[[#This Row],[Datetime]]),MONTH(Transactions[[#This Row],[Datetime]]),1)</f>
        <v>45352</v>
      </c>
      <c r="R404" t="b">
        <f ca="1">AND(Transactions[[#This Row],[Datetime]]&gt;=EDATE(MAX(Transactions[Datetime]),-6),Transactions[[#This Row],[Datetime]]&lt;=TODAY())</f>
        <v>1</v>
      </c>
      <c r="S404" s="6">
        <f ca="1">AVERAGEIFS(Transactions[Month''s Total],Transactions[Recent],TRUE,Transactions[Custom Category],Transactions[[#This Row],[Custom Category]])</f>
        <v>14532.989714285719</v>
      </c>
      <c r="T404">
        <f>SUMIFS(Transactions[Amount],Transactions[Month],Transactions[[#This Row],[Month]],Transactions[Custom Category],Transactions[[#This Row],[Custom Category]])</f>
        <v>25434.52</v>
      </c>
      <c r="U40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04">
        <f>IF(Transactions[[#This Row],[Month]]=Sel_Month,Transactions[[#This Row],[Amount]],0)</f>
        <v>0</v>
      </c>
    </row>
    <row r="405" spans="1:22" x14ac:dyDescent="0.25">
      <c r="A405" t="s">
        <v>61</v>
      </c>
      <c r="B405" t="s">
        <v>66</v>
      </c>
      <c r="C405">
        <v>-5407.9</v>
      </c>
      <c r="D405" t="s">
        <v>149</v>
      </c>
      <c r="E405" t="s">
        <v>146</v>
      </c>
      <c r="F405" t="s">
        <v>69</v>
      </c>
      <c r="H405" t="s">
        <v>150</v>
      </c>
      <c r="I405" t="s">
        <v>71</v>
      </c>
      <c r="J405" t="b">
        <v>0</v>
      </c>
      <c r="K405" t="s">
        <v>151</v>
      </c>
      <c r="L405" t="str">
        <f>_xlfn.XLOOKUP(Transactions[[#This Row],[Account ID]],Accounts[Plaid Account ID],Accounts[Name],"Not Found",0)</f>
        <v>RBC Staff Banking</v>
      </c>
      <c r="M405" t="str">
        <f>_xlfn.XLOOKUP(Transactions[[#This Row],[Account ID]],Accounts[Plaid Account ID],Accounts[Institution Name],"Not Found",0)</f>
        <v>RBC Royal Bank</v>
      </c>
      <c r="N405" t="str">
        <f>IF(Transactions[[#This Row],[Amount]]&lt;0,"credit","debit")</f>
        <v>credit</v>
      </c>
      <c r="O405" t="str" cm="1">
        <f t="array" ref="O40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0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45362</v>
      </c>
      <c r="Q405" s="3">
        <f>DATE(YEAR(Transactions[[#This Row],[Datetime]]),MONTH(Transactions[[#This Row],[Datetime]]),1)</f>
        <v>45352</v>
      </c>
      <c r="R405" t="b">
        <f ca="1">AND(Transactions[[#This Row],[Datetime]]&gt;=EDATE(MAX(Transactions[Datetime]),-6),Transactions[[#This Row],[Datetime]]&lt;=TODAY())</f>
        <v>1</v>
      </c>
      <c r="S405" s="6">
        <f ca="1">AVERAGEIFS(Transactions[Month''s Total],Transactions[Recent],TRUE,Transactions[Custom Category],Transactions[[#This Row],[Custom Category]])</f>
        <v>-18125.097037037034</v>
      </c>
      <c r="T405">
        <f>SUMIFS(Transactions[Amount],Transactions[Month],Transactions[[#This Row],[Month]],Transactions[Custom Category],Transactions[[#This Row],[Custom Category]])</f>
        <v>-22459.99</v>
      </c>
      <c r="U405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05">
        <f>IF(Transactions[[#This Row],[Month]]=Sel_Month,Transactions[[#This Row],[Amount]],0)</f>
        <v>0</v>
      </c>
    </row>
    <row r="406" spans="1:22" x14ac:dyDescent="0.25">
      <c r="A406" t="s">
        <v>61</v>
      </c>
      <c r="B406" t="s">
        <v>66</v>
      </c>
      <c r="C406">
        <v>153.29</v>
      </c>
      <c r="D406" t="s">
        <v>152</v>
      </c>
      <c r="E406" t="s">
        <v>146</v>
      </c>
      <c r="F406" t="s">
        <v>69</v>
      </c>
      <c r="G406" t="s">
        <v>153</v>
      </c>
      <c r="H406" t="s">
        <v>154</v>
      </c>
      <c r="I406" t="s">
        <v>132</v>
      </c>
      <c r="J406" t="b">
        <v>0</v>
      </c>
      <c r="K406" t="s">
        <v>155</v>
      </c>
      <c r="L406" t="str">
        <f>_xlfn.XLOOKUP(Transactions[[#This Row],[Account ID]],Accounts[Plaid Account ID],Accounts[Name],"Not Found",0)</f>
        <v>RBC Staff Banking</v>
      </c>
      <c r="M406" t="str">
        <f>_xlfn.XLOOKUP(Transactions[[#This Row],[Account ID]],Accounts[Plaid Account ID],Accounts[Institution Name],"Not Found",0)</f>
        <v>RBC Royal Bank</v>
      </c>
      <c r="N406" t="str">
        <f>IF(Transactions[[#This Row],[Amount]]&lt;0,"credit","debit")</f>
        <v>debit</v>
      </c>
      <c r="O406" t="str" cm="1">
        <f t="array" ref="O40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40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45362</v>
      </c>
      <c r="Q406" s="3">
        <f>DATE(YEAR(Transactions[[#This Row],[Datetime]]),MONTH(Transactions[[#This Row],[Datetime]]),1)</f>
        <v>45352</v>
      </c>
      <c r="R406" t="b">
        <f ca="1">AND(Transactions[[#This Row],[Datetime]]&gt;=EDATE(MAX(Transactions[Datetime]),-6),Transactions[[#This Row],[Datetime]]&lt;=TODAY())</f>
        <v>1</v>
      </c>
      <c r="S406" s="6">
        <f ca="1">AVERAGEIFS(Transactions[Month''s Total],Transactions[Recent],TRUE,Transactions[Custom Category],Transactions[[#This Row],[Custom Category]])</f>
        <v>153.08333333333331</v>
      </c>
      <c r="T406">
        <f>SUMIFS(Transactions[Amount],Transactions[Month],Transactions[[#This Row],[Month]],Transactions[Custom Category],Transactions[[#This Row],[Custom Category]])</f>
        <v>153.29</v>
      </c>
      <c r="U406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406">
        <f>IF(Transactions[[#This Row],[Month]]=Sel_Month,Transactions[[#This Row],[Amount]],0)</f>
        <v>0</v>
      </c>
    </row>
    <row r="407" spans="1:22" x14ac:dyDescent="0.25">
      <c r="A407" t="s">
        <v>63</v>
      </c>
      <c r="B407" t="s">
        <v>66</v>
      </c>
      <c r="C407">
        <v>3.7</v>
      </c>
      <c r="D407" t="s">
        <v>963</v>
      </c>
      <c r="E407" t="s">
        <v>146</v>
      </c>
      <c r="F407" t="s">
        <v>69</v>
      </c>
      <c r="G407" t="s">
        <v>964</v>
      </c>
      <c r="H407" t="s">
        <v>965</v>
      </c>
      <c r="I407" t="s">
        <v>109</v>
      </c>
      <c r="J407" t="b">
        <v>0</v>
      </c>
      <c r="K407" t="s">
        <v>966</v>
      </c>
      <c r="L407" t="str">
        <f>_xlfn.XLOOKUP(Transactions[[#This Row],[Account ID]],Accounts[Plaid Account ID],Accounts[Name],"Not Found",0)</f>
        <v>WestJet RBC World Elite Mastercard</v>
      </c>
      <c r="M407" t="str">
        <f>_xlfn.XLOOKUP(Transactions[[#This Row],[Account ID]],Accounts[Plaid Account ID],Accounts[Institution Name],"Not Found",0)</f>
        <v>RBC Royal Bank</v>
      </c>
      <c r="N407" t="str">
        <f>IF(Transactions[[#This Row],[Amount]]&lt;0,"credit","debit")</f>
        <v>debit</v>
      </c>
      <c r="O407" t="str" cm="1">
        <f t="array" ref="O40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Public Transportation Services</v>
      </c>
      <c r="P40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45362</v>
      </c>
      <c r="Q407" s="3">
        <f>DATE(YEAR(Transactions[[#This Row],[Datetime]]),MONTH(Transactions[[#This Row],[Datetime]]),1)</f>
        <v>45352</v>
      </c>
      <c r="R407" t="b">
        <f ca="1">AND(Transactions[[#This Row],[Datetime]]&gt;=EDATE(MAX(Transactions[Datetime]),-6),Transactions[[#This Row],[Datetime]]&lt;=TODAY())</f>
        <v>1</v>
      </c>
      <c r="S407" s="6">
        <f ca="1">AVERAGEIFS(Transactions[Month''s Total],Transactions[Recent],TRUE,Transactions[Custom Category],Transactions[[#This Row],[Custom Category]])</f>
        <v>11.100000000000001</v>
      </c>
      <c r="T407">
        <f>SUMIFS(Transactions[Amount],Transactions[Month],Transactions[[#This Row],[Month]],Transactions[Custom Category],Transactions[[#This Row],[Custom Category]])</f>
        <v>3.7</v>
      </c>
      <c r="U407">
        <f ca="1">IF(COUNTIF(Budgets[Custom Category],Transactions[[#This Row],[Custom Category]])=0,Transactions[[#This Row],[6M AVG]],_xlfn.XLOOKUP(Transactions[[#This Row],[Custom Category]],Budgets[Custom Category],Budgets[Monthly],0,0))</f>
        <v>11.100000000000001</v>
      </c>
      <c r="V407">
        <f>IF(Transactions[[#This Row],[Month]]=Sel_Month,Transactions[[#This Row],[Amount]],0)</f>
        <v>0</v>
      </c>
    </row>
    <row r="408" spans="1:22" x14ac:dyDescent="0.25">
      <c r="A408" t="s">
        <v>63</v>
      </c>
      <c r="B408" t="s">
        <v>66</v>
      </c>
      <c r="C408">
        <v>-20.78</v>
      </c>
      <c r="D408" t="s">
        <v>958</v>
      </c>
      <c r="E408" t="s">
        <v>146</v>
      </c>
      <c r="F408" t="s">
        <v>69</v>
      </c>
      <c r="G408" t="s">
        <v>960</v>
      </c>
      <c r="H408" t="s">
        <v>960</v>
      </c>
      <c r="I408" t="s">
        <v>71</v>
      </c>
      <c r="J408" t="b">
        <v>0</v>
      </c>
      <c r="K408" t="s">
        <v>967</v>
      </c>
      <c r="L408" t="str">
        <f>_xlfn.XLOOKUP(Transactions[[#This Row],[Account ID]],Accounts[Plaid Account ID],Accounts[Name],"Not Found",0)</f>
        <v>WestJet RBC World Elite Mastercard</v>
      </c>
      <c r="M408" t="str">
        <f>_xlfn.XLOOKUP(Transactions[[#This Row],[Account ID]],Accounts[Plaid Account ID],Accounts[Institution Name],"Not Found",0)</f>
        <v>RBC Royal Bank</v>
      </c>
      <c r="N408" t="str">
        <f>IF(Transactions[[#This Row],[Amount]]&lt;0,"credit","debit")</f>
        <v>credit</v>
      </c>
      <c r="O408" t="str" cm="1">
        <f t="array" ref="O40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0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45362</v>
      </c>
      <c r="Q408" s="3">
        <f>DATE(YEAR(Transactions[[#This Row],[Datetime]]),MONTH(Transactions[[#This Row],[Datetime]]),1)</f>
        <v>45352</v>
      </c>
      <c r="R408" t="b">
        <f ca="1">AND(Transactions[[#This Row],[Datetime]]&gt;=EDATE(MAX(Transactions[Datetime]),-6),Transactions[[#This Row],[Datetime]]&lt;=TODAY())</f>
        <v>1</v>
      </c>
      <c r="S408" s="6">
        <f ca="1">AVERAGEIFS(Transactions[Month''s Total],Transactions[Recent],TRUE,Transactions[Custom Category],Transactions[[#This Row],[Custom Category]])</f>
        <v>128.65625000000003</v>
      </c>
      <c r="T408">
        <f>SUMIFS(Transactions[Amount],Transactions[Month],Transactions[[#This Row],[Month]],Transactions[Custom Category],Transactions[[#This Row],[Custom Category]])</f>
        <v>98.41</v>
      </c>
      <c r="U408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08">
        <f>IF(Transactions[[#This Row],[Month]]=Sel_Month,Transactions[[#This Row],[Amount]],0)</f>
        <v>0</v>
      </c>
    </row>
    <row r="409" spans="1:22" x14ac:dyDescent="0.25">
      <c r="A409" t="s">
        <v>22</v>
      </c>
      <c r="B409" t="s">
        <v>66</v>
      </c>
      <c r="C409">
        <v>4846.71</v>
      </c>
      <c r="D409" t="s">
        <v>67</v>
      </c>
      <c r="E409" t="s">
        <v>92</v>
      </c>
      <c r="F409" t="s">
        <v>69</v>
      </c>
      <c r="H409" t="s">
        <v>70</v>
      </c>
      <c r="I409" t="s">
        <v>71</v>
      </c>
      <c r="J409" t="b">
        <v>0</v>
      </c>
      <c r="K409" t="s">
        <v>93</v>
      </c>
      <c r="L409" t="str">
        <f>_xlfn.XLOOKUP(Transactions[[#This Row],[Account ID]],Accounts[Plaid Account ID],Accounts[Name],"Not Found",0)</f>
        <v>Preferred Package</v>
      </c>
      <c r="M409" t="str">
        <f>_xlfn.XLOOKUP(Transactions[[#This Row],[Account ID]],Accounts[Plaid Account ID],Accounts[Institution Name],"Not Found",0)</f>
        <v>Scotiabank</v>
      </c>
      <c r="N409" t="str">
        <f>IF(Transactions[[#This Row],[Amount]]&lt;0,"credit","debit")</f>
        <v>debit</v>
      </c>
      <c r="O409" t="str" cm="1">
        <f t="array" ref="O40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0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45364</v>
      </c>
      <c r="Q409" s="3">
        <f>DATE(YEAR(Transactions[[#This Row],[Datetime]]),MONTH(Transactions[[#This Row],[Datetime]]),1)</f>
        <v>45352</v>
      </c>
      <c r="R409" t="b">
        <f ca="1">AND(Transactions[[#This Row],[Datetime]]&gt;=EDATE(MAX(Transactions[Datetime]),-6),Transactions[[#This Row],[Datetime]]&lt;=TODAY())</f>
        <v>1</v>
      </c>
      <c r="S409" s="6">
        <f ca="1">AVERAGEIFS(Transactions[Month''s Total],Transactions[Recent],TRUE,Transactions[Custom Category],Transactions[[#This Row],[Custom Category]])</f>
        <v>12758.461333333335</v>
      </c>
      <c r="T409">
        <f>SUMIFS(Transactions[Amount],Transactions[Month],Transactions[[#This Row],[Month]],Transactions[Custom Category],Transactions[[#This Row],[Custom Category]])</f>
        <v>17658.5</v>
      </c>
      <c r="U40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09">
        <f>IF(Transactions[[#This Row],[Month]]=Sel_Month,Transactions[[#This Row],[Amount]],0)</f>
        <v>0</v>
      </c>
    </row>
    <row r="410" spans="1:22" x14ac:dyDescent="0.25">
      <c r="A410" t="s">
        <v>22</v>
      </c>
      <c r="B410" t="s">
        <v>66</v>
      </c>
      <c r="C410">
        <v>-4846.71</v>
      </c>
      <c r="D410" t="s">
        <v>73</v>
      </c>
      <c r="E410" t="s">
        <v>92</v>
      </c>
      <c r="F410" t="s">
        <v>69</v>
      </c>
      <c r="H410" t="s">
        <v>74</v>
      </c>
      <c r="I410" t="s">
        <v>71</v>
      </c>
      <c r="J410" t="b">
        <v>0</v>
      </c>
      <c r="K410" t="s">
        <v>94</v>
      </c>
      <c r="L410" t="str">
        <f>_xlfn.XLOOKUP(Transactions[[#This Row],[Account ID]],Accounts[Plaid Account ID],Accounts[Name],"Not Found",0)</f>
        <v>Preferred Package</v>
      </c>
      <c r="M410" t="str">
        <f>_xlfn.XLOOKUP(Transactions[[#This Row],[Account ID]],Accounts[Plaid Account ID],Accounts[Institution Name],"Not Found",0)</f>
        <v>Scotiabank</v>
      </c>
      <c r="N410" t="str">
        <f>IF(Transactions[[#This Row],[Amount]]&lt;0,"credit","debit")</f>
        <v>credit</v>
      </c>
      <c r="O410" t="str" cm="1">
        <f t="array" ref="O41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41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45364</v>
      </c>
      <c r="Q410" s="3">
        <f>DATE(YEAR(Transactions[[#This Row],[Datetime]]),MONTH(Transactions[[#This Row],[Datetime]]),1)</f>
        <v>45352</v>
      </c>
      <c r="R410" t="b">
        <f ca="1">AND(Transactions[[#This Row],[Datetime]]&gt;=EDATE(MAX(Transactions[Datetime]),-6),Transactions[[#This Row],[Datetime]]&lt;=TODAY())</f>
        <v>1</v>
      </c>
      <c r="S410" s="6">
        <f ca="1">AVERAGEIFS(Transactions[Month''s Total],Transactions[Recent],TRUE,Transactions[Custom Category],Transactions[[#This Row],[Custom Category]])</f>
        <v>-12680.457777777781</v>
      </c>
      <c r="T410">
        <f>SUMIFS(Transactions[Amount],Transactions[Month],Transactions[[#This Row],[Month]],Transactions[Custom Category],Transactions[[#This Row],[Custom Category]])</f>
        <v>-15758.130000000001</v>
      </c>
      <c r="U410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410">
        <f>IF(Transactions[[#This Row],[Month]]=Sel_Month,Transactions[[#This Row],[Amount]],0)</f>
        <v>0</v>
      </c>
    </row>
    <row r="411" spans="1:22" x14ac:dyDescent="0.25">
      <c r="A411" t="s">
        <v>61</v>
      </c>
      <c r="B411" t="s">
        <v>66</v>
      </c>
      <c r="C411">
        <v>-5000</v>
      </c>
      <c r="D411" t="s">
        <v>99</v>
      </c>
      <c r="E411" t="s">
        <v>92</v>
      </c>
      <c r="F411" t="s">
        <v>69</v>
      </c>
      <c r="H411" t="s">
        <v>142</v>
      </c>
      <c r="I411" t="s">
        <v>71</v>
      </c>
      <c r="J411" t="b">
        <v>0</v>
      </c>
      <c r="K411" t="s">
        <v>143</v>
      </c>
      <c r="L411" t="str">
        <f>_xlfn.XLOOKUP(Transactions[[#This Row],[Account ID]],Accounts[Plaid Account ID],Accounts[Name],"Not Found",0)</f>
        <v>RBC Staff Banking</v>
      </c>
      <c r="M411" t="str">
        <f>_xlfn.XLOOKUP(Transactions[[#This Row],[Account ID]],Accounts[Plaid Account ID],Accounts[Institution Name],"Not Found",0)</f>
        <v>RBC Royal Bank</v>
      </c>
      <c r="N411" t="str">
        <f>IF(Transactions[[#This Row],[Amount]]&lt;0,"credit","debit")</f>
        <v>credit</v>
      </c>
      <c r="O411" t="str" cm="1">
        <f t="array" ref="O41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1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45364</v>
      </c>
      <c r="Q411" s="3">
        <f>DATE(YEAR(Transactions[[#This Row],[Datetime]]),MONTH(Transactions[[#This Row],[Datetime]]),1)</f>
        <v>45352</v>
      </c>
      <c r="R411" t="b">
        <f ca="1">AND(Transactions[[#This Row],[Datetime]]&gt;=EDATE(MAX(Transactions[Datetime]),-6),Transactions[[#This Row],[Datetime]]&lt;=TODAY())</f>
        <v>1</v>
      </c>
      <c r="S411" s="6">
        <f ca="1">AVERAGEIFS(Transactions[Month''s Total],Transactions[Recent],TRUE,Transactions[Custom Category],Transactions[[#This Row],[Custom Category]])</f>
        <v>-18125.097037037034</v>
      </c>
      <c r="T411">
        <f>SUMIFS(Transactions[Amount],Transactions[Month],Transactions[[#This Row],[Month]],Transactions[Custom Category],Transactions[[#This Row],[Custom Category]])</f>
        <v>-22459.99</v>
      </c>
      <c r="U411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11">
        <f>IF(Transactions[[#This Row],[Month]]=Sel_Month,Transactions[[#This Row],[Amount]],0)</f>
        <v>0</v>
      </c>
    </row>
    <row r="412" spans="1:22" x14ac:dyDescent="0.25">
      <c r="A412" t="s">
        <v>61</v>
      </c>
      <c r="B412" t="s">
        <v>66</v>
      </c>
      <c r="C412">
        <v>4846.71</v>
      </c>
      <c r="D412" t="s">
        <v>67</v>
      </c>
      <c r="E412" t="s">
        <v>92</v>
      </c>
      <c r="F412" t="s">
        <v>69</v>
      </c>
      <c r="H412" t="s">
        <v>144</v>
      </c>
      <c r="I412" t="s">
        <v>71</v>
      </c>
      <c r="J412" t="b">
        <v>0</v>
      </c>
      <c r="K412" t="s">
        <v>145</v>
      </c>
      <c r="L412" t="str">
        <f>_xlfn.XLOOKUP(Transactions[[#This Row],[Account ID]],Accounts[Plaid Account ID],Accounts[Name],"Not Found",0)</f>
        <v>RBC Staff Banking</v>
      </c>
      <c r="M412" t="str">
        <f>_xlfn.XLOOKUP(Transactions[[#This Row],[Account ID]],Accounts[Plaid Account ID],Accounts[Institution Name],"Not Found",0)</f>
        <v>RBC Royal Bank</v>
      </c>
      <c r="N412" t="str">
        <f>IF(Transactions[[#This Row],[Amount]]&lt;0,"credit","debit")</f>
        <v>debit</v>
      </c>
      <c r="O412" t="str" cm="1">
        <f t="array" ref="O41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1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45364</v>
      </c>
      <c r="Q412" s="3">
        <f>DATE(YEAR(Transactions[[#This Row],[Datetime]]),MONTH(Transactions[[#This Row],[Datetime]]),1)</f>
        <v>45352</v>
      </c>
      <c r="R412" t="b">
        <f ca="1">AND(Transactions[[#This Row],[Datetime]]&gt;=EDATE(MAX(Transactions[Datetime]),-6),Transactions[[#This Row],[Datetime]]&lt;=TODAY())</f>
        <v>1</v>
      </c>
      <c r="S412" s="6">
        <f ca="1">AVERAGEIFS(Transactions[Month''s Total],Transactions[Recent],TRUE,Transactions[Custom Category],Transactions[[#This Row],[Custom Category]])</f>
        <v>14532.989714285719</v>
      </c>
      <c r="T412">
        <f>SUMIFS(Transactions[Amount],Transactions[Month],Transactions[[#This Row],[Month]],Transactions[Custom Category],Transactions[[#This Row],[Custom Category]])</f>
        <v>25434.52</v>
      </c>
      <c r="U41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12">
        <f>IF(Transactions[[#This Row],[Month]]=Sel_Month,Transactions[[#This Row],[Amount]],0)</f>
        <v>0</v>
      </c>
    </row>
    <row r="413" spans="1:22" x14ac:dyDescent="0.25">
      <c r="A413" t="s">
        <v>61</v>
      </c>
      <c r="B413" t="s">
        <v>66</v>
      </c>
      <c r="C413">
        <v>-500</v>
      </c>
      <c r="D413" t="s">
        <v>99</v>
      </c>
      <c r="E413" t="s">
        <v>124</v>
      </c>
      <c r="F413" t="s">
        <v>69</v>
      </c>
      <c r="H413" t="s">
        <v>125</v>
      </c>
      <c r="I413" t="s">
        <v>71</v>
      </c>
      <c r="J413" t="b">
        <v>0</v>
      </c>
      <c r="K413" t="s">
        <v>126</v>
      </c>
      <c r="L413" t="str">
        <f>_xlfn.XLOOKUP(Transactions[[#This Row],[Account ID]],Accounts[Plaid Account ID],Accounts[Name],"Not Found",0)</f>
        <v>RBC Staff Banking</v>
      </c>
      <c r="M413" t="str">
        <f>_xlfn.XLOOKUP(Transactions[[#This Row],[Account ID]],Accounts[Plaid Account ID],Accounts[Institution Name],"Not Found",0)</f>
        <v>RBC Royal Bank</v>
      </c>
      <c r="N413" t="str">
        <f>IF(Transactions[[#This Row],[Amount]]&lt;0,"credit","debit")</f>
        <v>credit</v>
      </c>
      <c r="O413" t="str" cm="1">
        <f t="array" ref="O41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1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45365</v>
      </c>
      <c r="Q413" s="3">
        <f>DATE(YEAR(Transactions[[#This Row],[Datetime]]),MONTH(Transactions[[#This Row],[Datetime]]),1)</f>
        <v>45352</v>
      </c>
      <c r="R413" t="b">
        <f ca="1">AND(Transactions[[#This Row],[Datetime]]&gt;=EDATE(MAX(Transactions[Datetime]),-6),Transactions[[#This Row],[Datetime]]&lt;=TODAY())</f>
        <v>1</v>
      </c>
      <c r="S413" s="6">
        <f ca="1">AVERAGEIFS(Transactions[Month''s Total],Transactions[Recent],TRUE,Transactions[Custom Category],Transactions[[#This Row],[Custom Category]])</f>
        <v>-18125.097037037034</v>
      </c>
      <c r="T413">
        <f>SUMIFS(Transactions[Amount],Transactions[Month],Transactions[[#This Row],[Month]],Transactions[Custom Category],Transactions[[#This Row],[Custom Category]])</f>
        <v>-22459.99</v>
      </c>
      <c r="U413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13">
        <f>IF(Transactions[[#This Row],[Month]]=Sel_Month,Transactions[[#This Row],[Amount]],0)</f>
        <v>0</v>
      </c>
    </row>
    <row r="414" spans="1:22" x14ac:dyDescent="0.25">
      <c r="A414" t="s">
        <v>61</v>
      </c>
      <c r="B414" t="s">
        <v>66</v>
      </c>
      <c r="C414">
        <v>500</v>
      </c>
      <c r="D414" t="s">
        <v>67</v>
      </c>
      <c r="E414" t="s">
        <v>124</v>
      </c>
      <c r="F414" t="s">
        <v>69</v>
      </c>
      <c r="H414" t="s">
        <v>127</v>
      </c>
      <c r="I414" t="s">
        <v>71</v>
      </c>
      <c r="J414" t="b">
        <v>0</v>
      </c>
      <c r="K414" t="s">
        <v>128</v>
      </c>
      <c r="L414" t="str">
        <f>_xlfn.XLOOKUP(Transactions[[#This Row],[Account ID]],Accounts[Plaid Account ID],Accounts[Name],"Not Found",0)</f>
        <v>RBC Staff Banking</v>
      </c>
      <c r="M414" t="str">
        <f>_xlfn.XLOOKUP(Transactions[[#This Row],[Account ID]],Accounts[Plaid Account ID],Accounts[Institution Name],"Not Found",0)</f>
        <v>RBC Royal Bank</v>
      </c>
      <c r="N414" t="str">
        <f>IF(Transactions[[#This Row],[Amount]]&lt;0,"credit","debit")</f>
        <v>debit</v>
      </c>
      <c r="O414" t="str" cm="1">
        <f t="array" ref="O41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1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45365</v>
      </c>
      <c r="Q414" s="3">
        <f>DATE(YEAR(Transactions[[#This Row],[Datetime]]),MONTH(Transactions[[#This Row],[Datetime]]),1)</f>
        <v>45352</v>
      </c>
      <c r="R414" t="b">
        <f ca="1">AND(Transactions[[#This Row],[Datetime]]&gt;=EDATE(MAX(Transactions[Datetime]),-6),Transactions[[#This Row],[Datetime]]&lt;=TODAY())</f>
        <v>1</v>
      </c>
      <c r="S414" s="6">
        <f ca="1">AVERAGEIFS(Transactions[Month''s Total],Transactions[Recent],TRUE,Transactions[Custom Category],Transactions[[#This Row],[Custom Category]])</f>
        <v>12758.461333333335</v>
      </c>
      <c r="T414">
        <f>SUMIFS(Transactions[Amount],Transactions[Month],Transactions[[#This Row],[Month]],Transactions[Custom Category],Transactions[[#This Row],[Custom Category]])</f>
        <v>17658.5</v>
      </c>
      <c r="U41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14">
        <f>IF(Transactions[[#This Row],[Month]]=Sel_Month,Transactions[[#This Row],[Amount]],0)</f>
        <v>0</v>
      </c>
    </row>
    <row r="415" spans="1:22" x14ac:dyDescent="0.25">
      <c r="A415" t="s">
        <v>61</v>
      </c>
      <c r="B415" t="s">
        <v>66</v>
      </c>
      <c r="C415">
        <v>438.75</v>
      </c>
      <c r="D415" t="s">
        <v>129</v>
      </c>
      <c r="E415" t="s">
        <v>124</v>
      </c>
      <c r="F415" t="s">
        <v>69</v>
      </c>
      <c r="G415" t="s">
        <v>130</v>
      </c>
      <c r="H415" t="s">
        <v>131</v>
      </c>
      <c r="I415" t="s">
        <v>132</v>
      </c>
      <c r="J415" t="b">
        <v>0</v>
      </c>
      <c r="K415" t="s">
        <v>133</v>
      </c>
      <c r="L415" t="str">
        <f>_xlfn.XLOOKUP(Transactions[[#This Row],[Account ID]],Accounts[Plaid Account ID],Accounts[Name],"Not Found",0)</f>
        <v>RBC Staff Banking</v>
      </c>
      <c r="M415" t="str">
        <f>_xlfn.XLOOKUP(Transactions[[#This Row],[Account ID]],Accounts[Plaid Account ID],Accounts[Institution Name],"Not Found",0)</f>
        <v>RBC Royal Bank</v>
      </c>
      <c r="N415" t="str">
        <f>IF(Transactions[[#This Row],[Amount]]&lt;0,"credit","debit")</f>
        <v>debit</v>
      </c>
      <c r="O415" t="str" cm="1">
        <f t="array" ref="O41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Insurance,Car</v>
      </c>
      <c r="P41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45365</v>
      </c>
      <c r="Q415" s="3">
        <f>DATE(YEAR(Transactions[[#This Row],[Datetime]]),MONTH(Transactions[[#This Row],[Datetime]]),1)</f>
        <v>45352</v>
      </c>
      <c r="R415" t="b">
        <f ca="1">AND(Transactions[[#This Row],[Datetime]]&gt;=EDATE(MAX(Transactions[Datetime]),-6),Transactions[[#This Row],[Datetime]]&lt;=TODAY())</f>
        <v>1</v>
      </c>
      <c r="S415" s="6">
        <f ca="1">AVERAGEIFS(Transactions[Month''s Total],Transactions[Recent],TRUE,Transactions[Custom Category],Transactions[[#This Row],[Custom Category]])</f>
        <v>432.99599999999998</v>
      </c>
      <c r="T415">
        <f>SUMIFS(Transactions[Amount],Transactions[Month],Transactions[[#This Row],[Month]],Transactions[Custom Category],Transactions[[#This Row],[Custom Category]])</f>
        <v>438.75</v>
      </c>
      <c r="U415">
        <f ca="1">IF(COUNTIF(Budgets[Custom Category],Transactions[[#This Row],[Custom Category]])=0,Transactions[[#This Row],[6M AVG]],_xlfn.XLOOKUP(Transactions[[#This Row],[Custom Category]],Budgets[Custom Category],Budgets[Monthly],0,0))</f>
        <v>432.99599999999998</v>
      </c>
      <c r="V415">
        <f>IF(Transactions[[#This Row],[Month]]=Sel_Month,Transactions[[#This Row],[Amount]],0)</f>
        <v>0</v>
      </c>
    </row>
    <row r="416" spans="1:22" x14ac:dyDescent="0.25">
      <c r="A416" t="s">
        <v>61</v>
      </c>
      <c r="B416" t="s">
        <v>66</v>
      </c>
      <c r="C416">
        <v>324.55</v>
      </c>
      <c r="D416" t="s">
        <v>134</v>
      </c>
      <c r="E416" t="s">
        <v>124</v>
      </c>
      <c r="F416" t="s">
        <v>69</v>
      </c>
      <c r="G416" t="s">
        <v>135</v>
      </c>
      <c r="H416" t="s">
        <v>136</v>
      </c>
      <c r="I416" t="s">
        <v>132</v>
      </c>
      <c r="J416" t="b">
        <v>0</v>
      </c>
      <c r="K416" t="s">
        <v>137</v>
      </c>
      <c r="L416" t="str">
        <f>_xlfn.XLOOKUP(Transactions[[#This Row],[Account ID]],Accounts[Plaid Account ID],Accounts[Name],"Not Found",0)</f>
        <v>RBC Staff Banking</v>
      </c>
      <c r="M416" t="str">
        <f>_xlfn.XLOOKUP(Transactions[[#This Row],[Account ID]],Accounts[Plaid Account ID],Accounts[Institution Name],"Not Found",0)</f>
        <v>RBC Royal Bank</v>
      </c>
      <c r="N416" t="str">
        <f>IF(Transactions[[#This Row],[Amount]]&lt;0,"credit","debit")</f>
        <v>debit</v>
      </c>
      <c r="O416" t="str" cm="1">
        <f t="array" ref="O41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41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45365</v>
      </c>
      <c r="Q416" s="3">
        <f>DATE(YEAR(Transactions[[#This Row],[Datetime]]),MONTH(Transactions[[#This Row],[Datetime]]),1)</f>
        <v>45352</v>
      </c>
      <c r="R416" t="b">
        <f ca="1">AND(Transactions[[#This Row],[Datetime]]&gt;=EDATE(MAX(Transactions[Datetime]),-6),Transactions[[#This Row],[Datetime]]&lt;=TODAY())</f>
        <v>1</v>
      </c>
      <c r="S416" s="6">
        <f ca="1">AVERAGEIFS(Transactions[Month''s Total],Transactions[Recent],TRUE,Transactions[Custom Category],Transactions[[#This Row],[Custom Category]])</f>
        <v>624.12818181818193</v>
      </c>
      <c r="T416">
        <f>SUMIFS(Transactions[Amount],Transactions[Month],Transactions[[#This Row],[Month]],Transactions[Custom Category],Transactions[[#This Row],[Custom Category]])</f>
        <v>649.1</v>
      </c>
      <c r="U416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416">
        <f>IF(Transactions[[#This Row],[Month]]=Sel_Month,Transactions[[#This Row],[Amount]],0)</f>
        <v>0</v>
      </c>
    </row>
    <row r="417" spans="1:22" x14ac:dyDescent="0.25">
      <c r="A417" t="s">
        <v>61</v>
      </c>
      <c r="B417" t="s">
        <v>66</v>
      </c>
      <c r="C417">
        <v>65.7</v>
      </c>
      <c r="D417" t="s">
        <v>129</v>
      </c>
      <c r="E417" t="s">
        <v>124</v>
      </c>
      <c r="F417" t="s">
        <v>69</v>
      </c>
      <c r="G417" t="s">
        <v>138</v>
      </c>
      <c r="H417" t="s">
        <v>139</v>
      </c>
      <c r="I417" t="s">
        <v>132</v>
      </c>
      <c r="J417" t="b">
        <v>0</v>
      </c>
      <c r="K417" t="s">
        <v>140</v>
      </c>
      <c r="L417" t="str">
        <f>_xlfn.XLOOKUP(Transactions[[#This Row],[Account ID]],Accounts[Plaid Account ID],Accounts[Name],"Not Found",0)</f>
        <v>RBC Staff Banking</v>
      </c>
      <c r="M417" t="str">
        <f>_xlfn.XLOOKUP(Transactions[[#This Row],[Account ID]],Accounts[Plaid Account ID],Accounts[Institution Name],"Not Found",0)</f>
        <v>RBC Royal Bank</v>
      </c>
      <c r="N417" t="str">
        <f>IF(Transactions[[#This Row],[Amount]]&lt;0,"credit","debit")</f>
        <v>debit</v>
      </c>
      <c r="O417" t="str" cm="1">
        <f t="array" ref="O41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Insurance,Life</v>
      </c>
      <c r="P41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45365</v>
      </c>
      <c r="Q417" s="3">
        <f>DATE(YEAR(Transactions[[#This Row],[Datetime]]),MONTH(Transactions[[#This Row],[Datetime]]),1)</f>
        <v>45352</v>
      </c>
      <c r="R417" t="b">
        <f ca="1">AND(Transactions[[#This Row],[Datetime]]&gt;=EDATE(MAX(Transactions[Datetime]),-6),Transactions[[#This Row],[Datetime]]&lt;=TODAY())</f>
        <v>1</v>
      </c>
      <c r="S417" s="6">
        <f ca="1">AVERAGEIFS(Transactions[Month''s Total],Transactions[Recent],TRUE,Transactions[Custom Category],Transactions[[#This Row],[Custom Category]])</f>
        <v>65.7</v>
      </c>
      <c r="T417">
        <f>SUMIFS(Transactions[Amount],Transactions[Month],Transactions[[#This Row],[Month]],Transactions[Custom Category],Transactions[[#This Row],[Custom Category]])</f>
        <v>65.7</v>
      </c>
      <c r="U417">
        <f ca="1">IF(COUNTIF(Budgets[Custom Category],Transactions[[#This Row],[Custom Category]])=0,Transactions[[#This Row],[6M AVG]],_xlfn.XLOOKUP(Transactions[[#This Row],[Custom Category]],Budgets[Custom Category],Budgets[Monthly],0,0))</f>
        <v>65.7</v>
      </c>
      <c r="V417">
        <f>IF(Transactions[[#This Row],[Month]]=Sel_Month,Transactions[[#This Row],[Amount]],0)</f>
        <v>0</v>
      </c>
    </row>
    <row r="418" spans="1:22" x14ac:dyDescent="0.25">
      <c r="A418" t="s">
        <v>61</v>
      </c>
      <c r="B418" t="s">
        <v>66</v>
      </c>
      <c r="C418">
        <v>56.05</v>
      </c>
      <c r="D418" t="s">
        <v>129</v>
      </c>
      <c r="E418" t="s">
        <v>124</v>
      </c>
      <c r="F418" t="s">
        <v>69</v>
      </c>
      <c r="G418" t="s">
        <v>130</v>
      </c>
      <c r="H418" t="s">
        <v>131</v>
      </c>
      <c r="I418" t="s">
        <v>132</v>
      </c>
      <c r="J418" t="b">
        <v>0</v>
      </c>
      <c r="K418" t="s">
        <v>141</v>
      </c>
      <c r="L418" t="str">
        <f>_xlfn.XLOOKUP(Transactions[[#This Row],[Account ID]],Accounts[Plaid Account ID],Accounts[Name],"Not Found",0)</f>
        <v>RBC Staff Banking</v>
      </c>
      <c r="M418" t="str">
        <f>_xlfn.XLOOKUP(Transactions[[#This Row],[Account ID]],Accounts[Plaid Account ID],Accounts[Institution Name],"Not Found",0)</f>
        <v>RBC Royal Bank</v>
      </c>
      <c r="N418" t="str">
        <f>IF(Transactions[[#This Row],[Amount]]&lt;0,"credit","debit")</f>
        <v>debit</v>
      </c>
      <c r="O418" t="str" cm="1">
        <f t="array" ref="O41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Insurance,Home</v>
      </c>
      <c r="P41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45365</v>
      </c>
      <c r="Q418" s="3">
        <f>DATE(YEAR(Transactions[[#This Row],[Datetime]]),MONTH(Transactions[[#This Row],[Datetime]]),1)</f>
        <v>45352</v>
      </c>
      <c r="R418" t="b">
        <f ca="1">AND(Transactions[[#This Row],[Datetime]]&gt;=EDATE(MAX(Transactions[Datetime]),-6),Transactions[[#This Row],[Datetime]]&lt;=TODAY())</f>
        <v>1</v>
      </c>
      <c r="S418" s="6">
        <f ca="1">AVERAGEIFS(Transactions[Month''s Total],Transactions[Recent],TRUE,Transactions[Custom Category],Transactions[[#This Row],[Custom Category]])</f>
        <v>57.905000000000001</v>
      </c>
      <c r="T418">
        <f>SUMIFS(Transactions[Amount],Transactions[Month],Transactions[[#This Row],[Month]],Transactions[Custom Category],Transactions[[#This Row],[Custom Category]])</f>
        <v>56.05</v>
      </c>
      <c r="U418">
        <f ca="1">IF(COUNTIF(Budgets[Custom Category],Transactions[[#This Row],[Custom Category]])=0,Transactions[[#This Row],[6M AVG]],_xlfn.XLOOKUP(Transactions[[#This Row],[Custom Category]],Budgets[Custom Category],Budgets[Monthly],0,0))</f>
        <v>57.905000000000001</v>
      </c>
      <c r="V418">
        <f>IF(Transactions[[#This Row],[Month]]=Sel_Month,Transactions[[#This Row],[Amount]],0)</f>
        <v>0</v>
      </c>
    </row>
    <row r="419" spans="1:22" x14ac:dyDescent="0.25">
      <c r="A419" t="s">
        <v>22</v>
      </c>
      <c r="B419" t="s">
        <v>66</v>
      </c>
      <c r="C419">
        <v>0.02</v>
      </c>
      <c r="D419" t="s">
        <v>95</v>
      </c>
      <c r="E419" t="s">
        <v>96</v>
      </c>
      <c r="F419" t="s">
        <v>69</v>
      </c>
      <c r="H419" t="s">
        <v>97</v>
      </c>
      <c r="I419" t="s">
        <v>71</v>
      </c>
      <c r="J419" t="b">
        <v>0</v>
      </c>
      <c r="K419" t="s">
        <v>98</v>
      </c>
      <c r="L419" t="str">
        <f>_xlfn.XLOOKUP(Transactions[[#This Row],[Account ID]],Accounts[Plaid Account ID],Accounts[Name],"Not Found",0)</f>
        <v>Preferred Package</v>
      </c>
      <c r="M419" t="str">
        <f>_xlfn.XLOOKUP(Transactions[[#This Row],[Account ID]],Accounts[Plaid Account ID],Accounts[Institution Name],"Not Found",0)</f>
        <v>Scotiabank</v>
      </c>
      <c r="N419" t="str">
        <f>IF(Transactions[[#This Row],[Amount]]&lt;0,"credit","debit")</f>
        <v>debit</v>
      </c>
      <c r="O419" t="str" cm="1">
        <f t="array" ref="O41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41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45366</v>
      </c>
      <c r="Q419" s="3">
        <f>DATE(YEAR(Transactions[[#This Row],[Datetime]]),MONTH(Transactions[[#This Row],[Datetime]]),1)</f>
        <v>45352</v>
      </c>
      <c r="R419" t="b">
        <f ca="1">AND(Transactions[[#This Row],[Datetime]]&gt;=EDATE(MAX(Transactions[Datetime]),-6),Transactions[[#This Row],[Datetime]]&lt;=TODAY())</f>
        <v>1</v>
      </c>
      <c r="S419" s="6">
        <f ca="1">AVERAGEIFS(Transactions[Month''s Total],Transactions[Recent],TRUE,Transactions[Custom Category],Transactions[[#This Row],[Custom Category]])</f>
        <v>2.5077777777777777</v>
      </c>
      <c r="T419">
        <f>SUMIFS(Transactions[Amount],Transactions[Month],Transactions[[#This Row],[Month]],Transactions[Custom Category],Transactions[[#This Row],[Custom Category]])</f>
        <v>5.0999999999999996</v>
      </c>
      <c r="U419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419">
        <f>IF(Transactions[[#This Row],[Month]]=Sel_Month,Transactions[[#This Row],[Amount]],0)</f>
        <v>0</v>
      </c>
    </row>
    <row r="420" spans="1:22" x14ac:dyDescent="0.25">
      <c r="A420" t="s">
        <v>63</v>
      </c>
      <c r="B420" t="s">
        <v>66</v>
      </c>
      <c r="C420">
        <v>75</v>
      </c>
      <c r="D420" t="s">
        <v>958</v>
      </c>
      <c r="E420" t="s">
        <v>96</v>
      </c>
      <c r="F420" t="s">
        <v>69</v>
      </c>
      <c r="G420" t="s">
        <v>960</v>
      </c>
      <c r="H420" t="s">
        <v>960</v>
      </c>
      <c r="I420" t="s">
        <v>132</v>
      </c>
      <c r="J420" t="b">
        <v>0</v>
      </c>
      <c r="K420" t="s">
        <v>962</v>
      </c>
      <c r="L420" t="str">
        <f>_xlfn.XLOOKUP(Transactions[[#This Row],[Account ID]],Accounts[Plaid Account ID],Accounts[Name],"Not Found",0)</f>
        <v>WestJet RBC World Elite Mastercard</v>
      </c>
      <c r="M420" t="str">
        <f>_xlfn.XLOOKUP(Transactions[[#This Row],[Account ID]],Accounts[Plaid Account ID],Accounts[Institution Name],"Not Found",0)</f>
        <v>RBC Royal Bank</v>
      </c>
      <c r="N420" t="str">
        <f>IF(Transactions[[#This Row],[Amount]]&lt;0,"credit","debit")</f>
        <v>debit</v>
      </c>
      <c r="O420" t="str" cm="1">
        <f t="array" ref="O42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2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45366</v>
      </c>
      <c r="Q420" s="3">
        <f>DATE(YEAR(Transactions[[#This Row],[Datetime]]),MONTH(Transactions[[#This Row],[Datetime]]),1)</f>
        <v>45352</v>
      </c>
      <c r="R420" t="b">
        <f ca="1">AND(Transactions[[#This Row],[Datetime]]&gt;=EDATE(MAX(Transactions[Datetime]),-6),Transactions[[#This Row],[Datetime]]&lt;=TODAY())</f>
        <v>1</v>
      </c>
      <c r="S420" s="6">
        <f ca="1">AVERAGEIFS(Transactions[Month''s Total],Transactions[Recent],TRUE,Transactions[Custom Category],Transactions[[#This Row],[Custom Category]])</f>
        <v>128.65625000000003</v>
      </c>
      <c r="T420">
        <f>SUMIFS(Transactions[Amount],Transactions[Month],Transactions[[#This Row],[Month]],Transactions[Custom Category],Transactions[[#This Row],[Custom Category]])</f>
        <v>98.41</v>
      </c>
      <c r="U420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20">
        <f>IF(Transactions[[#This Row],[Month]]=Sel_Month,Transactions[[#This Row],[Amount]],0)</f>
        <v>0</v>
      </c>
    </row>
    <row r="421" spans="1:22" x14ac:dyDescent="0.25">
      <c r="A421" t="s">
        <v>63</v>
      </c>
      <c r="B421" t="s">
        <v>66</v>
      </c>
      <c r="C421">
        <v>-39.97</v>
      </c>
      <c r="D421" t="s">
        <v>958</v>
      </c>
      <c r="E421" t="s">
        <v>959</v>
      </c>
      <c r="F421" t="s">
        <v>69</v>
      </c>
      <c r="G421" t="s">
        <v>960</v>
      </c>
      <c r="H421" t="s">
        <v>960</v>
      </c>
      <c r="I421" t="s">
        <v>71</v>
      </c>
      <c r="J421" t="b">
        <v>0</v>
      </c>
      <c r="K421" t="s">
        <v>961</v>
      </c>
      <c r="L421" t="str">
        <f>_xlfn.XLOOKUP(Transactions[[#This Row],[Account ID]],Accounts[Plaid Account ID],Accounts[Name],"Not Found",0)</f>
        <v>WestJet RBC World Elite Mastercard</v>
      </c>
      <c r="M421" t="str">
        <f>_xlfn.XLOOKUP(Transactions[[#This Row],[Account ID]],Accounts[Plaid Account ID],Accounts[Institution Name],"Not Found",0)</f>
        <v>RBC Royal Bank</v>
      </c>
      <c r="N421" t="str">
        <f>IF(Transactions[[#This Row],[Amount]]&lt;0,"credit","debit")</f>
        <v>credit</v>
      </c>
      <c r="O421" t="str" cm="1">
        <f t="array" ref="O42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2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45367</v>
      </c>
      <c r="Q421" s="3">
        <f>DATE(YEAR(Transactions[[#This Row],[Datetime]]),MONTH(Transactions[[#This Row],[Datetime]]),1)</f>
        <v>45352</v>
      </c>
      <c r="R421" t="b">
        <f ca="1">AND(Transactions[[#This Row],[Datetime]]&gt;=EDATE(MAX(Transactions[Datetime]),-6),Transactions[[#This Row],[Datetime]]&lt;=TODAY())</f>
        <v>1</v>
      </c>
      <c r="S421" s="6">
        <f ca="1">AVERAGEIFS(Transactions[Month''s Total],Transactions[Recent],TRUE,Transactions[Custom Category],Transactions[[#This Row],[Custom Category]])</f>
        <v>128.65625000000003</v>
      </c>
      <c r="T421">
        <f>SUMIFS(Transactions[Amount],Transactions[Month],Transactions[[#This Row],[Month]],Transactions[Custom Category],Transactions[[#This Row],[Custom Category]])</f>
        <v>98.41</v>
      </c>
      <c r="U421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21">
        <f>IF(Transactions[[#This Row],[Month]]=Sel_Month,Transactions[[#This Row],[Amount]],0)</f>
        <v>0</v>
      </c>
    </row>
    <row r="422" spans="1:22" x14ac:dyDescent="0.25">
      <c r="A422" t="s">
        <v>22</v>
      </c>
      <c r="B422" t="s">
        <v>66</v>
      </c>
      <c r="C422">
        <v>-0.02</v>
      </c>
      <c r="D422" t="s">
        <v>99</v>
      </c>
      <c r="E422" t="s">
        <v>100</v>
      </c>
      <c r="F422" t="s">
        <v>69</v>
      </c>
      <c r="H422" t="s">
        <v>101</v>
      </c>
      <c r="I422" t="s">
        <v>71</v>
      </c>
      <c r="J422" t="b">
        <v>0</v>
      </c>
      <c r="K422" t="s">
        <v>102</v>
      </c>
      <c r="L422" t="str">
        <f>_xlfn.XLOOKUP(Transactions[[#This Row],[Account ID]],Accounts[Plaid Account ID],Accounts[Name],"Not Found",0)</f>
        <v>Preferred Package</v>
      </c>
      <c r="M422" t="str">
        <f>_xlfn.XLOOKUP(Transactions[[#This Row],[Account ID]],Accounts[Plaid Account ID],Accounts[Institution Name],"Not Found",0)</f>
        <v>Scotiabank</v>
      </c>
      <c r="N422" t="str">
        <f>IF(Transactions[[#This Row],[Amount]]&lt;0,"credit","debit")</f>
        <v>credit</v>
      </c>
      <c r="O422" t="str" cm="1">
        <f t="array" ref="O42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42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45368</v>
      </c>
      <c r="Q422" s="3">
        <f>DATE(YEAR(Transactions[[#This Row],[Datetime]]),MONTH(Transactions[[#This Row],[Datetime]]),1)</f>
        <v>45352</v>
      </c>
      <c r="R422" t="b">
        <f ca="1">AND(Transactions[[#This Row],[Datetime]]&gt;=EDATE(MAX(Transactions[Datetime]),-6),Transactions[[#This Row],[Datetime]]&lt;=TODAY())</f>
        <v>1</v>
      </c>
      <c r="S422" s="6">
        <f ca="1">AVERAGEIFS(Transactions[Month''s Total],Transactions[Recent],TRUE,Transactions[Custom Category],Transactions[[#This Row],[Custom Category]])</f>
        <v>-333.34666666666664</v>
      </c>
      <c r="T422">
        <f>SUMIFS(Transactions[Amount],Transactions[Month],Transactions[[#This Row],[Month]],Transactions[Custom Category],Transactions[[#This Row],[Custom Category]])</f>
        <v>-0.02</v>
      </c>
      <c r="U422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422">
        <f>IF(Transactions[[#This Row],[Month]]=Sel_Month,Transactions[[#This Row],[Amount]],0)</f>
        <v>0</v>
      </c>
    </row>
    <row r="423" spans="1:22" x14ac:dyDescent="0.25">
      <c r="A423" t="s">
        <v>61</v>
      </c>
      <c r="B423" t="s">
        <v>66</v>
      </c>
      <c r="C423">
        <v>-800</v>
      </c>
      <c r="D423" t="s">
        <v>99</v>
      </c>
      <c r="E423" t="s">
        <v>100</v>
      </c>
      <c r="F423" t="s">
        <v>69</v>
      </c>
      <c r="H423" t="s">
        <v>120</v>
      </c>
      <c r="I423" t="s">
        <v>71</v>
      </c>
      <c r="J423" t="b">
        <v>0</v>
      </c>
      <c r="K423" t="s">
        <v>121</v>
      </c>
      <c r="L423" t="str">
        <f>_xlfn.XLOOKUP(Transactions[[#This Row],[Account ID]],Accounts[Plaid Account ID],Accounts[Name],"Not Found",0)</f>
        <v>RBC Staff Banking</v>
      </c>
      <c r="M423" t="str">
        <f>_xlfn.XLOOKUP(Transactions[[#This Row],[Account ID]],Accounts[Plaid Account ID],Accounts[Institution Name],"Not Found",0)</f>
        <v>RBC Royal Bank</v>
      </c>
      <c r="N423" t="str">
        <f>IF(Transactions[[#This Row],[Amount]]&lt;0,"credit","debit")</f>
        <v>credit</v>
      </c>
      <c r="O423" t="str" cm="1">
        <f t="array" ref="O42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42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45368</v>
      </c>
      <c r="Q423" s="3">
        <f>DATE(YEAR(Transactions[[#This Row],[Datetime]]),MONTH(Transactions[[#This Row],[Datetime]]),1)</f>
        <v>45352</v>
      </c>
      <c r="R423" t="b">
        <f ca="1">AND(Transactions[[#This Row],[Datetime]]&gt;=EDATE(MAX(Transactions[Datetime]),-6),Transactions[[#This Row],[Datetime]]&lt;=TODAY())</f>
        <v>1</v>
      </c>
      <c r="S423" s="6">
        <f ca="1">AVERAGEIFS(Transactions[Month''s Total],Transactions[Recent],TRUE,Transactions[Custom Category],Transactions[[#This Row],[Custom Category]])</f>
        <v>-3209.0714285714284</v>
      </c>
      <c r="T423">
        <f>SUMIFS(Transactions[Amount],Transactions[Month],Transactions[[#This Row],[Month]],Transactions[Custom Category],Transactions[[#This Row],[Custom Category]])</f>
        <v>-3266</v>
      </c>
      <c r="U423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423">
        <f>IF(Transactions[[#This Row],[Month]]=Sel_Month,Transactions[[#This Row],[Amount]],0)</f>
        <v>0</v>
      </c>
    </row>
    <row r="424" spans="1:22" x14ac:dyDescent="0.25">
      <c r="A424" t="s">
        <v>61</v>
      </c>
      <c r="B424" t="s">
        <v>66</v>
      </c>
      <c r="C424">
        <v>-3489.09</v>
      </c>
      <c r="D424" t="s">
        <v>99</v>
      </c>
      <c r="E424" t="s">
        <v>100</v>
      </c>
      <c r="F424" t="s">
        <v>69</v>
      </c>
      <c r="H424" t="s">
        <v>122</v>
      </c>
      <c r="I424" t="s">
        <v>71</v>
      </c>
      <c r="J424" t="b">
        <v>0</v>
      </c>
      <c r="K424" t="s">
        <v>123</v>
      </c>
      <c r="L424" t="str">
        <f>_xlfn.XLOOKUP(Transactions[[#This Row],[Account ID]],Accounts[Plaid Account ID],Accounts[Name],"Not Found",0)</f>
        <v>RBC Staff Banking</v>
      </c>
      <c r="M424" t="str">
        <f>_xlfn.XLOOKUP(Transactions[[#This Row],[Account ID]],Accounts[Plaid Account ID],Accounts[Institution Name],"Not Found",0)</f>
        <v>RBC Royal Bank</v>
      </c>
      <c r="N424" t="str">
        <f>IF(Transactions[[#This Row],[Amount]]&lt;0,"credit","debit")</f>
        <v>credit</v>
      </c>
      <c r="O424" t="str" cm="1">
        <f t="array" ref="O42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2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45368</v>
      </c>
      <c r="Q424" s="3">
        <f>DATE(YEAR(Transactions[[#This Row],[Datetime]]),MONTH(Transactions[[#This Row],[Datetime]]),1)</f>
        <v>45352</v>
      </c>
      <c r="R424" t="b">
        <f ca="1">AND(Transactions[[#This Row],[Datetime]]&gt;=EDATE(MAX(Transactions[Datetime]),-6),Transactions[[#This Row],[Datetime]]&lt;=TODAY())</f>
        <v>1</v>
      </c>
      <c r="S424" s="6">
        <f ca="1">AVERAGEIFS(Transactions[Month''s Total],Transactions[Recent],TRUE,Transactions[Custom Category],Transactions[[#This Row],[Custom Category]])</f>
        <v>-18125.097037037034</v>
      </c>
      <c r="T424">
        <f>SUMIFS(Transactions[Amount],Transactions[Month],Transactions[[#This Row],[Month]],Transactions[Custom Category],Transactions[[#This Row],[Custom Category]])</f>
        <v>-22459.99</v>
      </c>
      <c r="U424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24">
        <f>IF(Transactions[[#This Row],[Month]]=Sel_Month,Transactions[[#This Row],[Amount]],0)</f>
        <v>0</v>
      </c>
    </row>
    <row r="425" spans="1:22" x14ac:dyDescent="0.25">
      <c r="A425" t="s">
        <v>61</v>
      </c>
      <c r="B425" t="s">
        <v>66</v>
      </c>
      <c r="C425">
        <v>5.08</v>
      </c>
      <c r="D425" t="s">
        <v>95</v>
      </c>
      <c r="E425" t="s">
        <v>117</v>
      </c>
      <c r="F425" t="s">
        <v>69</v>
      </c>
      <c r="H425" t="s">
        <v>118</v>
      </c>
      <c r="I425" t="s">
        <v>71</v>
      </c>
      <c r="J425" t="b">
        <v>0</v>
      </c>
      <c r="K425" t="s">
        <v>119</v>
      </c>
      <c r="L425" t="str">
        <f>_xlfn.XLOOKUP(Transactions[[#This Row],[Account ID]],Accounts[Plaid Account ID],Accounts[Name],"Not Found",0)</f>
        <v>RBC Staff Banking</v>
      </c>
      <c r="M425" t="str">
        <f>_xlfn.XLOOKUP(Transactions[[#This Row],[Account ID]],Accounts[Plaid Account ID],Accounts[Institution Name],"Not Found",0)</f>
        <v>RBC Royal Bank</v>
      </c>
      <c r="N425" t="str">
        <f>IF(Transactions[[#This Row],[Amount]]&lt;0,"credit","debit")</f>
        <v>debit</v>
      </c>
      <c r="O425" t="str" cm="1">
        <f t="array" ref="O42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42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45369</v>
      </c>
      <c r="Q425" s="3">
        <f>DATE(YEAR(Transactions[[#This Row],[Datetime]]),MONTH(Transactions[[#This Row],[Datetime]]),1)</f>
        <v>45352</v>
      </c>
      <c r="R425" t="b">
        <f ca="1">AND(Transactions[[#This Row],[Datetime]]&gt;=EDATE(MAX(Transactions[Datetime]),-6),Transactions[[#This Row],[Datetime]]&lt;=TODAY())</f>
        <v>1</v>
      </c>
      <c r="S425" s="6">
        <f ca="1">AVERAGEIFS(Transactions[Month''s Total],Transactions[Recent],TRUE,Transactions[Custom Category],Transactions[[#This Row],[Custom Category]])</f>
        <v>2.5077777777777777</v>
      </c>
      <c r="T425">
        <f>SUMIFS(Transactions[Amount],Transactions[Month],Transactions[[#This Row],[Month]],Transactions[Custom Category],Transactions[[#This Row],[Custom Category]])</f>
        <v>5.0999999999999996</v>
      </c>
      <c r="U425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425">
        <f>IF(Transactions[[#This Row],[Month]]=Sel_Month,Transactions[[#This Row],[Amount]],0)</f>
        <v>0</v>
      </c>
    </row>
    <row r="426" spans="1:22" x14ac:dyDescent="0.25">
      <c r="A426" t="s">
        <v>22</v>
      </c>
      <c r="B426" t="s">
        <v>66</v>
      </c>
      <c r="C426">
        <v>5870</v>
      </c>
      <c r="D426" t="s">
        <v>67</v>
      </c>
      <c r="E426" t="s">
        <v>103</v>
      </c>
      <c r="F426" t="s">
        <v>69</v>
      </c>
      <c r="H426" t="s">
        <v>70</v>
      </c>
      <c r="I426" t="s">
        <v>71</v>
      </c>
      <c r="J426" t="b">
        <v>0</v>
      </c>
      <c r="K426" t="s">
        <v>104</v>
      </c>
      <c r="L426" t="str">
        <f>_xlfn.XLOOKUP(Transactions[[#This Row],[Account ID]],Accounts[Plaid Account ID],Accounts[Name],"Not Found",0)</f>
        <v>Preferred Package</v>
      </c>
      <c r="M426" t="str">
        <f>_xlfn.XLOOKUP(Transactions[[#This Row],[Account ID]],Accounts[Plaid Account ID],Accounts[Institution Name],"Not Found",0)</f>
        <v>Scotiabank</v>
      </c>
      <c r="N426" t="str">
        <f>IF(Transactions[[#This Row],[Amount]]&lt;0,"credit","debit")</f>
        <v>debit</v>
      </c>
      <c r="O426" t="str" cm="1">
        <f t="array" ref="O42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2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45371</v>
      </c>
      <c r="Q426" s="3">
        <f>DATE(YEAR(Transactions[[#This Row],[Datetime]]),MONTH(Transactions[[#This Row],[Datetime]]),1)</f>
        <v>45352</v>
      </c>
      <c r="R426" t="b">
        <f ca="1">AND(Transactions[[#This Row],[Datetime]]&gt;=EDATE(MAX(Transactions[Datetime]),-6),Transactions[[#This Row],[Datetime]]&lt;=TODAY())</f>
        <v>1</v>
      </c>
      <c r="S426" s="6">
        <f ca="1">AVERAGEIFS(Transactions[Month''s Total],Transactions[Recent],TRUE,Transactions[Custom Category],Transactions[[#This Row],[Custom Category]])</f>
        <v>12758.461333333335</v>
      </c>
      <c r="T426">
        <f>SUMIFS(Transactions[Amount],Transactions[Month],Transactions[[#This Row],[Month]],Transactions[Custom Category],Transactions[[#This Row],[Custom Category]])</f>
        <v>17658.5</v>
      </c>
      <c r="U42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26">
        <f>IF(Transactions[[#This Row],[Month]]=Sel_Month,Transactions[[#This Row],[Amount]],0)</f>
        <v>0</v>
      </c>
    </row>
    <row r="427" spans="1:22" x14ac:dyDescent="0.25">
      <c r="A427" t="s">
        <v>22</v>
      </c>
      <c r="B427" t="s">
        <v>66</v>
      </c>
      <c r="C427">
        <v>-7112.06</v>
      </c>
      <c r="D427" t="s">
        <v>73</v>
      </c>
      <c r="E427" t="s">
        <v>103</v>
      </c>
      <c r="F427" t="s">
        <v>69</v>
      </c>
      <c r="H427" t="s">
        <v>74</v>
      </c>
      <c r="I427" t="s">
        <v>71</v>
      </c>
      <c r="J427" t="b">
        <v>0</v>
      </c>
      <c r="K427" t="s">
        <v>105</v>
      </c>
      <c r="L427" t="str">
        <f>_xlfn.XLOOKUP(Transactions[[#This Row],[Account ID]],Accounts[Plaid Account ID],Accounts[Name],"Not Found",0)</f>
        <v>Preferred Package</v>
      </c>
      <c r="M427" t="str">
        <f>_xlfn.XLOOKUP(Transactions[[#This Row],[Account ID]],Accounts[Plaid Account ID],Accounts[Institution Name],"Not Found",0)</f>
        <v>Scotiabank</v>
      </c>
      <c r="N427" t="str">
        <f>IF(Transactions[[#This Row],[Amount]]&lt;0,"credit","debit")</f>
        <v>credit</v>
      </c>
      <c r="O427" t="str" cm="1">
        <f t="array" ref="O42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42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45371</v>
      </c>
      <c r="Q427" s="3">
        <f>DATE(YEAR(Transactions[[#This Row],[Datetime]]),MONTH(Transactions[[#This Row],[Datetime]]),1)</f>
        <v>45352</v>
      </c>
      <c r="R427" t="b">
        <f ca="1">AND(Transactions[[#This Row],[Datetime]]&gt;=EDATE(MAX(Transactions[Datetime]),-6),Transactions[[#This Row],[Datetime]]&lt;=TODAY())</f>
        <v>1</v>
      </c>
      <c r="S427" s="6">
        <f ca="1">AVERAGEIFS(Transactions[Month''s Total],Transactions[Recent],TRUE,Transactions[Custom Category],Transactions[[#This Row],[Custom Category]])</f>
        <v>-12680.457777777781</v>
      </c>
      <c r="T427">
        <f>SUMIFS(Transactions[Amount],Transactions[Month],Transactions[[#This Row],[Month]],Transactions[Custom Category],Transactions[[#This Row],[Custom Category]])</f>
        <v>-15758.130000000001</v>
      </c>
      <c r="U427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427">
        <f>IF(Transactions[[#This Row],[Month]]=Sel_Month,Transactions[[#This Row],[Amount]],0)</f>
        <v>0</v>
      </c>
    </row>
    <row r="428" spans="1:22" x14ac:dyDescent="0.25">
      <c r="A428" t="s">
        <v>61</v>
      </c>
      <c r="B428" t="s">
        <v>66</v>
      </c>
      <c r="C428">
        <v>7112.06</v>
      </c>
      <c r="D428" t="s">
        <v>67</v>
      </c>
      <c r="E428" t="s">
        <v>103</v>
      </c>
      <c r="F428" t="s">
        <v>69</v>
      </c>
      <c r="H428" t="s">
        <v>111</v>
      </c>
      <c r="I428" t="s">
        <v>71</v>
      </c>
      <c r="J428" t="b">
        <v>0</v>
      </c>
      <c r="K428" t="s">
        <v>112</v>
      </c>
      <c r="L428" t="str">
        <f>_xlfn.XLOOKUP(Transactions[[#This Row],[Account ID]],Accounts[Plaid Account ID],Accounts[Name],"Not Found",0)</f>
        <v>RBC Staff Banking</v>
      </c>
      <c r="M428" t="str">
        <f>_xlfn.XLOOKUP(Transactions[[#This Row],[Account ID]],Accounts[Plaid Account ID],Accounts[Institution Name],"Not Found",0)</f>
        <v>RBC Royal Bank</v>
      </c>
      <c r="N428" t="str">
        <f>IF(Transactions[[#This Row],[Amount]]&lt;0,"credit","debit")</f>
        <v>debit</v>
      </c>
      <c r="O428" t="str" cm="1">
        <f t="array" ref="O42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2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45371</v>
      </c>
      <c r="Q428" s="3">
        <f>DATE(YEAR(Transactions[[#This Row],[Datetime]]),MONTH(Transactions[[#This Row],[Datetime]]),1)</f>
        <v>45352</v>
      </c>
      <c r="R428" t="b">
        <f ca="1">AND(Transactions[[#This Row],[Datetime]]&gt;=EDATE(MAX(Transactions[Datetime]),-6),Transactions[[#This Row],[Datetime]]&lt;=TODAY())</f>
        <v>1</v>
      </c>
      <c r="S428" s="6">
        <f ca="1">AVERAGEIFS(Transactions[Month''s Total],Transactions[Recent],TRUE,Transactions[Custom Category],Transactions[[#This Row],[Custom Category]])</f>
        <v>14532.989714285719</v>
      </c>
      <c r="T428">
        <f>SUMIFS(Transactions[Amount],Transactions[Month],Transactions[[#This Row],[Month]],Transactions[Custom Category],Transactions[[#This Row],[Custom Category]])</f>
        <v>25434.52</v>
      </c>
      <c r="U428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28">
        <f>IF(Transactions[[#This Row],[Month]]=Sel_Month,Transactions[[#This Row],[Amount]],0)</f>
        <v>0</v>
      </c>
    </row>
    <row r="429" spans="1:22" x14ac:dyDescent="0.25">
      <c r="A429" t="s">
        <v>61</v>
      </c>
      <c r="B429" t="s">
        <v>66</v>
      </c>
      <c r="C429">
        <v>-3713.1</v>
      </c>
      <c r="D429" t="s">
        <v>113</v>
      </c>
      <c r="E429" t="s">
        <v>103</v>
      </c>
      <c r="F429" t="s">
        <v>69</v>
      </c>
      <c r="G429" t="s">
        <v>114</v>
      </c>
      <c r="H429" t="s">
        <v>115</v>
      </c>
      <c r="I429" t="s">
        <v>109</v>
      </c>
      <c r="J429" t="b">
        <v>0</v>
      </c>
      <c r="K429" t="s">
        <v>116</v>
      </c>
      <c r="L429" t="str">
        <f>_xlfn.XLOOKUP(Transactions[[#This Row],[Account ID]],Accounts[Plaid Account ID],Accounts[Name],"Not Found",0)</f>
        <v>RBC Staff Banking</v>
      </c>
      <c r="M429" t="str">
        <f>_xlfn.XLOOKUP(Transactions[[#This Row],[Account ID]],Accounts[Plaid Account ID],Accounts[Institution Name],"Not Found",0)</f>
        <v>RBC Royal Bank</v>
      </c>
      <c r="N429" t="str">
        <f>IF(Transactions[[#This Row],[Amount]]&lt;0,"credit","debit")</f>
        <v>credit</v>
      </c>
      <c r="O429" t="str" cm="1">
        <f t="array" ref="O42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Income,Tax Refund</v>
      </c>
      <c r="P42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45371</v>
      </c>
      <c r="Q429" s="3">
        <f>DATE(YEAR(Transactions[[#This Row],[Datetime]]),MONTH(Transactions[[#This Row],[Datetime]]),1)</f>
        <v>45352</v>
      </c>
      <c r="R429" t="b">
        <f ca="1">AND(Transactions[[#This Row],[Datetime]]&gt;=EDATE(MAX(Transactions[Datetime]),-6),Transactions[[#This Row],[Datetime]]&lt;=TODAY())</f>
        <v>1</v>
      </c>
      <c r="S429" s="6">
        <f ca="1">AVERAGEIFS(Transactions[Month''s Total],Transactions[Recent],TRUE,Transactions[Custom Category],Transactions[[#This Row],[Custom Category]])</f>
        <v>-3713.1</v>
      </c>
      <c r="T429">
        <f>SUMIFS(Transactions[Amount],Transactions[Month],Transactions[[#This Row],[Month]],Transactions[Custom Category],Transactions[[#This Row],[Custom Category]])</f>
        <v>-3713.1</v>
      </c>
      <c r="U429">
        <f ca="1">IF(COUNTIF(Budgets[Custom Category],Transactions[[#This Row],[Custom Category]])=0,Transactions[[#This Row],[6M AVG]],_xlfn.XLOOKUP(Transactions[[#This Row],[Custom Category]],Budgets[Custom Category],Budgets[Monthly],0,0))</f>
        <v>-3713.1</v>
      </c>
      <c r="V429">
        <f>IF(Transactions[[#This Row],[Month]]=Sel_Month,Transactions[[#This Row],[Amount]],0)</f>
        <v>0</v>
      </c>
    </row>
    <row r="430" spans="1:22" x14ac:dyDescent="0.25">
      <c r="A430" t="s">
        <v>63</v>
      </c>
      <c r="B430" t="s">
        <v>66</v>
      </c>
      <c r="C430">
        <v>84.16</v>
      </c>
      <c r="D430" t="s">
        <v>958</v>
      </c>
      <c r="E430" t="s">
        <v>1045</v>
      </c>
      <c r="F430" t="s">
        <v>69</v>
      </c>
      <c r="G430" t="s">
        <v>960</v>
      </c>
      <c r="H430" t="s">
        <v>960</v>
      </c>
      <c r="I430" t="s">
        <v>132</v>
      </c>
      <c r="J430" t="b">
        <v>0</v>
      </c>
      <c r="K430" t="s">
        <v>1046</v>
      </c>
      <c r="L430" t="str">
        <f>_xlfn.XLOOKUP(Transactions[[#This Row],[Account ID]],Accounts[Plaid Account ID],Accounts[Name],"Not Found",0)</f>
        <v>WestJet RBC World Elite Mastercard</v>
      </c>
      <c r="M430" t="str">
        <f>_xlfn.XLOOKUP(Transactions[[#This Row],[Account ID]],Accounts[Plaid Account ID],Accounts[Institution Name],"Not Found",0)</f>
        <v>RBC Royal Bank</v>
      </c>
      <c r="N430" t="str">
        <f>IF(Transactions[[#This Row],[Amount]]&lt;0,"credit","debit")</f>
        <v>debit</v>
      </c>
      <c r="O430" t="str" cm="1">
        <f t="array" ref="O43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3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45375</v>
      </c>
      <c r="Q430" s="3">
        <f>DATE(YEAR(Transactions[[#This Row],[Datetime]]),MONTH(Transactions[[#This Row],[Datetime]]),1)</f>
        <v>45352</v>
      </c>
      <c r="R430" t="b">
        <f ca="1">AND(Transactions[[#This Row],[Datetime]]&gt;=EDATE(MAX(Transactions[Datetime]),-6),Transactions[[#This Row],[Datetime]]&lt;=TODAY())</f>
        <v>1</v>
      </c>
      <c r="S430" s="6">
        <f ca="1">AVERAGEIFS(Transactions[Month''s Total],Transactions[Recent],TRUE,Transactions[Custom Category],Transactions[[#This Row],[Custom Category]])</f>
        <v>128.65625000000003</v>
      </c>
      <c r="T430">
        <f>SUMIFS(Transactions[Amount],Transactions[Month],Transactions[[#This Row],[Month]],Transactions[Custom Category],Transactions[[#This Row],[Custom Category]])</f>
        <v>98.41</v>
      </c>
      <c r="U430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30">
        <f>IF(Transactions[[#This Row],[Month]]=Sel_Month,Transactions[[#This Row],[Amount]],0)</f>
        <v>0</v>
      </c>
    </row>
    <row r="431" spans="1:22" x14ac:dyDescent="0.25">
      <c r="A431" t="s">
        <v>22</v>
      </c>
      <c r="B431" t="s">
        <v>66</v>
      </c>
      <c r="C431">
        <v>1241.79</v>
      </c>
      <c r="D431" t="s">
        <v>67</v>
      </c>
      <c r="E431" t="s">
        <v>106</v>
      </c>
      <c r="F431" t="s">
        <v>69</v>
      </c>
      <c r="G431" t="s">
        <v>107</v>
      </c>
      <c r="H431" t="s">
        <v>108</v>
      </c>
      <c r="I431" t="s">
        <v>109</v>
      </c>
      <c r="J431" t="b">
        <v>0</v>
      </c>
      <c r="K431" t="s">
        <v>110</v>
      </c>
      <c r="L431" t="str">
        <f>_xlfn.XLOOKUP(Transactions[[#This Row],[Account ID]],Accounts[Plaid Account ID],Accounts[Name],"Not Found",0)</f>
        <v>Preferred Package</v>
      </c>
      <c r="M431" t="str">
        <f>_xlfn.XLOOKUP(Transactions[[#This Row],[Account ID]],Accounts[Plaid Account ID],Accounts[Institution Name],"Not Found",0)</f>
        <v>Scotiabank</v>
      </c>
      <c r="N431" t="str">
        <f>IF(Transactions[[#This Row],[Amount]]&lt;0,"credit","debit")</f>
        <v>debit</v>
      </c>
      <c r="O431" t="str" cm="1">
        <f t="array" ref="O43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3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45378</v>
      </c>
      <c r="Q431" s="3">
        <f>DATE(YEAR(Transactions[[#This Row],[Datetime]]),MONTH(Transactions[[#This Row],[Datetime]]),1)</f>
        <v>45352</v>
      </c>
      <c r="R431" t="b">
        <f ca="1">AND(Transactions[[#This Row],[Datetime]]&gt;=EDATE(MAX(Transactions[Datetime]),-6),Transactions[[#This Row],[Datetime]]&lt;=TODAY())</f>
        <v>1</v>
      </c>
      <c r="S431" s="6">
        <f ca="1">AVERAGEIFS(Transactions[Month''s Total],Transactions[Recent],TRUE,Transactions[Custom Category],Transactions[[#This Row],[Custom Category]])</f>
        <v>12758.461333333335</v>
      </c>
      <c r="T431">
        <f>SUMIFS(Transactions[Amount],Transactions[Month],Transactions[[#This Row],[Month]],Transactions[Custom Category],Transactions[[#This Row],[Custom Category]])</f>
        <v>17658.5</v>
      </c>
      <c r="U43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31">
        <f>IF(Transactions[[#This Row],[Month]]=Sel_Month,Transactions[[#This Row],[Amount]],0)</f>
        <v>0</v>
      </c>
    </row>
    <row r="432" spans="1:22" x14ac:dyDescent="0.25">
      <c r="A432" t="s">
        <v>61</v>
      </c>
      <c r="B432" t="s">
        <v>66</v>
      </c>
      <c r="C432">
        <v>-2000</v>
      </c>
      <c r="D432" t="s">
        <v>99</v>
      </c>
      <c r="E432" t="s">
        <v>923</v>
      </c>
      <c r="F432" t="s">
        <v>69</v>
      </c>
      <c r="H432" t="s">
        <v>924</v>
      </c>
      <c r="I432" t="s">
        <v>71</v>
      </c>
      <c r="J432" t="b">
        <v>0</v>
      </c>
      <c r="K432" t="s">
        <v>925</v>
      </c>
      <c r="L432" t="str">
        <f>_xlfn.XLOOKUP(Transactions[[#This Row],[Account ID]],Accounts[Plaid Account ID],Accounts[Name],"Not Found",0)</f>
        <v>RBC Staff Banking</v>
      </c>
      <c r="M432" t="str">
        <f>_xlfn.XLOOKUP(Transactions[[#This Row],[Account ID]],Accounts[Plaid Account ID],Accounts[Institution Name],"Not Found",0)</f>
        <v>RBC Royal Bank</v>
      </c>
      <c r="N432" t="str">
        <f>IF(Transactions[[#This Row],[Amount]]&lt;0,"credit","debit")</f>
        <v>credit</v>
      </c>
      <c r="O432" t="str" cm="1">
        <f t="array" ref="O43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3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45382</v>
      </c>
      <c r="Q432" s="3">
        <f>DATE(YEAR(Transactions[[#This Row],[Datetime]]),MONTH(Transactions[[#This Row],[Datetime]]),1)</f>
        <v>45352</v>
      </c>
      <c r="R432" t="b">
        <f ca="1">AND(Transactions[[#This Row],[Datetime]]&gt;=EDATE(MAX(Transactions[Datetime]),-6),Transactions[[#This Row],[Datetime]]&lt;=TODAY())</f>
        <v>1</v>
      </c>
      <c r="S432" s="6">
        <f ca="1">AVERAGEIFS(Transactions[Month''s Total],Transactions[Recent],TRUE,Transactions[Custom Category],Transactions[[#This Row],[Custom Category]])</f>
        <v>-18125.097037037034</v>
      </c>
      <c r="T432">
        <f>SUMIFS(Transactions[Amount],Transactions[Month],Transactions[[#This Row],[Month]],Transactions[Custom Category],Transactions[[#This Row],[Custom Category]])</f>
        <v>-22459.99</v>
      </c>
      <c r="U432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32">
        <f>IF(Transactions[[#This Row],[Month]]=Sel_Month,Transactions[[#This Row],[Amount]],0)</f>
        <v>0</v>
      </c>
    </row>
    <row r="433" spans="1:22" x14ac:dyDescent="0.25">
      <c r="A433" t="s">
        <v>61</v>
      </c>
      <c r="B433" t="s">
        <v>66</v>
      </c>
      <c r="C433">
        <v>-1000</v>
      </c>
      <c r="D433" t="s">
        <v>99</v>
      </c>
      <c r="E433" t="s">
        <v>923</v>
      </c>
      <c r="F433" t="s">
        <v>69</v>
      </c>
      <c r="H433" t="s">
        <v>926</v>
      </c>
      <c r="I433" t="s">
        <v>71</v>
      </c>
      <c r="J433" t="b">
        <v>0</v>
      </c>
      <c r="K433" t="s">
        <v>927</v>
      </c>
      <c r="L433" t="str">
        <f>_xlfn.XLOOKUP(Transactions[[#This Row],[Account ID]],Accounts[Plaid Account ID],Accounts[Name],"Not Found",0)</f>
        <v>RBC Staff Banking</v>
      </c>
      <c r="M433" t="str">
        <f>_xlfn.XLOOKUP(Transactions[[#This Row],[Account ID]],Accounts[Plaid Account ID],Accounts[Institution Name],"Not Found",0)</f>
        <v>RBC Royal Bank</v>
      </c>
      <c r="N433" t="str">
        <f>IF(Transactions[[#This Row],[Amount]]&lt;0,"credit","debit")</f>
        <v>credit</v>
      </c>
      <c r="O433" t="str" cm="1">
        <f t="array" ref="O43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43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45382</v>
      </c>
      <c r="Q433" s="3">
        <f>DATE(YEAR(Transactions[[#This Row],[Datetime]]),MONTH(Transactions[[#This Row],[Datetime]]),1)</f>
        <v>45352</v>
      </c>
      <c r="R433" t="b">
        <f ca="1">AND(Transactions[[#This Row],[Datetime]]&gt;=EDATE(MAX(Transactions[Datetime]),-6),Transactions[[#This Row],[Datetime]]&lt;=TODAY())</f>
        <v>1</v>
      </c>
      <c r="S433" s="6">
        <f ca="1">AVERAGEIFS(Transactions[Month''s Total],Transactions[Recent],TRUE,Transactions[Custom Category],Transactions[[#This Row],[Custom Category]])</f>
        <v>-3209.0714285714284</v>
      </c>
      <c r="T433">
        <f>SUMIFS(Transactions[Amount],Transactions[Month],Transactions[[#This Row],[Month]],Transactions[Custom Category],Transactions[[#This Row],[Custom Category]])</f>
        <v>-3266</v>
      </c>
      <c r="U433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433">
        <f>IF(Transactions[[#This Row],[Month]]=Sel_Month,Transactions[[#This Row],[Amount]],0)</f>
        <v>0</v>
      </c>
    </row>
    <row r="434" spans="1:22" x14ac:dyDescent="0.25">
      <c r="A434" t="s">
        <v>61</v>
      </c>
      <c r="B434" t="s">
        <v>66</v>
      </c>
      <c r="C434">
        <v>3690</v>
      </c>
      <c r="D434" t="s">
        <v>67</v>
      </c>
      <c r="E434" t="s">
        <v>923</v>
      </c>
      <c r="F434" t="s">
        <v>69</v>
      </c>
      <c r="H434" t="s">
        <v>928</v>
      </c>
      <c r="I434" t="s">
        <v>71</v>
      </c>
      <c r="J434" t="b">
        <v>0</v>
      </c>
      <c r="K434" t="s">
        <v>929</v>
      </c>
      <c r="L434" t="str">
        <f>_xlfn.XLOOKUP(Transactions[[#This Row],[Account ID]],Accounts[Plaid Account ID],Accounts[Name],"Not Found",0)</f>
        <v>RBC Staff Banking</v>
      </c>
      <c r="M434" t="str">
        <f>_xlfn.XLOOKUP(Transactions[[#This Row],[Account ID]],Accounts[Plaid Account ID],Accounts[Institution Name],"Not Found",0)</f>
        <v>RBC Royal Bank</v>
      </c>
      <c r="N434" t="str">
        <f>IF(Transactions[[#This Row],[Amount]]&lt;0,"credit","debit")</f>
        <v>debit</v>
      </c>
      <c r="O434" t="str" cm="1">
        <f t="array" ref="O43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Rent</v>
      </c>
      <c r="P43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45382</v>
      </c>
      <c r="Q434" s="3">
        <f>DATE(YEAR(Transactions[[#This Row],[Datetime]]),MONTH(Transactions[[#This Row],[Datetime]]),1)</f>
        <v>45352</v>
      </c>
      <c r="R434" t="b">
        <f ca="1">AND(Transactions[[#This Row],[Datetime]]&gt;=EDATE(MAX(Transactions[Datetime]),-6),Transactions[[#This Row],[Datetime]]&lt;=TODAY())</f>
        <v>1</v>
      </c>
      <c r="S434" s="6">
        <f ca="1">AVERAGEIFS(Transactions[Month''s Total],Transactions[Recent],TRUE,Transactions[Custom Category],Transactions[[#This Row],[Custom Category]])</f>
        <v>5076</v>
      </c>
      <c r="T434">
        <f>SUMIFS(Transactions[Amount],Transactions[Month],Transactions[[#This Row],[Month]],Transactions[Custom Category],Transactions[[#This Row],[Custom Category]])</f>
        <v>3690</v>
      </c>
      <c r="U434">
        <f ca="1">IF(COUNTIF(Budgets[Custom Category],Transactions[[#This Row],[Custom Category]])=0,Transactions[[#This Row],[6M AVG]],_xlfn.XLOOKUP(Transactions[[#This Row],[Custom Category]],Budgets[Custom Category],Budgets[Monthly],0,0))</f>
        <v>5076</v>
      </c>
      <c r="V434">
        <f>IF(Transactions[[#This Row],[Month]]=Sel_Month,Transactions[[#This Row],[Amount]],0)</f>
        <v>0</v>
      </c>
    </row>
    <row r="435" spans="1:22" x14ac:dyDescent="0.25">
      <c r="A435" t="s">
        <v>61</v>
      </c>
      <c r="B435" t="s">
        <v>66</v>
      </c>
      <c r="C435">
        <v>200</v>
      </c>
      <c r="D435" t="s">
        <v>67</v>
      </c>
      <c r="E435" t="s">
        <v>923</v>
      </c>
      <c r="F435" t="s">
        <v>69</v>
      </c>
      <c r="H435" t="s">
        <v>930</v>
      </c>
      <c r="I435" t="s">
        <v>71</v>
      </c>
      <c r="J435" t="b">
        <v>0</v>
      </c>
      <c r="K435" t="s">
        <v>931</v>
      </c>
      <c r="L435" t="str">
        <f>_xlfn.XLOOKUP(Transactions[[#This Row],[Account ID]],Accounts[Plaid Account ID],Accounts[Name],"Not Found",0)</f>
        <v>RBC Staff Banking</v>
      </c>
      <c r="M435" t="str">
        <f>_xlfn.XLOOKUP(Transactions[[#This Row],[Account ID]],Accounts[Plaid Account ID],Accounts[Institution Name],"Not Found",0)</f>
        <v>RBC Royal Bank</v>
      </c>
      <c r="N435" t="str">
        <f>IF(Transactions[[#This Row],[Amount]]&lt;0,"credit","debit")</f>
        <v>debit</v>
      </c>
      <c r="O435" t="str" cm="1">
        <f t="array" ref="O43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3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45382</v>
      </c>
      <c r="Q435" s="3">
        <f>DATE(YEAR(Transactions[[#This Row],[Datetime]]),MONTH(Transactions[[#This Row],[Datetime]]),1)</f>
        <v>45352</v>
      </c>
      <c r="R435" t="b">
        <f ca="1">AND(Transactions[[#This Row],[Datetime]]&gt;=EDATE(MAX(Transactions[Datetime]),-6),Transactions[[#This Row],[Datetime]]&lt;=TODAY())</f>
        <v>1</v>
      </c>
      <c r="S435" s="6">
        <f ca="1">AVERAGEIFS(Transactions[Month''s Total],Transactions[Recent],TRUE,Transactions[Custom Category],Transactions[[#This Row],[Custom Category]])</f>
        <v>12758.461333333335</v>
      </c>
      <c r="T435">
        <f>SUMIFS(Transactions[Amount],Transactions[Month],Transactions[[#This Row],[Month]],Transactions[Custom Category],Transactions[[#This Row],[Custom Category]])</f>
        <v>17658.5</v>
      </c>
      <c r="U435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35">
        <f>IF(Transactions[[#This Row],[Month]]=Sel_Month,Transactions[[#This Row],[Amount]],0)</f>
        <v>0</v>
      </c>
    </row>
    <row r="436" spans="1:22" x14ac:dyDescent="0.25">
      <c r="A436" t="s">
        <v>61</v>
      </c>
      <c r="B436" t="s">
        <v>66</v>
      </c>
      <c r="C436">
        <v>-1370</v>
      </c>
      <c r="D436" t="s">
        <v>99</v>
      </c>
      <c r="E436" t="s">
        <v>923</v>
      </c>
      <c r="F436" t="s">
        <v>69</v>
      </c>
      <c r="H436" t="s">
        <v>932</v>
      </c>
      <c r="I436" t="s">
        <v>71</v>
      </c>
      <c r="J436" t="b">
        <v>0</v>
      </c>
      <c r="K436" t="s">
        <v>933</v>
      </c>
      <c r="L436" t="str">
        <f>_xlfn.XLOOKUP(Transactions[[#This Row],[Account ID]],Accounts[Plaid Account ID],Accounts[Name],"Not Found",0)</f>
        <v>RBC Staff Banking</v>
      </c>
      <c r="M436" t="str">
        <f>_xlfn.XLOOKUP(Transactions[[#This Row],[Account ID]],Accounts[Plaid Account ID],Accounts[Institution Name],"Not Found",0)</f>
        <v>RBC Royal Bank</v>
      </c>
      <c r="N436" t="str">
        <f>IF(Transactions[[#This Row],[Amount]]&lt;0,"credit","debit")</f>
        <v>credit</v>
      </c>
      <c r="O436" t="str" cm="1">
        <f t="array" ref="O43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43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45382</v>
      </c>
      <c r="Q436" s="3">
        <f>DATE(YEAR(Transactions[[#This Row],[Datetime]]),MONTH(Transactions[[#This Row],[Datetime]]),1)</f>
        <v>45352</v>
      </c>
      <c r="R436" t="b">
        <f ca="1">AND(Transactions[[#This Row],[Datetime]]&gt;=EDATE(MAX(Transactions[Datetime]),-6),Transactions[[#This Row],[Datetime]]&lt;=TODAY())</f>
        <v>1</v>
      </c>
      <c r="S436" s="6">
        <f ca="1">AVERAGEIFS(Transactions[Month''s Total],Transactions[Recent],TRUE,Transactions[Custom Category],Transactions[[#This Row],[Custom Category]])</f>
        <v>-3209.0714285714284</v>
      </c>
      <c r="T436">
        <f>SUMIFS(Transactions[Amount],Transactions[Month],Transactions[[#This Row],[Month]],Transactions[Custom Category],Transactions[[#This Row],[Custom Category]])</f>
        <v>-3266</v>
      </c>
      <c r="U436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436">
        <f>IF(Transactions[[#This Row],[Month]]=Sel_Month,Transactions[[#This Row],[Amount]],0)</f>
        <v>0</v>
      </c>
    </row>
    <row r="437" spans="1:22" x14ac:dyDescent="0.25">
      <c r="A437" t="s">
        <v>61</v>
      </c>
      <c r="B437" t="s">
        <v>66</v>
      </c>
      <c r="C437">
        <v>324.55</v>
      </c>
      <c r="D437" t="s">
        <v>134</v>
      </c>
      <c r="E437" t="s">
        <v>923</v>
      </c>
      <c r="F437" t="s">
        <v>69</v>
      </c>
      <c r="G437" t="s">
        <v>135</v>
      </c>
      <c r="H437" t="s">
        <v>136</v>
      </c>
      <c r="I437" t="s">
        <v>132</v>
      </c>
      <c r="J437" t="b">
        <v>0</v>
      </c>
      <c r="K437" t="s">
        <v>934</v>
      </c>
      <c r="L437" t="str">
        <f>_xlfn.XLOOKUP(Transactions[[#This Row],[Account ID]],Accounts[Plaid Account ID],Accounts[Name],"Not Found",0)</f>
        <v>RBC Staff Banking</v>
      </c>
      <c r="M437" t="str">
        <f>_xlfn.XLOOKUP(Transactions[[#This Row],[Account ID]],Accounts[Plaid Account ID],Accounts[Institution Name],"Not Found",0)</f>
        <v>RBC Royal Bank</v>
      </c>
      <c r="N437" t="str">
        <f>IF(Transactions[[#This Row],[Amount]]&lt;0,"credit","debit")</f>
        <v>debit</v>
      </c>
      <c r="O437" t="str" cm="1">
        <f t="array" ref="O43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43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45382</v>
      </c>
      <c r="Q437" s="3">
        <f>DATE(YEAR(Transactions[[#This Row],[Datetime]]),MONTH(Transactions[[#This Row],[Datetime]]),1)</f>
        <v>45352</v>
      </c>
      <c r="R437" t="b">
        <f ca="1">AND(Transactions[[#This Row],[Datetime]]&gt;=EDATE(MAX(Transactions[Datetime]),-6),Transactions[[#This Row],[Datetime]]&lt;=TODAY())</f>
        <v>1</v>
      </c>
      <c r="S437" s="6">
        <f ca="1">AVERAGEIFS(Transactions[Month''s Total],Transactions[Recent],TRUE,Transactions[Custom Category],Transactions[[#This Row],[Custom Category]])</f>
        <v>624.12818181818193</v>
      </c>
      <c r="T437">
        <f>SUMIFS(Transactions[Amount],Transactions[Month],Transactions[[#This Row],[Month]],Transactions[Custom Category],Transactions[[#This Row],[Custom Category]])</f>
        <v>649.1</v>
      </c>
      <c r="U437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437">
        <f>IF(Transactions[[#This Row],[Month]]=Sel_Month,Transactions[[#This Row],[Amount]],0)</f>
        <v>0</v>
      </c>
    </row>
    <row r="438" spans="1:22" x14ac:dyDescent="0.25">
      <c r="A438" t="s">
        <v>63</v>
      </c>
      <c r="B438" t="s">
        <v>66</v>
      </c>
      <c r="C438">
        <v>4.5199999999999996</v>
      </c>
      <c r="D438" t="s">
        <v>197</v>
      </c>
      <c r="E438" t="s">
        <v>1047</v>
      </c>
      <c r="F438" t="s">
        <v>69</v>
      </c>
      <c r="G438" t="s">
        <v>974</v>
      </c>
      <c r="H438" t="s">
        <v>975</v>
      </c>
      <c r="I438" t="s">
        <v>109</v>
      </c>
      <c r="J438" t="b">
        <v>0</v>
      </c>
      <c r="K438" t="s">
        <v>1048</v>
      </c>
      <c r="L438" t="str">
        <f>_xlfn.XLOOKUP(Transactions[[#This Row],[Account ID]],Accounts[Plaid Account ID],Accounts[Name],"Not Found",0)</f>
        <v>WestJet RBC World Elite Mastercard</v>
      </c>
      <c r="M438" t="str">
        <f>_xlfn.XLOOKUP(Transactions[[#This Row],[Account ID]],Accounts[Plaid Account ID],Accounts[Institution Name],"Not Found",0)</f>
        <v>RBC Royal Bank</v>
      </c>
      <c r="N438" t="str">
        <f>IF(Transactions[[#This Row],[Amount]]&lt;0,"credit","debit")</f>
        <v>debit</v>
      </c>
      <c r="O438" t="str" cm="1">
        <f t="array" ref="O43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Subscriptions</v>
      </c>
      <c r="P43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45384</v>
      </c>
      <c r="Q438" s="3">
        <f>DATE(YEAR(Transactions[[#This Row],[Datetime]]),MONTH(Transactions[[#This Row],[Datetime]]),1)</f>
        <v>45383</v>
      </c>
      <c r="R438" t="b">
        <f ca="1">AND(Transactions[[#This Row],[Datetime]]&gt;=EDATE(MAX(Transactions[Datetime]),-6),Transactions[[#This Row],[Datetime]]&lt;=TODAY())</f>
        <v>1</v>
      </c>
      <c r="S438" s="6">
        <f ca="1">AVERAGEIFS(Transactions[Month''s Total],Transactions[Recent],TRUE,Transactions[Custom Category],Transactions[[#This Row],[Custom Category]])</f>
        <v>23.11333333333333</v>
      </c>
      <c r="T438">
        <f>SUMIFS(Transactions[Amount],Transactions[Month],Transactions[[#This Row],[Month]],Transactions[Custom Category],Transactions[[#This Row],[Custom Category]])</f>
        <v>4.5199999999999996</v>
      </c>
      <c r="U438">
        <f ca="1">IF(COUNTIF(Budgets[Custom Category],Transactions[[#This Row],[Custom Category]])=0,Transactions[[#This Row],[6M AVG]],_xlfn.XLOOKUP(Transactions[[#This Row],[Custom Category]],Budgets[Custom Category],Budgets[Monthly],0,0))</f>
        <v>23.11333333333333</v>
      </c>
      <c r="V438">
        <f>IF(Transactions[[#This Row],[Month]]=Sel_Month,Transactions[[#This Row],[Amount]],0)</f>
        <v>0</v>
      </c>
    </row>
    <row r="439" spans="1:22" x14ac:dyDescent="0.25">
      <c r="A439" t="s">
        <v>63</v>
      </c>
      <c r="B439" t="s">
        <v>66</v>
      </c>
      <c r="C439">
        <v>-68.92</v>
      </c>
      <c r="D439" t="s">
        <v>958</v>
      </c>
      <c r="E439" t="s">
        <v>1049</v>
      </c>
      <c r="F439" t="s">
        <v>69</v>
      </c>
      <c r="G439" t="s">
        <v>960</v>
      </c>
      <c r="H439" t="s">
        <v>960</v>
      </c>
      <c r="I439" t="s">
        <v>71</v>
      </c>
      <c r="J439" t="b">
        <v>0</v>
      </c>
      <c r="K439" t="s">
        <v>1050</v>
      </c>
      <c r="L439" t="str">
        <f>_xlfn.XLOOKUP(Transactions[[#This Row],[Account ID]],Accounts[Plaid Account ID],Accounts[Name],"Not Found",0)</f>
        <v>WestJet RBC World Elite Mastercard</v>
      </c>
      <c r="M439" t="str">
        <f>_xlfn.XLOOKUP(Transactions[[#This Row],[Account ID]],Accounts[Plaid Account ID],Accounts[Institution Name],"Not Found",0)</f>
        <v>RBC Royal Bank</v>
      </c>
      <c r="N439" t="str">
        <f>IF(Transactions[[#This Row],[Amount]]&lt;0,"credit","debit")</f>
        <v>credit</v>
      </c>
      <c r="O439" t="str" cm="1">
        <f t="array" ref="O43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3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45386</v>
      </c>
      <c r="Q439" s="3">
        <f>DATE(YEAR(Transactions[[#This Row],[Datetime]]),MONTH(Transactions[[#This Row],[Datetime]]),1)</f>
        <v>45383</v>
      </c>
      <c r="R439" t="b">
        <f ca="1">AND(Transactions[[#This Row],[Datetime]]&gt;=EDATE(MAX(Transactions[Datetime]),-6),Transactions[[#This Row],[Datetime]]&lt;=TODAY())</f>
        <v>1</v>
      </c>
      <c r="S439" s="6">
        <f ca="1">AVERAGEIFS(Transactions[Month''s Total],Transactions[Recent],TRUE,Transactions[Custom Category],Transactions[[#This Row],[Custom Category]])</f>
        <v>128.65625000000003</v>
      </c>
      <c r="T439">
        <f>SUMIFS(Transactions[Amount],Transactions[Month],Transactions[[#This Row],[Month]],Transactions[Custom Category],Transactions[[#This Row],[Custom Category]])</f>
        <v>33.539999999999992</v>
      </c>
      <c r="U439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39">
        <f>IF(Transactions[[#This Row],[Month]]=Sel_Month,Transactions[[#This Row],[Amount]],0)</f>
        <v>0</v>
      </c>
    </row>
    <row r="440" spans="1:22" x14ac:dyDescent="0.25">
      <c r="A440" t="s">
        <v>61</v>
      </c>
      <c r="B440" t="s">
        <v>66</v>
      </c>
      <c r="C440">
        <v>-1000</v>
      </c>
      <c r="D440" t="s">
        <v>99</v>
      </c>
      <c r="E440" t="s">
        <v>935</v>
      </c>
      <c r="F440" t="s">
        <v>69</v>
      </c>
      <c r="H440" t="s">
        <v>936</v>
      </c>
      <c r="I440" t="s">
        <v>71</v>
      </c>
      <c r="J440" t="b">
        <v>0</v>
      </c>
      <c r="K440" t="s">
        <v>937</v>
      </c>
      <c r="L440" t="str">
        <f>_xlfn.XLOOKUP(Transactions[[#This Row],[Account ID]],Accounts[Plaid Account ID],Accounts[Name],"Not Found",0)</f>
        <v>RBC Staff Banking</v>
      </c>
      <c r="M440" t="str">
        <f>_xlfn.XLOOKUP(Transactions[[#This Row],[Account ID]],Accounts[Plaid Account ID],Accounts[Institution Name],"Not Found",0)</f>
        <v>RBC Royal Bank</v>
      </c>
      <c r="N440" t="str">
        <f>IF(Transactions[[#This Row],[Amount]]&lt;0,"credit","debit")</f>
        <v>credit</v>
      </c>
      <c r="O440" t="str" cm="1">
        <f t="array" ref="O44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44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45389</v>
      </c>
      <c r="Q440" s="3">
        <f>DATE(YEAR(Transactions[[#This Row],[Datetime]]),MONTH(Transactions[[#This Row],[Datetime]]),1)</f>
        <v>45383</v>
      </c>
      <c r="R440" t="b">
        <f ca="1">AND(Transactions[[#This Row],[Datetime]]&gt;=EDATE(MAX(Transactions[Datetime]),-6),Transactions[[#This Row],[Datetime]]&lt;=TODAY())</f>
        <v>1</v>
      </c>
      <c r="S440" s="6">
        <f ca="1">AVERAGEIFS(Transactions[Month''s Total],Transactions[Recent],TRUE,Transactions[Custom Category],Transactions[[#This Row],[Custom Category]])</f>
        <v>-333.34666666666664</v>
      </c>
      <c r="T440">
        <f>SUMIFS(Transactions[Amount],Transactions[Month],Transactions[[#This Row],[Month]],Transactions[Custom Category],Transactions[[#This Row],[Custom Category]])</f>
        <v>-1000</v>
      </c>
      <c r="U440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440">
        <f>IF(Transactions[[#This Row],[Month]]=Sel_Month,Transactions[[#This Row],[Amount]],0)</f>
        <v>0</v>
      </c>
    </row>
    <row r="441" spans="1:22" x14ac:dyDescent="0.25">
      <c r="A441" t="s">
        <v>61</v>
      </c>
      <c r="B441" t="s">
        <v>66</v>
      </c>
      <c r="C441">
        <v>1000</v>
      </c>
      <c r="D441" t="s">
        <v>67</v>
      </c>
      <c r="E441" t="s">
        <v>935</v>
      </c>
      <c r="F441" t="s">
        <v>69</v>
      </c>
      <c r="H441" t="s">
        <v>938</v>
      </c>
      <c r="I441" t="s">
        <v>71</v>
      </c>
      <c r="J441" t="b">
        <v>0</v>
      </c>
      <c r="K441" t="s">
        <v>939</v>
      </c>
      <c r="L441" t="str">
        <f>_xlfn.XLOOKUP(Transactions[[#This Row],[Account ID]],Accounts[Plaid Account ID],Accounts[Name],"Not Found",0)</f>
        <v>RBC Staff Banking</v>
      </c>
      <c r="M441" t="str">
        <f>_xlfn.XLOOKUP(Transactions[[#This Row],[Account ID]],Accounts[Plaid Account ID],Accounts[Institution Name],"Not Found",0)</f>
        <v>RBC Royal Bank</v>
      </c>
      <c r="N441" t="str">
        <f>IF(Transactions[[#This Row],[Amount]]&lt;0,"credit","debit")</f>
        <v>debit</v>
      </c>
      <c r="O441" t="str" cm="1">
        <f t="array" ref="O44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4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45389</v>
      </c>
      <c r="Q441" s="3">
        <f>DATE(YEAR(Transactions[[#This Row],[Datetime]]),MONTH(Transactions[[#This Row],[Datetime]]),1)</f>
        <v>45383</v>
      </c>
      <c r="R441" t="b">
        <f ca="1">AND(Transactions[[#This Row],[Datetime]]&gt;=EDATE(MAX(Transactions[Datetime]),-6),Transactions[[#This Row],[Datetime]]&lt;=TODAY())</f>
        <v>1</v>
      </c>
      <c r="S441" s="6">
        <f ca="1">AVERAGEIFS(Transactions[Month''s Total],Transactions[Recent],TRUE,Transactions[Custom Category],Transactions[[#This Row],[Custom Category]])</f>
        <v>12758.461333333335</v>
      </c>
      <c r="T441">
        <f>SUMIFS(Transactions[Amount],Transactions[Month],Transactions[[#This Row],[Month]],Transactions[Custom Category],Transactions[[#This Row],[Custom Category]])</f>
        <v>1050.1300000000001</v>
      </c>
      <c r="U44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41">
        <f>IF(Transactions[[#This Row],[Month]]=Sel_Month,Transactions[[#This Row],[Amount]],0)</f>
        <v>0</v>
      </c>
    </row>
    <row r="442" spans="1:22" x14ac:dyDescent="0.25">
      <c r="A442" t="s">
        <v>61</v>
      </c>
      <c r="B442" t="s">
        <v>66</v>
      </c>
      <c r="C442">
        <v>155.47</v>
      </c>
      <c r="D442" t="s">
        <v>165</v>
      </c>
      <c r="E442" t="s">
        <v>935</v>
      </c>
      <c r="F442" t="s">
        <v>69</v>
      </c>
      <c r="G442" t="s">
        <v>166</v>
      </c>
      <c r="H442" t="s">
        <v>167</v>
      </c>
      <c r="I442" t="s">
        <v>132</v>
      </c>
      <c r="J442" t="b">
        <v>0</v>
      </c>
      <c r="K442" t="s">
        <v>940</v>
      </c>
      <c r="L442" t="str">
        <f>_xlfn.XLOOKUP(Transactions[[#This Row],[Account ID]],Accounts[Plaid Account ID],Accounts[Name],"Not Found",0)</f>
        <v>RBC Staff Banking</v>
      </c>
      <c r="M442" t="str">
        <f>_xlfn.XLOOKUP(Transactions[[#This Row],[Account ID]],Accounts[Plaid Account ID],Accounts[Institution Name],"Not Found",0)</f>
        <v>RBC Royal Bank</v>
      </c>
      <c r="N442" t="str">
        <f>IF(Transactions[[#This Row],[Amount]]&lt;0,"credit","debit")</f>
        <v>debit</v>
      </c>
      <c r="O442" t="str" cm="1">
        <f t="array" ref="O44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Utilities,Electric</v>
      </c>
      <c r="P44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45389</v>
      </c>
      <c r="Q442" s="3">
        <f>DATE(YEAR(Transactions[[#This Row],[Datetime]]),MONTH(Transactions[[#This Row],[Datetime]]),1)</f>
        <v>45383</v>
      </c>
      <c r="R442" t="b">
        <f ca="1">AND(Transactions[[#This Row],[Datetime]]&gt;=EDATE(MAX(Transactions[Datetime]),-6),Transactions[[#This Row],[Datetime]]&lt;=TODAY())</f>
        <v>1</v>
      </c>
      <c r="S442" s="6">
        <f ca="1">AVERAGEIFS(Transactions[Month''s Total],Transactions[Recent],TRUE,Transactions[Custom Category],Transactions[[#This Row],[Custom Category]])</f>
        <v>139.88333333333333</v>
      </c>
      <c r="T442">
        <f>SUMIFS(Transactions[Amount],Transactions[Month],Transactions[[#This Row],[Month]],Transactions[Custom Category],Transactions[[#This Row],[Custom Category]])</f>
        <v>155.47</v>
      </c>
      <c r="U442">
        <f ca="1">IF(COUNTIF(Budgets[Custom Category],Transactions[[#This Row],[Custom Category]])=0,Transactions[[#This Row],[6M AVG]],_xlfn.XLOOKUP(Transactions[[#This Row],[Custom Category]],Budgets[Custom Category],Budgets[Monthly],0,0))</f>
        <v>139.88333333333333</v>
      </c>
      <c r="V442">
        <f>IF(Transactions[[#This Row],[Month]]=Sel_Month,Transactions[[#This Row],[Amount]],0)</f>
        <v>0</v>
      </c>
    </row>
    <row r="443" spans="1:22" x14ac:dyDescent="0.25">
      <c r="A443" t="s">
        <v>61</v>
      </c>
      <c r="B443" t="s">
        <v>66</v>
      </c>
      <c r="C443">
        <v>50.13</v>
      </c>
      <c r="D443" t="s">
        <v>67</v>
      </c>
      <c r="E443" t="s">
        <v>941</v>
      </c>
      <c r="F443" t="s">
        <v>69</v>
      </c>
      <c r="H443" t="s">
        <v>942</v>
      </c>
      <c r="I443" t="s">
        <v>71</v>
      </c>
      <c r="J443" t="b">
        <v>0</v>
      </c>
      <c r="K443" t="s">
        <v>943</v>
      </c>
      <c r="L443" t="str">
        <f>_xlfn.XLOOKUP(Transactions[[#This Row],[Account ID]],Accounts[Plaid Account ID],Accounts[Name],"Not Found",0)</f>
        <v>RBC Staff Banking</v>
      </c>
      <c r="M443" t="str">
        <f>_xlfn.XLOOKUP(Transactions[[#This Row],[Account ID]],Accounts[Plaid Account ID],Accounts[Institution Name],"Not Found",0)</f>
        <v>RBC Royal Bank</v>
      </c>
      <c r="N443" t="str">
        <f>IF(Transactions[[#This Row],[Amount]]&lt;0,"credit","debit")</f>
        <v>debit</v>
      </c>
      <c r="O443" t="str" cm="1">
        <f t="array" ref="O44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4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45390</v>
      </c>
      <c r="Q443" s="3">
        <f>DATE(YEAR(Transactions[[#This Row],[Datetime]]),MONTH(Transactions[[#This Row],[Datetime]]),1)</f>
        <v>45383</v>
      </c>
      <c r="R443" t="b">
        <f ca="1">AND(Transactions[[#This Row],[Datetime]]&gt;=EDATE(MAX(Transactions[Datetime]),-6),Transactions[[#This Row],[Datetime]]&lt;=TODAY())</f>
        <v>1</v>
      </c>
      <c r="S443" s="6">
        <f ca="1">AVERAGEIFS(Transactions[Month''s Total],Transactions[Recent],TRUE,Transactions[Custom Category],Transactions[[#This Row],[Custom Category]])</f>
        <v>12758.461333333335</v>
      </c>
      <c r="T443">
        <f>SUMIFS(Transactions[Amount],Transactions[Month],Transactions[[#This Row],[Month]],Transactions[Custom Category],Transactions[[#This Row],[Custom Category]])</f>
        <v>1050.1300000000001</v>
      </c>
      <c r="U443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43">
        <f>IF(Transactions[[#This Row],[Month]]=Sel_Month,Transactions[[#This Row],[Amount]],0)</f>
        <v>0</v>
      </c>
    </row>
    <row r="444" spans="1:22" x14ac:dyDescent="0.25">
      <c r="A444" t="s">
        <v>61</v>
      </c>
      <c r="B444" t="s">
        <v>66</v>
      </c>
      <c r="C444">
        <v>9.93</v>
      </c>
      <c r="D444" t="s">
        <v>197</v>
      </c>
      <c r="E444" t="s">
        <v>941</v>
      </c>
      <c r="F444" t="s">
        <v>69</v>
      </c>
      <c r="G444" t="s">
        <v>198</v>
      </c>
      <c r="H444" t="s">
        <v>198</v>
      </c>
      <c r="I444" t="s">
        <v>109</v>
      </c>
      <c r="J444" t="b">
        <v>0</v>
      </c>
      <c r="K444" t="s">
        <v>944</v>
      </c>
      <c r="L444" t="str">
        <f>_xlfn.XLOOKUP(Transactions[[#This Row],[Account ID]],Accounts[Plaid Account ID],Accounts[Name],"Not Found",0)</f>
        <v>RBC Staff Banking</v>
      </c>
      <c r="M444" t="str">
        <f>_xlfn.XLOOKUP(Transactions[[#This Row],[Account ID]],Accounts[Plaid Account ID],Accounts[Institution Name],"Not Found",0)</f>
        <v>RBC Royal Bank</v>
      </c>
      <c r="N444" t="str">
        <f>IF(Transactions[[#This Row],[Amount]]&lt;0,"credit","debit")</f>
        <v>debit</v>
      </c>
      <c r="O444" t="str" cm="1">
        <f t="array" ref="O44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Food and Drink, Restaurants</v>
      </c>
      <c r="P44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45390</v>
      </c>
      <c r="Q444" s="3">
        <f>DATE(YEAR(Transactions[[#This Row],[Datetime]]),MONTH(Transactions[[#This Row],[Datetime]]),1)</f>
        <v>45383</v>
      </c>
      <c r="R444" t="b">
        <f ca="1">AND(Transactions[[#This Row],[Datetime]]&gt;=EDATE(MAX(Transactions[Datetime]),-6),Transactions[[#This Row],[Datetime]]&lt;=TODAY())</f>
        <v>1</v>
      </c>
      <c r="S444" s="6">
        <f ca="1">AVERAGEIFS(Transactions[Month''s Total],Transactions[Recent],TRUE,Transactions[Custom Category],Transactions[[#This Row],[Custom Category]])</f>
        <v>414.67285714285714</v>
      </c>
      <c r="T444">
        <f>SUMIFS(Transactions[Amount],Transactions[Month],Transactions[[#This Row],[Month]],Transactions[Custom Category],Transactions[[#This Row],[Custom Category]])</f>
        <v>9.93</v>
      </c>
      <c r="U444">
        <f>IF(COUNTIF(Budgets[Custom Category],Transactions[[#This Row],[Custom Category]])=0,Transactions[[#This Row],[6M AVG]],_xlfn.XLOOKUP(Transactions[[#This Row],[Custom Category]],Budgets[Custom Category],Budgets[Monthly],0,0))</f>
        <v>800</v>
      </c>
      <c r="V444">
        <f>IF(Transactions[[#This Row],[Month]]=Sel_Month,Transactions[[#This Row],[Amount]],0)</f>
        <v>0</v>
      </c>
    </row>
    <row r="445" spans="1:22" x14ac:dyDescent="0.25">
      <c r="A445" t="s">
        <v>61</v>
      </c>
      <c r="B445" t="s">
        <v>66</v>
      </c>
      <c r="C445">
        <v>753.71</v>
      </c>
      <c r="D445" t="s">
        <v>335</v>
      </c>
      <c r="E445" t="s">
        <v>941</v>
      </c>
      <c r="F445" t="s">
        <v>69</v>
      </c>
      <c r="H445" t="s">
        <v>945</v>
      </c>
      <c r="I445" t="s">
        <v>71</v>
      </c>
      <c r="J445" t="b">
        <v>0</v>
      </c>
      <c r="K445" t="s">
        <v>946</v>
      </c>
      <c r="L445" t="str">
        <f>_xlfn.XLOOKUP(Transactions[[#This Row],[Account ID]],Accounts[Plaid Account ID],Accounts[Name],"Not Found",0)</f>
        <v>RBC Staff Banking</v>
      </c>
      <c r="M445" t="str">
        <f>_xlfn.XLOOKUP(Transactions[[#This Row],[Account ID]],Accounts[Plaid Account ID],Accounts[Institution Name],"Not Found",0)</f>
        <v>RBC Royal Bank</v>
      </c>
      <c r="N445" t="str">
        <f>IF(Transactions[[#This Row],[Amount]]&lt;0,"credit","debit")</f>
        <v>debit</v>
      </c>
      <c r="O445" t="str" cm="1">
        <f t="array" ref="O44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4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45390</v>
      </c>
      <c r="Q445" s="3">
        <f>DATE(YEAR(Transactions[[#This Row],[Datetime]]),MONTH(Transactions[[#This Row],[Datetime]]),1)</f>
        <v>45383</v>
      </c>
      <c r="R445" t="b">
        <f ca="1">AND(Transactions[[#This Row],[Datetime]]&gt;=EDATE(MAX(Transactions[Datetime]),-6),Transactions[[#This Row],[Datetime]]&lt;=TODAY())</f>
        <v>1</v>
      </c>
      <c r="S445" s="6">
        <f ca="1">AVERAGEIFS(Transactions[Month''s Total],Transactions[Recent],TRUE,Transactions[Custom Category],Transactions[[#This Row],[Custom Category]])</f>
        <v>14532.989714285719</v>
      </c>
      <c r="T445">
        <f>SUMIFS(Transactions[Amount],Transactions[Month],Transactions[[#This Row],[Month]],Transactions[Custom Category],Transactions[[#This Row],[Custom Category]])</f>
        <v>1743.58</v>
      </c>
      <c r="U44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45">
        <f>IF(Transactions[[#This Row],[Month]]=Sel_Month,Transactions[[#This Row],[Amount]],0)</f>
        <v>0</v>
      </c>
    </row>
    <row r="446" spans="1:22" x14ac:dyDescent="0.25">
      <c r="A446" t="s">
        <v>61</v>
      </c>
      <c r="B446" t="s">
        <v>66</v>
      </c>
      <c r="C446">
        <v>-1486.25</v>
      </c>
      <c r="D446" t="s">
        <v>99</v>
      </c>
      <c r="E446" t="s">
        <v>941</v>
      </c>
      <c r="F446" t="s">
        <v>69</v>
      </c>
      <c r="H446" t="s">
        <v>947</v>
      </c>
      <c r="I446" t="s">
        <v>71</v>
      </c>
      <c r="J446" t="b">
        <v>0</v>
      </c>
      <c r="K446" t="s">
        <v>948</v>
      </c>
      <c r="L446" t="str">
        <f>_xlfn.XLOOKUP(Transactions[[#This Row],[Account ID]],Accounts[Plaid Account ID],Accounts[Name],"Not Found",0)</f>
        <v>RBC Staff Banking</v>
      </c>
      <c r="M446" t="str">
        <f>_xlfn.XLOOKUP(Transactions[[#This Row],[Account ID]],Accounts[Plaid Account ID],Accounts[Institution Name],"Not Found",0)</f>
        <v>RBC Royal Bank</v>
      </c>
      <c r="N446" t="str">
        <f>IF(Transactions[[#This Row],[Amount]]&lt;0,"credit","debit")</f>
        <v>credit</v>
      </c>
      <c r="O446" t="str" cm="1">
        <f t="array" ref="O44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4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45390</v>
      </c>
      <c r="Q446" s="3">
        <f>DATE(YEAR(Transactions[[#This Row],[Datetime]]),MONTH(Transactions[[#This Row],[Datetime]]),1)</f>
        <v>45383</v>
      </c>
      <c r="R446" t="b">
        <f ca="1">AND(Transactions[[#This Row],[Datetime]]&gt;=EDATE(MAX(Transactions[Datetime]),-6),Transactions[[#This Row],[Datetime]]&lt;=TODAY())</f>
        <v>1</v>
      </c>
      <c r="S446" s="6">
        <f ca="1">AVERAGEIFS(Transactions[Month''s Total],Transactions[Recent],TRUE,Transactions[Custom Category],Transactions[[#This Row],[Custom Category]])</f>
        <v>-18125.097037037034</v>
      </c>
      <c r="T446">
        <f>SUMIFS(Transactions[Amount],Transactions[Month],Transactions[[#This Row],[Month]],Transactions[Custom Category],Transactions[[#This Row],[Custom Category]])</f>
        <v>-2486.25</v>
      </c>
      <c r="U446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46">
        <f>IF(Transactions[[#This Row],[Month]]=Sel_Month,Transactions[[#This Row],[Amount]],0)</f>
        <v>0</v>
      </c>
    </row>
    <row r="447" spans="1:22" x14ac:dyDescent="0.25">
      <c r="A447" t="s">
        <v>63</v>
      </c>
      <c r="B447" t="s">
        <v>66</v>
      </c>
      <c r="C447">
        <v>-50.13</v>
      </c>
      <c r="D447" t="s">
        <v>99</v>
      </c>
      <c r="E447" t="s">
        <v>941</v>
      </c>
      <c r="F447" t="s">
        <v>69</v>
      </c>
      <c r="H447" t="s">
        <v>968</v>
      </c>
      <c r="I447" t="s">
        <v>71</v>
      </c>
      <c r="J447" t="b">
        <v>0</v>
      </c>
      <c r="K447" t="s">
        <v>1051</v>
      </c>
      <c r="L447" t="str">
        <f>_xlfn.XLOOKUP(Transactions[[#This Row],[Account ID]],Accounts[Plaid Account ID],Accounts[Name],"Not Found",0)</f>
        <v>WestJet RBC World Elite Mastercard</v>
      </c>
      <c r="M447" t="str">
        <f>_xlfn.XLOOKUP(Transactions[[#This Row],[Account ID]],Accounts[Plaid Account ID],Accounts[Institution Name],"Not Found",0)</f>
        <v>RBC Royal Bank</v>
      </c>
      <c r="N447" t="str">
        <f>IF(Transactions[[#This Row],[Amount]]&lt;0,"credit","debit")</f>
        <v>credit</v>
      </c>
      <c r="O447" t="str" cm="1">
        <f t="array" ref="O44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4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45390</v>
      </c>
      <c r="Q447" s="3">
        <f>DATE(YEAR(Transactions[[#This Row],[Datetime]]),MONTH(Transactions[[#This Row],[Datetime]]),1)</f>
        <v>45383</v>
      </c>
      <c r="R447" t="b">
        <f ca="1">AND(Transactions[[#This Row],[Datetime]]&gt;=EDATE(MAX(Transactions[Datetime]),-6),Transactions[[#This Row],[Datetime]]&lt;=TODAY())</f>
        <v>1</v>
      </c>
      <c r="S447" s="6">
        <f ca="1">AVERAGEIFS(Transactions[Month''s Total],Transactions[Recent],TRUE,Transactions[Custom Category],Transactions[[#This Row],[Custom Category]])</f>
        <v>14532.989714285719</v>
      </c>
      <c r="T447">
        <f>SUMIFS(Transactions[Amount],Transactions[Month],Transactions[[#This Row],[Month]],Transactions[Custom Category],Transactions[[#This Row],[Custom Category]])</f>
        <v>1743.58</v>
      </c>
      <c r="U44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47">
        <f>IF(Transactions[[#This Row],[Month]]=Sel_Month,Transactions[[#This Row],[Amount]],0)</f>
        <v>0</v>
      </c>
    </row>
    <row r="448" spans="1:22" x14ac:dyDescent="0.25">
      <c r="A448" t="s">
        <v>61</v>
      </c>
      <c r="B448" t="s">
        <v>66</v>
      </c>
      <c r="C448">
        <v>158.4</v>
      </c>
      <c r="D448" t="s">
        <v>152</v>
      </c>
      <c r="E448" t="s">
        <v>949</v>
      </c>
      <c r="F448" t="s">
        <v>69</v>
      </c>
      <c r="G448" t="s">
        <v>153</v>
      </c>
      <c r="H448" t="s">
        <v>154</v>
      </c>
      <c r="I448" t="s">
        <v>132</v>
      </c>
      <c r="J448" t="b">
        <v>0</v>
      </c>
      <c r="K448" t="s">
        <v>950</v>
      </c>
      <c r="L448" t="str">
        <f>_xlfn.XLOOKUP(Transactions[[#This Row],[Account ID]],Accounts[Plaid Account ID],Accounts[Name],"Not Found",0)</f>
        <v>RBC Staff Banking</v>
      </c>
      <c r="M448" t="str">
        <f>_xlfn.XLOOKUP(Transactions[[#This Row],[Account ID]],Accounts[Plaid Account ID],Accounts[Institution Name],"Not Found",0)</f>
        <v>RBC Royal Bank</v>
      </c>
      <c r="N448" t="str">
        <f>IF(Transactions[[#This Row],[Amount]]&lt;0,"credit","debit")</f>
        <v>debit</v>
      </c>
      <c r="O448" t="str" cm="1">
        <f t="array" ref="O44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44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45391</v>
      </c>
      <c r="Q448" s="3">
        <f>DATE(YEAR(Transactions[[#This Row],[Datetime]]),MONTH(Transactions[[#This Row],[Datetime]]),1)</f>
        <v>45383</v>
      </c>
      <c r="R448" t="b">
        <f ca="1">AND(Transactions[[#This Row],[Datetime]]&gt;=EDATE(MAX(Transactions[Datetime]),-6),Transactions[[#This Row],[Datetime]]&lt;=TODAY())</f>
        <v>1</v>
      </c>
      <c r="S448" s="6">
        <f ca="1">AVERAGEIFS(Transactions[Month''s Total],Transactions[Recent],TRUE,Transactions[Custom Category],Transactions[[#This Row],[Custom Category]])</f>
        <v>153.08333333333331</v>
      </c>
      <c r="T448">
        <f>SUMIFS(Transactions[Amount],Transactions[Month],Transactions[[#This Row],[Month]],Transactions[Custom Category],Transactions[[#This Row],[Custom Category]])</f>
        <v>158.4</v>
      </c>
      <c r="U448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448">
        <f>IF(Transactions[[#This Row],[Month]]=Sel_Month,Transactions[[#This Row],[Amount]],0)</f>
        <v>0</v>
      </c>
    </row>
    <row r="449" spans="1:22" x14ac:dyDescent="0.25">
      <c r="A449" t="s">
        <v>61</v>
      </c>
      <c r="B449" t="s">
        <v>66</v>
      </c>
      <c r="C449">
        <v>1040</v>
      </c>
      <c r="D449" t="s">
        <v>67</v>
      </c>
      <c r="E449" t="s">
        <v>951</v>
      </c>
      <c r="F449" t="s">
        <v>69</v>
      </c>
      <c r="H449" t="s">
        <v>952</v>
      </c>
      <c r="I449" t="s">
        <v>71</v>
      </c>
      <c r="J449" t="b">
        <v>0</v>
      </c>
      <c r="K449" t="s">
        <v>953</v>
      </c>
      <c r="L449" t="str">
        <f>_xlfn.XLOOKUP(Transactions[[#This Row],[Account ID]],Accounts[Plaid Account ID],Accounts[Name],"Not Found",0)</f>
        <v>RBC Staff Banking</v>
      </c>
      <c r="M449" t="str">
        <f>_xlfn.XLOOKUP(Transactions[[#This Row],[Account ID]],Accounts[Plaid Account ID],Accounts[Institution Name],"Not Found",0)</f>
        <v>RBC Royal Bank</v>
      </c>
      <c r="N449" t="str">
        <f>IF(Transactions[[#This Row],[Amount]]&lt;0,"credit","debit")</f>
        <v>debit</v>
      </c>
      <c r="O449" t="str" cm="1">
        <f t="array" ref="O44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4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45392</v>
      </c>
      <c r="Q449" s="3">
        <f>DATE(YEAR(Transactions[[#This Row],[Datetime]]),MONTH(Transactions[[#This Row],[Datetime]]),1)</f>
        <v>45383</v>
      </c>
      <c r="R449" t="b">
        <f ca="1">AND(Transactions[[#This Row],[Datetime]]&gt;=EDATE(MAX(Transactions[Datetime]),-6),Transactions[[#This Row],[Datetime]]&lt;=TODAY())</f>
        <v>1</v>
      </c>
      <c r="S449" s="6">
        <f ca="1">AVERAGEIFS(Transactions[Month''s Total],Transactions[Recent],TRUE,Transactions[Custom Category],Transactions[[#This Row],[Custom Category]])</f>
        <v>14532.989714285719</v>
      </c>
      <c r="T449">
        <f>SUMIFS(Transactions[Amount],Transactions[Month],Transactions[[#This Row],[Month]],Transactions[Custom Category],Transactions[[#This Row],[Custom Category]])</f>
        <v>1743.58</v>
      </c>
      <c r="U44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49">
        <f>IF(Transactions[[#This Row],[Month]]=Sel_Month,Transactions[[#This Row],[Amount]],0)</f>
        <v>0</v>
      </c>
    </row>
    <row r="450" spans="1:22" x14ac:dyDescent="0.25">
      <c r="A450" t="s">
        <v>61</v>
      </c>
      <c r="B450" t="s">
        <v>66</v>
      </c>
      <c r="C450">
        <v>-1000</v>
      </c>
      <c r="D450" t="s">
        <v>99</v>
      </c>
      <c r="E450" t="s">
        <v>951</v>
      </c>
      <c r="F450" t="s">
        <v>69</v>
      </c>
      <c r="H450" t="s">
        <v>954</v>
      </c>
      <c r="I450" t="s">
        <v>71</v>
      </c>
      <c r="J450" t="b">
        <v>0</v>
      </c>
      <c r="K450" t="s">
        <v>955</v>
      </c>
      <c r="L450" t="str">
        <f>_xlfn.XLOOKUP(Transactions[[#This Row],[Account ID]],Accounts[Plaid Account ID],Accounts[Name],"Not Found",0)</f>
        <v>RBC Staff Banking</v>
      </c>
      <c r="M450" t="str">
        <f>_xlfn.XLOOKUP(Transactions[[#This Row],[Account ID]],Accounts[Plaid Account ID],Accounts[Institution Name],"Not Found",0)</f>
        <v>RBC Royal Bank</v>
      </c>
      <c r="N450" t="str">
        <f>IF(Transactions[[#This Row],[Amount]]&lt;0,"credit","debit")</f>
        <v>credit</v>
      </c>
      <c r="O450" t="str" cm="1">
        <f t="array" ref="O45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5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45392</v>
      </c>
      <c r="Q450" s="3">
        <f>DATE(YEAR(Transactions[[#This Row],[Datetime]]),MONTH(Transactions[[#This Row],[Datetime]]),1)</f>
        <v>45383</v>
      </c>
      <c r="R450" t="b">
        <f ca="1">AND(Transactions[[#This Row],[Datetime]]&gt;=EDATE(MAX(Transactions[Datetime]),-6),Transactions[[#This Row],[Datetime]]&lt;=TODAY())</f>
        <v>1</v>
      </c>
      <c r="S450" s="6">
        <f ca="1">AVERAGEIFS(Transactions[Month''s Total],Transactions[Recent],TRUE,Transactions[Custom Category],Transactions[[#This Row],[Custom Category]])</f>
        <v>-18125.097037037034</v>
      </c>
      <c r="T450">
        <f>SUMIFS(Transactions[Amount],Transactions[Month],Transactions[[#This Row],[Month]],Transactions[Custom Category],Transactions[[#This Row],[Custom Category]])</f>
        <v>-2486.25</v>
      </c>
      <c r="U450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50">
        <f>IF(Transactions[[#This Row],[Month]]=Sel_Month,Transactions[[#This Row],[Amount]],0)</f>
        <v>0</v>
      </c>
    </row>
    <row r="451" spans="1:22" x14ac:dyDescent="0.25">
      <c r="A451" t="s">
        <v>63</v>
      </c>
      <c r="B451" t="s">
        <v>66</v>
      </c>
      <c r="C451">
        <v>102.46</v>
      </c>
      <c r="D451" t="s">
        <v>366</v>
      </c>
      <c r="E451" t="s">
        <v>951</v>
      </c>
      <c r="F451" t="s">
        <v>69</v>
      </c>
      <c r="G451" t="s">
        <v>960</v>
      </c>
      <c r="H451" t="s">
        <v>1052</v>
      </c>
      <c r="I451" t="s">
        <v>132</v>
      </c>
      <c r="J451" t="b">
        <v>0</v>
      </c>
      <c r="K451" t="s">
        <v>1053</v>
      </c>
      <c r="L451" t="str">
        <f>_xlfn.XLOOKUP(Transactions[[#This Row],[Account ID]],Accounts[Plaid Account ID],Accounts[Name],"Not Found",0)</f>
        <v>WestJet RBC World Elite Mastercard</v>
      </c>
      <c r="M451" t="str">
        <f>_xlfn.XLOOKUP(Transactions[[#This Row],[Account ID]],Accounts[Plaid Account ID],Accounts[Institution Name],"Not Found",0)</f>
        <v>RBC Royal Bank</v>
      </c>
      <c r="N451" t="str">
        <f>IF(Transactions[[#This Row],[Amount]]&lt;0,"credit","debit")</f>
        <v>debit</v>
      </c>
      <c r="O451" t="str" cm="1">
        <f t="array" ref="O45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5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45392</v>
      </c>
      <c r="Q451" s="3">
        <f>DATE(YEAR(Transactions[[#This Row],[Datetime]]),MONTH(Transactions[[#This Row],[Datetime]]),1)</f>
        <v>45383</v>
      </c>
      <c r="R451" t="b">
        <f ca="1">AND(Transactions[[#This Row],[Datetime]]&gt;=EDATE(MAX(Transactions[Datetime]),-6),Transactions[[#This Row],[Datetime]]&lt;=TODAY())</f>
        <v>1</v>
      </c>
      <c r="S451" s="6">
        <f ca="1">AVERAGEIFS(Transactions[Month''s Total],Transactions[Recent],TRUE,Transactions[Custom Category],Transactions[[#This Row],[Custom Category]])</f>
        <v>128.65625000000003</v>
      </c>
      <c r="T451">
        <f>SUMIFS(Transactions[Amount],Transactions[Month],Transactions[[#This Row],[Month]],Transactions[Custom Category],Transactions[[#This Row],[Custom Category]])</f>
        <v>33.539999999999992</v>
      </c>
      <c r="U451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51">
        <f>IF(Transactions[[#This Row],[Month]]=Sel_Month,Transactions[[#This Row],[Amount]],0)</f>
        <v>0</v>
      </c>
    </row>
    <row r="452" spans="1:22" x14ac:dyDescent="0.25">
      <c r="A452" t="s">
        <v>61</v>
      </c>
      <c r="B452" t="s">
        <v>66</v>
      </c>
      <c r="C452">
        <v>324.55</v>
      </c>
      <c r="D452" t="s">
        <v>134</v>
      </c>
      <c r="E452" t="s">
        <v>956</v>
      </c>
      <c r="F452" t="s">
        <v>69</v>
      </c>
      <c r="G452" t="s">
        <v>135</v>
      </c>
      <c r="H452" t="s">
        <v>136</v>
      </c>
      <c r="I452" t="s">
        <v>132</v>
      </c>
      <c r="J452" t="b">
        <v>0</v>
      </c>
      <c r="K452" t="s">
        <v>957</v>
      </c>
      <c r="L452" t="str">
        <f>_xlfn.XLOOKUP(Transactions[[#This Row],[Account ID]],Accounts[Plaid Account ID],Accounts[Name],"Not Found",0)</f>
        <v>RBC Staff Banking</v>
      </c>
      <c r="M452" t="str">
        <f>_xlfn.XLOOKUP(Transactions[[#This Row],[Account ID]],Accounts[Plaid Account ID],Accounts[Institution Name],"Not Found",0)</f>
        <v>RBC Royal Bank</v>
      </c>
      <c r="N452" t="str">
        <f>IF(Transactions[[#This Row],[Amount]]&lt;0,"credit","debit")</f>
        <v>debit</v>
      </c>
      <c r="O452" t="str" cm="1">
        <f t="array" ref="O45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45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45393</v>
      </c>
      <c r="Q452" s="3">
        <f>DATE(YEAR(Transactions[[#This Row],[Datetime]]),MONTH(Transactions[[#This Row],[Datetime]]),1)</f>
        <v>45383</v>
      </c>
      <c r="R452" t="b">
        <f ca="1">AND(Transactions[[#This Row],[Datetime]]&gt;=EDATE(MAX(Transactions[Datetime]),-6),Transactions[[#This Row],[Datetime]]&lt;=TODAY())</f>
        <v>1</v>
      </c>
      <c r="S452" s="6">
        <f ca="1">AVERAGEIFS(Transactions[Month''s Total],Transactions[Recent],TRUE,Transactions[Custom Category],Transactions[[#This Row],[Custom Category]])</f>
        <v>624.12818181818193</v>
      </c>
      <c r="T452">
        <f>SUMIFS(Transactions[Amount],Transactions[Month],Transactions[[#This Row],[Month]],Transactions[Custom Category],Transactions[[#This Row],[Custom Category]])</f>
        <v>324.55</v>
      </c>
      <c r="U452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452">
        <f>IF(Transactions[[#This Row],[Month]]=Sel_Month,Transactions[[#This Row],[Amount]],0)</f>
        <v>0</v>
      </c>
    </row>
    <row r="453" spans="1:22" x14ac:dyDescent="0.25">
      <c r="A453" t="s">
        <v>63</v>
      </c>
      <c r="B453" t="s">
        <v>66</v>
      </c>
      <c r="C453">
        <v>27.89</v>
      </c>
      <c r="D453" t="s">
        <v>977</v>
      </c>
      <c r="E453" t="s">
        <v>1101</v>
      </c>
      <c r="F453" t="s">
        <v>69</v>
      </c>
      <c r="G453" t="s">
        <v>979</v>
      </c>
      <c r="H453" t="s">
        <v>980</v>
      </c>
      <c r="I453" t="s">
        <v>132</v>
      </c>
      <c r="J453" t="b">
        <v>0</v>
      </c>
      <c r="K453" t="s">
        <v>981</v>
      </c>
      <c r="L453" t="str">
        <f>_xlfn.XLOOKUP(Transactions[[#This Row],[Account ID]],Accounts[Plaid Account ID],Accounts[Name],"Not Found",0)</f>
        <v>WestJet RBC World Elite Mastercard</v>
      </c>
      <c r="M453" t="str">
        <f>_xlfn.XLOOKUP(Transactions[[#This Row],[Account ID]],Accounts[Plaid Account ID],Accounts[Institution Name],"Not Found",0)</f>
        <v>RBC Royal Bank</v>
      </c>
      <c r="N453" t="str">
        <f>IF(Transactions[[#This Row],[Amount]]&lt;0,"credit","debit")</f>
        <v>debit</v>
      </c>
      <c r="O453" t="str" cm="1">
        <f t="array" ref="O45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Subscriptions</v>
      </c>
      <c r="P45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45413</v>
      </c>
      <c r="Q453" s="3">
        <f>DATE(YEAR(Transactions[[#This Row],[Datetime]]),MONTH(Transactions[[#This Row],[Datetime]]),1)</f>
        <v>45413</v>
      </c>
      <c r="R453" t="b">
        <f ca="1">AND(Transactions[[#This Row],[Datetime]]&gt;=EDATE(MAX(Transactions[Datetime]),-6),Transactions[[#This Row],[Datetime]]&lt;=TODAY())</f>
        <v>1</v>
      </c>
      <c r="S453" s="6">
        <f ca="1">AVERAGEIFS(Transactions[Month''s Total],Transactions[Recent],TRUE,Transactions[Custom Category],Transactions[[#This Row],[Custom Category]])</f>
        <v>23.11333333333333</v>
      </c>
      <c r="T453">
        <f>SUMIFS(Transactions[Amount],Transactions[Month],Transactions[[#This Row],[Month]],Transactions[Custom Category],Transactions[[#This Row],[Custom Category]])</f>
        <v>32.409999999999997</v>
      </c>
      <c r="U453">
        <f ca="1">IF(COUNTIF(Budgets[Custom Category],Transactions[[#This Row],[Custom Category]])=0,Transactions[[#This Row],[6M AVG]],_xlfn.XLOOKUP(Transactions[[#This Row],[Custom Category]],Budgets[Custom Category],Budgets[Monthly],0,0))</f>
        <v>23.11333333333333</v>
      </c>
      <c r="V453">
        <f>IF(Transactions[[#This Row],[Month]]=Sel_Month,Transactions[[#This Row],[Amount]],0)</f>
        <v>27.89</v>
      </c>
    </row>
    <row r="454" spans="1:22" x14ac:dyDescent="0.25">
      <c r="A454" t="s">
        <v>61</v>
      </c>
      <c r="B454" t="s">
        <v>66</v>
      </c>
      <c r="C454">
        <v>4417.45</v>
      </c>
      <c r="D454" t="s">
        <v>67</v>
      </c>
      <c r="E454" t="s">
        <v>1097</v>
      </c>
      <c r="F454" t="s">
        <v>69</v>
      </c>
      <c r="H454" t="s">
        <v>179</v>
      </c>
      <c r="I454" t="s">
        <v>71</v>
      </c>
      <c r="J454" t="b">
        <v>0</v>
      </c>
      <c r="K454" t="s">
        <v>180</v>
      </c>
      <c r="L454" t="str">
        <f>_xlfn.XLOOKUP(Transactions[[#This Row],[Account ID]],Accounts[Plaid Account ID],Accounts[Name],"Not Found",0)</f>
        <v>RBC Staff Banking</v>
      </c>
      <c r="M454" t="str">
        <f>_xlfn.XLOOKUP(Transactions[[#This Row],[Account ID]],Accounts[Plaid Account ID],Accounts[Institution Name],"Not Found",0)</f>
        <v>RBC Royal Bank</v>
      </c>
      <c r="N454" t="str">
        <f>IF(Transactions[[#This Row],[Amount]]&lt;0,"credit","debit")</f>
        <v>debit</v>
      </c>
      <c r="O454" t="str" cm="1">
        <f t="array" ref="O45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5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45415</v>
      </c>
      <c r="Q454" s="3">
        <f>DATE(YEAR(Transactions[[#This Row],[Datetime]]),MONTH(Transactions[[#This Row],[Datetime]]),1)</f>
        <v>45413</v>
      </c>
      <c r="R454" t="b">
        <f ca="1">AND(Transactions[[#This Row],[Datetime]]&gt;=EDATE(MAX(Transactions[Datetime]),-6),Transactions[[#This Row],[Datetime]]&lt;=TODAY())</f>
        <v>1</v>
      </c>
      <c r="S454" s="6">
        <f ca="1">AVERAGEIFS(Transactions[Month''s Total],Transactions[Recent],TRUE,Transactions[Custom Category],Transactions[[#This Row],[Custom Category]])</f>
        <v>14532.989714285719</v>
      </c>
      <c r="T454">
        <f>SUMIFS(Transactions[Amount],Transactions[Month],Transactions[[#This Row],[Month]],Transactions[Custom Category],Transactions[[#This Row],[Custom Category]])</f>
        <v>25434.52</v>
      </c>
      <c r="U454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54">
        <f>IF(Transactions[[#This Row],[Month]]=Sel_Month,Transactions[[#This Row],[Amount]],0)</f>
        <v>4417.45</v>
      </c>
    </row>
    <row r="455" spans="1:22" x14ac:dyDescent="0.25">
      <c r="A455" t="s">
        <v>61</v>
      </c>
      <c r="B455" t="s">
        <v>66</v>
      </c>
      <c r="C455">
        <v>-96</v>
      </c>
      <c r="D455" t="s">
        <v>99</v>
      </c>
      <c r="E455" t="s">
        <v>1097</v>
      </c>
      <c r="F455" t="s">
        <v>69</v>
      </c>
      <c r="H455" t="s">
        <v>181</v>
      </c>
      <c r="I455" t="s">
        <v>71</v>
      </c>
      <c r="J455" t="b">
        <v>0</v>
      </c>
      <c r="K455" t="s">
        <v>182</v>
      </c>
      <c r="L455" t="str">
        <f>_xlfn.XLOOKUP(Transactions[[#This Row],[Account ID]],Accounts[Plaid Account ID],Accounts[Name],"Not Found",0)</f>
        <v>RBC Staff Banking</v>
      </c>
      <c r="M455" t="str">
        <f>_xlfn.XLOOKUP(Transactions[[#This Row],[Account ID]],Accounts[Plaid Account ID],Accounts[Institution Name],"Not Found",0)</f>
        <v>RBC Royal Bank</v>
      </c>
      <c r="N455" t="str">
        <f>IF(Transactions[[#This Row],[Amount]]&lt;0,"credit","debit")</f>
        <v>credit</v>
      </c>
      <c r="O455" t="str" cm="1">
        <f t="array" ref="O45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45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45415</v>
      </c>
      <c r="Q455" s="3">
        <f>DATE(YEAR(Transactions[[#This Row],[Datetime]]),MONTH(Transactions[[#This Row],[Datetime]]),1)</f>
        <v>45413</v>
      </c>
      <c r="R455" t="b">
        <f ca="1">AND(Transactions[[#This Row],[Datetime]]&gt;=EDATE(MAX(Transactions[Datetime]),-6),Transactions[[#This Row],[Datetime]]&lt;=TODAY())</f>
        <v>1</v>
      </c>
      <c r="S455" s="6">
        <f ca="1">AVERAGEIFS(Transactions[Month''s Total],Transactions[Recent],TRUE,Transactions[Custom Category],Transactions[[#This Row],[Custom Category]])</f>
        <v>-3209.0714285714284</v>
      </c>
      <c r="T455">
        <f>SUMIFS(Transactions[Amount],Transactions[Month],Transactions[[#This Row],[Month]],Transactions[Custom Category],Transactions[[#This Row],[Custom Category]])</f>
        <v>-3266</v>
      </c>
      <c r="U455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455">
        <f>IF(Transactions[[#This Row],[Month]]=Sel_Month,Transactions[[#This Row],[Amount]],0)</f>
        <v>-96</v>
      </c>
    </row>
    <row r="456" spans="1:22" x14ac:dyDescent="0.25">
      <c r="A456" t="s">
        <v>61</v>
      </c>
      <c r="B456" t="s">
        <v>66</v>
      </c>
      <c r="C456">
        <v>15.97</v>
      </c>
      <c r="D456" t="s">
        <v>174</v>
      </c>
      <c r="E456" t="s">
        <v>1096</v>
      </c>
      <c r="F456" t="s">
        <v>69</v>
      </c>
      <c r="H456" t="s">
        <v>176</v>
      </c>
      <c r="I456" t="s">
        <v>71</v>
      </c>
      <c r="J456" t="b">
        <v>0</v>
      </c>
      <c r="K456" t="s">
        <v>177</v>
      </c>
      <c r="L456" t="str">
        <f>_xlfn.XLOOKUP(Transactions[[#This Row],[Account ID]],Accounts[Plaid Account ID],Accounts[Name],"Not Found",0)</f>
        <v>RBC Staff Banking</v>
      </c>
      <c r="M456" t="str">
        <f>_xlfn.XLOOKUP(Transactions[[#This Row],[Account ID]],Accounts[Plaid Account ID],Accounts[Institution Name],"Not Found",0)</f>
        <v>RBC Royal Bank</v>
      </c>
      <c r="N456" t="str">
        <f>IF(Transactions[[#This Row],[Amount]]&lt;0,"credit","debit")</f>
        <v>debit</v>
      </c>
      <c r="O456" t="str" cm="1">
        <f t="array" ref="O45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5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45416</v>
      </c>
      <c r="Q456" s="3">
        <f>DATE(YEAR(Transactions[[#This Row],[Datetime]]),MONTH(Transactions[[#This Row],[Datetime]]),1)</f>
        <v>45413</v>
      </c>
      <c r="R456" t="b">
        <f ca="1">AND(Transactions[[#This Row],[Datetime]]&gt;=EDATE(MAX(Transactions[Datetime]),-6),Transactions[[#This Row],[Datetime]]&lt;=TODAY())</f>
        <v>1</v>
      </c>
      <c r="S456" s="6">
        <f ca="1">AVERAGEIFS(Transactions[Month''s Total],Transactions[Recent],TRUE,Transactions[Custom Category],Transactions[[#This Row],[Custom Category]])</f>
        <v>14532.989714285719</v>
      </c>
      <c r="T456">
        <f>SUMIFS(Transactions[Amount],Transactions[Month],Transactions[[#This Row],[Month]],Transactions[Custom Category],Transactions[[#This Row],[Custom Category]])</f>
        <v>25434.52</v>
      </c>
      <c r="U456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56">
        <f>IF(Transactions[[#This Row],[Month]]=Sel_Month,Transactions[[#This Row],[Amount]],0)</f>
        <v>15.97</v>
      </c>
    </row>
    <row r="457" spans="1:22" x14ac:dyDescent="0.25">
      <c r="A457" t="s">
        <v>63</v>
      </c>
      <c r="B457" t="s">
        <v>66</v>
      </c>
      <c r="C457">
        <v>4.5199999999999996</v>
      </c>
      <c r="D457" t="s">
        <v>197</v>
      </c>
      <c r="E457" t="s">
        <v>1100</v>
      </c>
      <c r="F457" t="s">
        <v>69</v>
      </c>
      <c r="G457" t="s">
        <v>974</v>
      </c>
      <c r="H457" t="s">
        <v>975</v>
      </c>
      <c r="I457" t="s">
        <v>109</v>
      </c>
      <c r="J457" t="b">
        <v>0</v>
      </c>
      <c r="K457" t="s">
        <v>976</v>
      </c>
      <c r="L457" t="str">
        <f>_xlfn.XLOOKUP(Transactions[[#This Row],[Account ID]],Accounts[Plaid Account ID],Accounts[Name],"Not Found",0)</f>
        <v>WestJet RBC World Elite Mastercard</v>
      </c>
      <c r="M457" t="str">
        <f>_xlfn.XLOOKUP(Transactions[[#This Row],[Account ID]],Accounts[Plaid Account ID],Accounts[Institution Name],"Not Found",0)</f>
        <v>RBC Royal Bank</v>
      </c>
      <c r="N457" t="str">
        <f>IF(Transactions[[#This Row],[Amount]]&lt;0,"credit","debit")</f>
        <v>debit</v>
      </c>
      <c r="O457" t="str" cm="1">
        <f t="array" ref="O45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Subscriptions</v>
      </c>
      <c r="P45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45417</v>
      </c>
      <c r="Q457" s="3">
        <f>DATE(YEAR(Transactions[[#This Row],[Datetime]]),MONTH(Transactions[[#This Row],[Datetime]]),1)</f>
        <v>45413</v>
      </c>
      <c r="R457" t="b">
        <f ca="1">AND(Transactions[[#This Row],[Datetime]]&gt;=EDATE(MAX(Transactions[Datetime]),-6),Transactions[[#This Row],[Datetime]]&lt;=TODAY())</f>
        <v>1</v>
      </c>
      <c r="S457" s="6">
        <f ca="1">AVERAGEIFS(Transactions[Month''s Total],Transactions[Recent],TRUE,Transactions[Custom Category],Transactions[[#This Row],[Custom Category]])</f>
        <v>23.11333333333333</v>
      </c>
      <c r="T457">
        <f>SUMIFS(Transactions[Amount],Transactions[Month],Transactions[[#This Row],[Month]],Transactions[Custom Category],Transactions[[#This Row],[Custom Category]])</f>
        <v>32.409999999999997</v>
      </c>
      <c r="U457">
        <f ca="1">IF(COUNTIF(Budgets[Custom Category],Transactions[[#This Row],[Custom Category]])=0,Transactions[[#This Row],[6M AVG]],_xlfn.XLOOKUP(Transactions[[#This Row],[Custom Category]],Budgets[Custom Category],Budgets[Monthly],0,0))</f>
        <v>23.11333333333333</v>
      </c>
      <c r="V457">
        <f>IF(Transactions[[#This Row],[Month]]=Sel_Month,Transactions[[#This Row],[Amount]],0)</f>
        <v>4.5199999999999996</v>
      </c>
    </row>
    <row r="458" spans="1:22" x14ac:dyDescent="0.25">
      <c r="A458" t="s">
        <v>61</v>
      </c>
      <c r="B458" t="s">
        <v>66</v>
      </c>
      <c r="C458">
        <v>-1063</v>
      </c>
      <c r="D458" t="s">
        <v>99</v>
      </c>
      <c r="E458" t="s">
        <v>1095</v>
      </c>
      <c r="F458" t="s">
        <v>69</v>
      </c>
      <c r="H458" t="s">
        <v>170</v>
      </c>
      <c r="I458" t="s">
        <v>71</v>
      </c>
      <c r="J458" t="b">
        <v>0</v>
      </c>
      <c r="K458" t="s">
        <v>171</v>
      </c>
      <c r="L458" t="str">
        <f>_xlfn.XLOOKUP(Transactions[[#This Row],[Account ID]],Accounts[Plaid Account ID],Accounts[Name],"Not Found",0)</f>
        <v>RBC Staff Banking</v>
      </c>
      <c r="M458" t="str">
        <f>_xlfn.XLOOKUP(Transactions[[#This Row],[Account ID]],Accounts[Plaid Account ID],Accounts[Institution Name],"Not Found",0)</f>
        <v>RBC Royal Bank</v>
      </c>
      <c r="N458" t="str">
        <f>IF(Transactions[[#This Row],[Amount]]&lt;0,"credit","debit")</f>
        <v>credit</v>
      </c>
      <c r="O458" t="str" cm="1">
        <f t="array" ref="O45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5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45418</v>
      </c>
      <c r="Q458" s="3">
        <f>DATE(YEAR(Transactions[[#This Row],[Datetime]]),MONTH(Transactions[[#This Row],[Datetime]]),1)</f>
        <v>45413</v>
      </c>
      <c r="R458" t="b">
        <f ca="1">AND(Transactions[[#This Row],[Datetime]]&gt;=EDATE(MAX(Transactions[Datetime]),-6),Transactions[[#This Row],[Datetime]]&lt;=TODAY())</f>
        <v>1</v>
      </c>
      <c r="S458" s="6">
        <f ca="1">AVERAGEIFS(Transactions[Month''s Total],Transactions[Recent],TRUE,Transactions[Custom Category],Transactions[[#This Row],[Custom Category]])</f>
        <v>-18125.097037037034</v>
      </c>
      <c r="T458">
        <f>SUMIFS(Transactions[Amount],Transactions[Month],Transactions[[#This Row],[Month]],Transactions[Custom Category],Transactions[[#This Row],[Custom Category]])</f>
        <v>-22459.99</v>
      </c>
      <c r="U45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58">
        <f>IF(Transactions[[#This Row],[Month]]=Sel_Month,Transactions[[#This Row],[Amount]],0)</f>
        <v>-1063</v>
      </c>
    </row>
    <row r="459" spans="1:22" x14ac:dyDescent="0.25">
      <c r="A459" t="s">
        <v>61</v>
      </c>
      <c r="B459" t="s">
        <v>66</v>
      </c>
      <c r="C459">
        <v>1047.03</v>
      </c>
      <c r="D459" t="s">
        <v>67</v>
      </c>
      <c r="E459" t="s">
        <v>1095</v>
      </c>
      <c r="F459" t="s">
        <v>69</v>
      </c>
      <c r="H459" t="s">
        <v>172</v>
      </c>
      <c r="I459" t="s">
        <v>71</v>
      </c>
      <c r="J459" t="b">
        <v>0</v>
      </c>
      <c r="K459" t="s">
        <v>173</v>
      </c>
      <c r="L459" t="str">
        <f>_xlfn.XLOOKUP(Transactions[[#This Row],[Account ID]],Accounts[Plaid Account ID],Accounts[Name],"Not Found",0)</f>
        <v>RBC Staff Banking</v>
      </c>
      <c r="M459" t="str">
        <f>_xlfn.XLOOKUP(Transactions[[#This Row],[Account ID]],Accounts[Plaid Account ID],Accounts[Institution Name],"Not Found",0)</f>
        <v>RBC Royal Bank</v>
      </c>
      <c r="N459" t="str">
        <f>IF(Transactions[[#This Row],[Amount]]&lt;0,"credit","debit")</f>
        <v>debit</v>
      </c>
      <c r="O459" t="str" cm="1">
        <f t="array" ref="O45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5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45418</v>
      </c>
      <c r="Q459" s="3">
        <f>DATE(YEAR(Transactions[[#This Row],[Datetime]]),MONTH(Transactions[[#This Row],[Datetime]]),1)</f>
        <v>45413</v>
      </c>
      <c r="R459" t="b">
        <f ca="1">AND(Transactions[[#This Row],[Datetime]]&gt;=EDATE(MAX(Transactions[Datetime]),-6),Transactions[[#This Row],[Datetime]]&lt;=TODAY())</f>
        <v>1</v>
      </c>
      <c r="S459" s="6">
        <f ca="1">AVERAGEIFS(Transactions[Month''s Total],Transactions[Recent],TRUE,Transactions[Custom Category],Transactions[[#This Row],[Custom Category]])</f>
        <v>14532.989714285719</v>
      </c>
      <c r="T459">
        <f>SUMIFS(Transactions[Amount],Transactions[Month],Transactions[[#This Row],[Month]],Transactions[Custom Category],Transactions[[#This Row],[Custom Category]])</f>
        <v>25434.52</v>
      </c>
      <c r="U45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59">
        <f>IF(Transactions[[#This Row],[Month]]=Sel_Month,Transactions[[#This Row],[Amount]],0)</f>
        <v>1047.03</v>
      </c>
    </row>
    <row r="460" spans="1:22" x14ac:dyDescent="0.25">
      <c r="A460" t="s">
        <v>22</v>
      </c>
      <c r="B460" t="s">
        <v>66</v>
      </c>
      <c r="C460">
        <v>3799.36</v>
      </c>
      <c r="D460" t="s">
        <v>67</v>
      </c>
      <c r="E460" t="s">
        <v>1085</v>
      </c>
      <c r="F460" t="s">
        <v>69</v>
      </c>
      <c r="H460" t="s">
        <v>70</v>
      </c>
      <c r="I460" t="s">
        <v>71</v>
      </c>
      <c r="J460" t="b">
        <v>0</v>
      </c>
      <c r="K460" t="s">
        <v>90</v>
      </c>
      <c r="L460" t="str">
        <f>_xlfn.XLOOKUP(Transactions[[#This Row],[Account ID]],Accounts[Plaid Account ID],Accounts[Name],"Not Found",0)</f>
        <v>Preferred Package</v>
      </c>
      <c r="M460" t="str">
        <f>_xlfn.XLOOKUP(Transactions[[#This Row],[Account ID]],Accounts[Plaid Account ID],Accounts[Institution Name],"Not Found",0)</f>
        <v>Scotiabank</v>
      </c>
      <c r="N460" t="str">
        <f>IF(Transactions[[#This Row],[Amount]]&lt;0,"credit","debit")</f>
        <v>debit</v>
      </c>
      <c r="O460" t="str" cm="1">
        <f t="array" ref="O46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6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45420</v>
      </c>
      <c r="Q460" s="3">
        <f>DATE(YEAR(Transactions[[#This Row],[Datetime]]),MONTH(Transactions[[#This Row],[Datetime]]),1)</f>
        <v>45413</v>
      </c>
      <c r="R460" t="b">
        <f ca="1">AND(Transactions[[#This Row],[Datetime]]&gt;=EDATE(MAX(Transactions[Datetime]),-6),Transactions[[#This Row],[Datetime]]&lt;=TODAY())</f>
        <v>1</v>
      </c>
      <c r="S460" s="6">
        <f ca="1">AVERAGEIFS(Transactions[Month''s Total],Transactions[Recent],TRUE,Transactions[Custom Category],Transactions[[#This Row],[Custom Category]])</f>
        <v>12758.461333333335</v>
      </c>
      <c r="T460">
        <f>SUMIFS(Transactions[Amount],Transactions[Month],Transactions[[#This Row],[Month]],Transactions[Custom Category],Transactions[[#This Row],[Custom Category]])</f>
        <v>17658.5</v>
      </c>
      <c r="U46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60">
        <f>IF(Transactions[[#This Row],[Month]]=Sel_Month,Transactions[[#This Row],[Amount]],0)</f>
        <v>3799.36</v>
      </c>
    </row>
    <row r="461" spans="1:22" x14ac:dyDescent="0.25">
      <c r="A461" t="s">
        <v>22</v>
      </c>
      <c r="B461" t="s">
        <v>66</v>
      </c>
      <c r="C461">
        <v>-3799.36</v>
      </c>
      <c r="D461" t="s">
        <v>73</v>
      </c>
      <c r="E461" t="s">
        <v>1085</v>
      </c>
      <c r="F461" t="s">
        <v>69</v>
      </c>
      <c r="H461" t="s">
        <v>74</v>
      </c>
      <c r="I461" t="s">
        <v>71</v>
      </c>
      <c r="J461" t="b">
        <v>0</v>
      </c>
      <c r="K461" t="s">
        <v>91</v>
      </c>
      <c r="L461" t="str">
        <f>_xlfn.XLOOKUP(Transactions[[#This Row],[Account ID]],Accounts[Plaid Account ID],Accounts[Name],"Not Found",0)</f>
        <v>Preferred Package</v>
      </c>
      <c r="M461" t="str">
        <f>_xlfn.XLOOKUP(Transactions[[#This Row],[Account ID]],Accounts[Plaid Account ID],Accounts[Institution Name],"Not Found",0)</f>
        <v>Scotiabank</v>
      </c>
      <c r="N461" t="str">
        <f>IF(Transactions[[#This Row],[Amount]]&lt;0,"credit","debit")</f>
        <v>credit</v>
      </c>
      <c r="O461" t="str" cm="1">
        <f t="array" ref="O46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46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45420</v>
      </c>
      <c r="Q461" s="3">
        <f>DATE(YEAR(Transactions[[#This Row],[Datetime]]),MONTH(Transactions[[#This Row],[Datetime]]),1)</f>
        <v>45413</v>
      </c>
      <c r="R461" t="b">
        <f ca="1">AND(Transactions[[#This Row],[Datetime]]&gt;=EDATE(MAX(Transactions[Datetime]),-6),Transactions[[#This Row],[Datetime]]&lt;=TODAY())</f>
        <v>1</v>
      </c>
      <c r="S461" s="6">
        <f ca="1">AVERAGEIFS(Transactions[Month''s Total],Transactions[Recent],TRUE,Transactions[Custom Category],Transactions[[#This Row],[Custom Category]])</f>
        <v>-12680.457777777781</v>
      </c>
      <c r="T461">
        <f>SUMIFS(Transactions[Amount],Transactions[Month],Transactions[[#This Row],[Month]],Transactions[Custom Category],Transactions[[#This Row],[Custom Category]])</f>
        <v>-15758.130000000001</v>
      </c>
      <c r="U461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461">
        <f>IF(Transactions[[#This Row],[Month]]=Sel_Month,Transactions[[#This Row],[Amount]],0)</f>
        <v>-3799.36</v>
      </c>
    </row>
    <row r="462" spans="1:22" x14ac:dyDescent="0.25">
      <c r="A462" t="s">
        <v>63</v>
      </c>
      <c r="B462" t="s">
        <v>66</v>
      </c>
      <c r="C462">
        <v>-1058.6400000000001</v>
      </c>
      <c r="D462" t="s">
        <v>99</v>
      </c>
      <c r="E462" t="s">
        <v>1085</v>
      </c>
      <c r="F462" t="s">
        <v>69</v>
      </c>
      <c r="H462" t="s">
        <v>968</v>
      </c>
      <c r="I462" t="s">
        <v>71</v>
      </c>
      <c r="J462" t="b">
        <v>0</v>
      </c>
      <c r="K462" t="s">
        <v>969</v>
      </c>
      <c r="L462" t="str">
        <f>_xlfn.XLOOKUP(Transactions[[#This Row],[Account ID]],Accounts[Plaid Account ID],Accounts[Name],"Not Found",0)</f>
        <v>WestJet RBC World Elite Mastercard</v>
      </c>
      <c r="M462" t="str">
        <f>_xlfn.XLOOKUP(Transactions[[#This Row],[Account ID]],Accounts[Plaid Account ID],Accounts[Institution Name],"Not Found",0)</f>
        <v>RBC Royal Bank</v>
      </c>
      <c r="N462" t="str">
        <f>IF(Transactions[[#This Row],[Amount]]&lt;0,"credit","debit")</f>
        <v>credit</v>
      </c>
      <c r="O462" t="str" cm="1">
        <f t="array" ref="O46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6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45420</v>
      </c>
      <c r="Q462" s="3">
        <f>DATE(YEAR(Transactions[[#This Row],[Datetime]]),MONTH(Transactions[[#This Row],[Datetime]]),1)</f>
        <v>45413</v>
      </c>
      <c r="R462" t="b">
        <f ca="1">AND(Transactions[[#This Row],[Datetime]]&gt;=EDATE(MAX(Transactions[Datetime]),-6),Transactions[[#This Row],[Datetime]]&lt;=TODAY())</f>
        <v>1</v>
      </c>
      <c r="S462" s="6">
        <f ca="1">AVERAGEIFS(Transactions[Month''s Total],Transactions[Recent],TRUE,Transactions[Custom Category],Transactions[[#This Row],[Custom Category]])</f>
        <v>14532.989714285719</v>
      </c>
      <c r="T462">
        <f>SUMIFS(Transactions[Amount],Transactions[Month],Transactions[[#This Row],[Month]],Transactions[Custom Category],Transactions[[#This Row],[Custom Category]])</f>
        <v>25434.52</v>
      </c>
      <c r="U462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62">
        <f>IF(Transactions[[#This Row],[Month]]=Sel_Month,Transactions[[#This Row],[Amount]],0)</f>
        <v>-1058.6400000000001</v>
      </c>
    </row>
    <row r="463" spans="1:22" x14ac:dyDescent="0.25">
      <c r="A463" t="s">
        <v>63</v>
      </c>
      <c r="B463" t="s">
        <v>66</v>
      </c>
      <c r="C463">
        <v>12.42</v>
      </c>
      <c r="D463" t="s">
        <v>366</v>
      </c>
      <c r="E463" t="s">
        <v>1085</v>
      </c>
      <c r="F463" t="s">
        <v>69</v>
      </c>
      <c r="G463" t="s">
        <v>970</v>
      </c>
      <c r="H463" t="s">
        <v>971</v>
      </c>
      <c r="I463" t="s">
        <v>132</v>
      </c>
      <c r="J463" t="b">
        <v>0</v>
      </c>
      <c r="K463" t="s">
        <v>972</v>
      </c>
      <c r="L463" t="str">
        <f>_xlfn.XLOOKUP(Transactions[[#This Row],[Account ID]],Accounts[Plaid Account ID],Accounts[Name],"Not Found",0)</f>
        <v>WestJet RBC World Elite Mastercard</v>
      </c>
      <c r="M463" t="str">
        <f>_xlfn.XLOOKUP(Transactions[[#This Row],[Account ID]],Accounts[Plaid Account ID],Accounts[Institution Name],"Not Found",0)</f>
        <v>RBC Royal Bank</v>
      </c>
      <c r="N463" t="str">
        <f>IF(Transactions[[#This Row],[Amount]]&lt;0,"credit","debit")</f>
        <v>debit</v>
      </c>
      <c r="O463" t="str" cm="1">
        <f t="array" ref="O46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Business,Advertising</v>
      </c>
      <c r="P46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45420</v>
      </c>
      <c r="Q463" s="3">
        <f>DATE(YEAR(Transactions[[#This Row],[Datetime]]),MONTH(Transactions[[#This Row],[Datetime]]),1)</f>
        <v>45413</v>
      </c>
      <c r="R463" t="b">
        <f ca="1">AND(Transactions[[#This Row],[Datetime]]&gt;=EDATE(MAX(Transactions[Datetime]),-6),Transactions[[#This Row],[Datetime]]&lt;=TODAY())</f>
        <v>1</v>
      </c>
      <c r="S463" s="6">
        <f ca="1">AVERAGEIFS(Transactions[Month''s Total],Transactions[Recent],TRUE,Transactions[Custom Category],Transactions[[#This Row],[Custom Category]])</f>
        <v>6.21</v>
      </c>
      <c r="T463">
        <f>SUMIFS(Transactions[Amount],Transactions[Month],Transactions[[#This Row],[Month]],Transactions[Custom Category],Transactions[[#This Row],[Custom Category]])</f>
        <v>12.42</v>
      </c>
      <c r="U463">
        <f ca="1">IF(COUNTIF(Budgets[Custom Category],Transactions[[#This Row],[Custom Category]])=0,Transactions[[#This Row],[6M AVG]],_xlfn.XLOOKUP(Transactions[[#This Row],[Custom Category]],Budgets[Custom Category],Budgets[Monthly],0,0))</f>
        <v>6.21</v>
      </c>
      <c r="V463">
        <f>IF(Transactions[[#This Row],[Month]]=Sel_Month,Transactions[[#This Row],[Amount]],0)</f>
        <v>12.42</v>
      </c>
    </row>
    <row r="464" spans="1:22" x14ac:dyDescent="0.25">
      <c r="A464" t="s">
        <v>61</v>
      </c>
      <c r="B464" t="s">
        <v>66</v>
      </c>
      <c r="C464">
        <v>1058.6400000000001</v>
      </c>
      <c r="D464" t="s">
        <v>67</v>
      </c>
      <c r="E464" t="s">
        <v>1094</v>
      </c>
      <c r="F464" t="s">
        <v>69</v>
      </c>
      <c r="H464" t="s">
        <v>157</v>
      </c>
      <c r="I464" t="s">
        <v>71</v>
      </c>
      <c r="J464" t="b">
        <v>0</v>
      </c>
      <c r="K464" t="s">
        <v>158</v>
      </c>
      <c r="L464" t="str">
        <f>_xlfn.XLOOKUP(Transactions[[#This Row],[Account ID]],Accounts[Plaid Account ID],Accounts[Name],"Not Found",0)</f>
        <v>RBC Staff Banking</v>
      </c>
      <c r="M464" t="str">
        <f>_xlfn.XLOOKUP(Transactions[[#This Row],[Account ID]],Accounts[Plaid Account ID],Accounts[Institution Name],"Not Found",0)</f>
        <v>RBC Royal Bank</v>
      </c>
      <c r="N464" t="str">
        <f>IF(Transactions[[#This Row],[Amount]]&lt;0,"credit","debit")</f>
        <v>debit</v>
      </c>
      <c r="O464" t="str" cm="1">
        <f t="array" ref="O46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6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45422</v>
      </c>
      <c r="Q464" s="3">
        <f>DATE(YEAR(Transactions[[#This Row],[Datetime]]),MONTH(Transactions[[#This Row],[Datetime]]),1)</f>
        <v>45413</v>
      </c>
      <c r="R464" t="b">
        <f ca="1">AND(Transactions[[#This Row],[Datetime]]&gt;=EDATE(MAX(Transactions[Datetime]),-6),Transactions[[#This Row],[Datetime]]&lt;=TODAY())</f>
        <v>1</v>
      </c>
      <c r="S464" s="6">
        <f ca="1">AVERAGEIFS(Transactions[Month''s Total],Transactions[Recent],TRUE,Transactions[Custom Category],Transactions[[#This Row],[Custom Category]])</f>
        <v>12758.461333333335</v>
      </c>
      <c r="T464">
        <f>SUMIFS(Transactions[Amount],Transactions[Month],Transactions[[#This Row],[Month]],Transactions[Custom Category],Transactions[[#This Row],[Custom Category]])</f>
        <v>17658.5</v>
      </c>
      <c r="U46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64">
        <f>IF(Transactions[[#This Row],[Month]]=Sel_Month,Transactions[[#This Row],[Amount]],0)</f>
        <v>1058.6400000000001</v>
      </c>
    </row>
    <row r="465" spans="1:22" x14ac:dyDescent="0.25">
      <c r="A465" t="s">
        <v>61</v>
      </c>
      <c r="B465" t="s">
        <v>66</v>
      </c>
      <c r="C465">
        <v>3799.36</v>
      </c>
      <c r="D465" t="s">
        <v>67</v>
      </c>
      <c r="E465" t="s">
        <v>1094</v>
      </c>
      <c r="F465" t="s">
        <v>69</v>
      </c>
      <c r="H465" t="s">
        <v>159</v>
      </c>
      <c r="I465" t="s">
        <v>71</v>
      </c>
      <c r="J465" t="b">
        <v>0</v>
      </c>
      <c r="K465" t="s">
        <v>160</v>
      </c>
      <c r="L465" t="str">
        <f>_xlfn.XLOOKUP(Transactions[[#This Row],[Account ID]],Accounts[Plaid Account ID],Accounts[Name],"Not Found",0)</f>
        <v>RBC Staff Banking</v>
      </c>
      <c r="M465" t="str">
        <f>_xlfn.XLOOKUP(Transactions[[#This Row],[Account ID]],Accounts[Plaid Account ID],Accounts[Institution Name],"Not Found",0)</f>
        <v>RBC Royal Bank</v>
      </c>
      <c r="N465" t="str">
        <f>IF(Transactions[[#This Row],[Amount]]&lt;0,"credit","debit")</f>
        <v>debit</v>
      </c>
      <c r="O465" t="str" cm="1">
        <f t="array" ref="O46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6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45422</v>
      </c>
      <c r="Q465" s="3">
        <f>DATE(YEAR(Transactions[[#This Row],[Datetime]]),MONTH(Transactions[[#This Row],[Datetime]]),1)</f>
        <v>45413</v>
      </c>
      <c r="R465" t="b">
        <f ca="1">AND(Transactions[[#This Row],[Datetime]]&gt;=EDATE(MAX(Transactions[Datetime]),-6),Transactions[[#This Row],[Datetime]]&lt;=TODAY())</f>
        <v>1</v>
      </c>
      <c r="S465" s="6">
        <f ca="1">AVERAGEIFS(Transactions[Month''s Total],Transactions[Recent],TRUE,Transactions[Custom Category],Transactions[[#This Row],[Custom Category]])</f>
        <v>14532.989714285719</v>
      </c>
      <c r="T465">
        <f>SUMIFS(Transactions[Amount],Transactions[Month],Transactions[[#This Row],[Month]],Transactions[Custom Category],Transactions[[#This Row],[Custom Category]])</f>
        <v>25434.52</v>
      </c>
      <c r="U465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65">
        <f>IF(Transactions[[#This Row],[Month]]=Sel_Month,Transactions[[#This Row],[Amount]],0)</f>
        <v>3799.36</v>
      </c>
    </row>
    <row r="466" spans="1:22" x14ac:dyDescent="0.25">
      <c r="A466" t="s">
        <v>61</v>
      </c>
      <c r="B466" t="s">
        <v>66</v>
      </c>
      <c r="C466">
        <v>142</v>
      </c>
      <c r="D466" t="s">
        <v>67</v>
      </c>
      <c r="E466" t="s">
        <v>1094</v>
      </c>
      <c r="F466" t="s">
        <v>69</v>
      </c>
      <c r="H466" t="s">
        <v>161</v>
      </c>
      <c r="I466" t="s">
        <v>71</v>
      </c>
      <c r="J466" t="b">
        <v>0</v>
      </c>
      <c r="K466" t="s">
        <v>162</v>
      </c>
      <c r="L466" t="str">
        <f>_xlfn.XLOOKUP(Transactions[[#This Row],[Account ID]],Accounts[Plaid Account ID],Accounts[Name],"Not Found",0)</f>
        <v>RBC Staff Banking</v>
      </c>
      <c r="M466" t="str">
        <f>_xlfn.XLOOKUP(Transactions[[#This Row],[Account ID]],Accounts[Plaid Account ID],Accounts[Institution Name],"Not Found",0)</f>
        <v>RBC Royal Bank</v>
      </c>
      <c r="N466" t="str">
        <f>IF(Transactions[[#This Row],[Amount]]&lt;0,"credit","debit")</f>
        <v>debit</v>
      </c>
      <c r="O466" t="str" cm="1">
        <f t="array" ref="O46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6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45422</v>
      </c>
      <c r="Q466" s="3">
        <f>DATE(YEAR(Transactions[[#This Row],[Datetime]]),MONTH(Transactions[[#This Row],[Datetime]]),1)</f>
        <v>45413</v>
      </c>
      <c r="R466" t="b">
        <f ca="1">AND(Transactions[[#This Row],[Datetime]]&gt;=EDATE(MAX(Transactions[Datetime]),-6),Transactions[[#This Row],[Datetime]]&lt;=TODAY())</f>
        <v>1</v>
      </c>
      <c r="S466" s="6">
        <f ca="1">AVERAGEIFS(Transactions[Month''s Total],Transactions[Recent],TRUE,Transactions[Custom Category],Transactions[[#This Row],[Custom Category]])</f>
        <v>12758.461333333335</v>
      </c>
      <c r="T466">
        <f>SUMIFS(Transactions[Amount],Transactions[Month],Transactions[[#This Row],[Month]],Transactions[Custom Category],Transactions[[#This Row],[Custom Category]])</f>
        <v>17658.5</v>
      </c>
      <c r="U46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66">
        <f>IF(Transactions[[#This Row],[Month]]=Sel_Month,Transactions[[#This Row],[Amount]],0)</f>
        <v>142</v>
      </c>
    </row>
    <row r="467" spans="1:22" x14ac:dyDescent="0.25">
      <c r="A467" t="s">
        <v>61</v>
      </c>
      <c r="B467" t="s">
        <v>66</v>
      </c>
      <c r="C467">
        <v>-5000</v>
      </c>
      <c r="D467" t="s">
        <v>99</v>
      </c>
      <c r="E467" t="s">
        <v>1094</v>
      </c>
      <c r="F467" t="s">
        <v>69</v>
      </c>
      <c r="H467" t="s">
        <v>163</v>
      </c>
      <c r="I467" t="s">
        <v>71</v>
      </c>
      <c r="J467" t="b">
        <v>0</v>
      </c>
      <c r="K467" t="s">
        <v>164</v>
      </c>
      <c r="L467" t="str">
        <f>_xlfn.XLOOKUP(Transactions[[#This Row],[Account ID]],Accounts[Plaid Account ID],Accounts[Name],"Not Found",0)</f>
        <v>RBC Staff Banking</v>
      </c>
      <c r="M467" t="str">
        <f>_xlfn.XLOOKUP(Transactions[[#This Row],[Account ID]],Accounts[Plaid Account ID],Accounts[Institution Name],"Not Found",0)</f>
        <v>RBC Royal Bank</v>
      </c>
      <c r="N467" t="str">
        <f>IF(Transactions[[#This Row],[Amount]]&lt;0,"credit","debit")</f>
        <v>credit</v>
      </c>
      <c r="O467" t="str" cm="1">
        <f t="array" ref="O46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6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45422</v>
      </c>
      <c r="Q467" s="3">
        <f>DATE(YEAR(Transactions[[#This Row],[Datetime]]),MONTH(Transactions[[#This Row],[Datetime]]),1)</f>
        <v>45413</v>
      </c>
      <c r="R467" t="b">
        <f ca="1">AND(Transactions[[#This Row],[Datetime]]&gt;=EDATE(MAX(Transactions[Datetime]),-6),Transactions[[#This Row],[Datetime]]&lt;=TODAY())</f>
        <v>1</v>
      </c>
      <c r="S467" s="6">
        <f ca="1">AVERAGEIFS(Transactions[Month''s Total],Transactions[Recent],TRUE,Transactions[Custom Category],Transactions[[#This Row],[Custom Category]])</f>
        <v>-18125.097037037034</v>
      </c>
      <c r="T467">
        <f>SUMIFS(Transactions[Amount],Transactions[Month],Transactions[[#This Row],[Month]],Transactions[Custom Category],Transactions[[#This Row],[Custom Category]])</f>
        <v>-22459.99</v>
      </c>
      <c r="U46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67">
        <f>IF(Transactions[[#This Row],[Month]]=Sel_Month,Transactions[[#This Row],[Amount]],0)</f>
        <v>-5000</v>
      </c>
    </row>
    <row r="468" spans="1:22" x14ac:dyDescent="0.25">
      <c r="A468" t="s">
        <v>61</v>
      </c>
      <c r="B468" t="s">
        <v>66</v>
      </c>
      <c r="C468">
        <v>153.32</v>
      </c>
      <c r="D468" t="s">
        <v>165</v>
      </c>
      <c r="E468" t="s">
        <v>1094</v>
      </c>
      <c r="F468" t="s">
        <v>69</v>
      </c>
      <c r="G468" t="s">
        <v>166</v>
      </c>
      <c r="H468" t="s">
        <v>167</v>
      </c>
      <c r="I468" t="s">
        <v>132</v>
      </c>
      <c r="J468" t="b">
        <v>0</v>
      </c>
      <c r="K468" t="s">
        <v>168</v>
      </c>
      <c r="L468" t="str">
        <f>_xlfn.XLOOKUP(Transactions[[#This Row],[Account ID]],Accounts[Plaid Account ID],Accounts[Name],"Not Found",0)</f>
        <v>RBC Staff Banking</v>
      </c>
      <c r="M468" t="str">
        <f>_xlfn.XLOOKUP(Transactions[[#This Row],[Account ID]],Accounts[Plaid Account ID],Accounts[Institution Name],"Not Found",0)</f>
        <v>RBC Royal Bank</v>
      </c>
      <c r="N468" t="str">
        <f>IF(Transactions[[#This Row],[Amount]]&lt;0,"credit","debit")</f>
        <v>debit</v>
      </c>
      <c r="O468" t="str" cm="1">
        <f t="array" ref="O46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Utilities,Electric</v>
      </c>
      <c r="P46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45422</v>
      </c>
      <c r="Q468" s="3">
        <f>DATE(YEAR(Transactions[[#This Row],[Datetime]]),MONTH(Transactions[[#This Row],[Datetime]]),1)</f>
        <v>45413</v>
      </c>
      <c r="R468" t="b">
        <f ca="1">AND(Transactions[[#This Row],[Datetime]]&gt;=EDATE(MAX(Transactions[Datetime]),-6),Transactions[[#This Row],[Datetime]]&lt;=TODAY())</f>
        <v>1</v>
      </c>
      <c r="S468" s="6">
        <f ca="1">AVERAGEIFS(Transactions[Month''s Total],Transactions[Recent],TRUE,Transactions[Custom Category],Transactions[[#This Row],[Custom Category]])</f>
        <v>139.88333333333333</v>
      </c>
      <c r="T468">
        <f>SUMIFS(Transactions[Amount],Transactions[Month],Transactions[[#This Row],[Month]],Transactions[Custom Category],Transactions[[#This Row],[Custom Category]])</f>
        <v>153.32</v>
      </c>
      <c r="U468">
        <f ca="1">IF(COUNTIF(Budgets[Custom Category],Transactions[[#This Row],[Custom Category]])=0,Transactions[[#This Row],[6M AVG]],_xlfn.XLOOKUP(Transactions[[#This Row],[Custom Category]],Budgets[Custom Category],Budgets[Monthly],0,0))</f>
        <v>139.88333333333333</v>
      </c>
      <c r="V468">
        <f>IF(Transactions[[#This Row],[Month]]=Sel_Month,Transactions[[#This Row],[Amount]],0)</f>
        <v>153.32</v>
      </c>
    </row>
    <row r="469" spans="1:22" x14ac:dyDescent="0.25">
      <c r="A469" t="s">
        <v>61</v>
      </c>
      <c r="B469" t="s">
        <v>66</v>
      </c>
      <c r="C469">
        <v>5254.58</v>
      </c>
      <c r="D469" t="s">
        <v>67</v>
      </c>
      <c r="E469" t="s">
        <v>1093</v>
      </c>
      <c r="F469" t="s">
        <v>69</v>
      </c>
      <c r="H469" t="s">
        <v>147</v>
      </c>
      <c r="I469" t="s">
        <v>71</v>
      </c>
      <c r="J469" t="b">
        <v>0</v>
      </c>
      <c r="K469" t="s">
        <v>148</v>
      </c>
      <c r="L469" t="str">
        <f>_xlfn.XLOOKUP(Transactions[[#This Row],[Account ID]],Accounts[Plaid Account ID],Accounts[Name],"Not Found",0)</f>
        <v>RBC Staff Banking</v>
      </c>
      <c r="M469" t="str">
        <f>_xlfn.XLOOKUP(Transactions[[#This Row],[Account ID]],Accounts[Plaid Account ID],Accounts[Institution Name],"Not Found",0)</f>
        <v>RBC Royal Bank</v>
      </c>
      <c r="N469" t="str">
        <f>IF(Transactions[[#This Row],[Amount]]&lt;0,"credit","debit")</f>
        <v>debit</v>
      </c>
      <c r="O469" t="str" cm="1">
        <f t="array" ref="O46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6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45423</v>
      </c>
      <c r="Q469" s="3">
        <f>DATE(YEAR(Transactions[[#This Row],[Datetime]]),MONTH(Transactions[[#This Row],[Datetime]]),1)</f>
        <v>45413</v>
      </c>
      <c r="R469" t="b">
        <f ca="1">AND(Transactions[[#This Row],[Datetime]]&gt;=EDATE(MAX(Transactions[Datetime]),-6),Transactions[[#This Row],[Datetime]]&lt;=TODAY())</f>
        <v>1</v>
      </c>
      <c r="S469" s="6">
        <f ca="1">AVERAGEIFS(Transactions[Month''s Total],Transactions[Recent],TRUE,Transactions[Custom Category],Transactions[[#This Row],[Custom Category]])</f>
        <v>14532.989714285719</v>
      </c>
      <c r="T469">
        <f>SUMIFS(Transactions[Amount],Transactions[Month],Transactions[[#This Row],[Month]],Transactions[Custom Category],Transactions[[#This Row],[Custom Category]])</f>
        <v>25434.52</v>
      </c>
      <c r="U469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69">
        <f>IF(Transactions[[#This Row],[Month]]=Sel_Month,Transactions[[#This Row],[Amount]],0)</f>
        <v>5254.58</v>
      </c>
    </row>
    <row r="470" spans="1:22" x14ac:dyDescent="0.25">
      <c r="A470" t="s">
        <v>61</v>
      </c>
      <c r="B470" t="s">
        <v>66</v>
      </c>
      <c r="C470">
        <v>-5407.9</v>
      </c>
      <c r="D470" t="s">
        <v>149</v>
      </c>
      <c r="E470" t="s">
        <v>1093</v>
      </c>
      <c r="F470" t="s">
        <v>69</v>
      </c>
      <c r="H470" t="s">
        <v>150</v>
      </c>
      <c r="I470" t="s">
        <v>71</v>
      </c>
      <c r="J470" t="b">
        <v>0</v>
      </c>
      <c r="K470" t="s">
        <v>151</v>
      </c>
      <c r="L470" t="str">
        <f>_xlfn.XLOOKUP(Transactions[[#This Row],[Account ID]],Accounts[Plaid Account ID],Accounts[Name],"Not Found",0)</f>
        <v>RBC Staff Banking</v>
      </c>
      <c r="M470" t="str">
        <f>_xlfn.XLOOKUP(Transactions[[#This Row],[Account ID]],Accounts[Plaid Account ID],Accounts[Institution Name],"Not Found",0)</f>
        <v>RBC Royal Bank</v>
      </c>
      <c r="N470" t="str">
        <f>IF(Transactions[[#This Row],[Amount]]&lt;0,"credit","debit")</f>
        <v>credit</v>
      </c>
      <c r="O470" t="str" cm="1">
        <f t="array" ref="O47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7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45423</v>
      </c>
      <c r="Q470" s="3">
        <f>DATE(YEAR(Transactions[[#This Row],[Datetime]]),MONTH(Transactions[[#This Row],[Datetime]]),1)</f>
        <v>45413</v>
      </c>
      <c r="R470" t="b">
        <f ca="1">AND(Transactions[[#This Row],[Datetime]]&gt;=EDATE(MAX(Transactions[Datetime]),-6),Transactions[[#This Row],[Datetime]]&lt;=TODAY())</f>
        <v>1</v>
      </c>
      <c r="S470" s="6">
        <f ca="1">AVERAGEIFS(Transactions[Month''s Total],Transactions[Recent],TRUE,Transactions[Custom Category],Transactions[[#This Row],[Custom Category]])</f>
        <v>-18125.097037037034</v>
      </c>
      <c r="T470">
        <f>SUMIFS(Transactions[Amount],Transactions[Month],Transactions[[#This Row],[Month]],Transactions[Custom Category],Transactions[[#This Row],[Custom Category]])</f>
        <v>-22459.99</v>
      </c>
      <c r="U470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70">
        <f>IF(Transactions[[#This Row],[Month]]=Sel_Month,Transactions[[#This Row],[Amount]],0)</f>
        <v>-5407.9</v>
      </c>
    </row>
    <row r="471" spans="1:22" x14ac:dyDescent="0.25">
      <c r="A471" t="s">
        <v>61</v>
      </c>
      <c r="B471" t="s">
        <v>66</v>
      </c>
      <c r="C471">
        <v>153.29</v>
      </c>
      <c r="D471" t="s">
        <v>152</v>
      </c>
      <c r="E471" t="s">
        <v>1093</v>
      </c>
      <c r="F471" t="s">
        <v>69</v>
      </c>
      <c r="G471" t="s">
        <v>153</v>
      </c>
      <c r="H471" t="s">
        <v>154</v>
      </c>
      <c r="I471" t="s">
        <v>132</v>
      </c>
      <c r="J471" t="b">
        <v>0</v>
      </c>
      <c r="K471" t="s">
        <v>155</v>
      </c>
      <c r="L471" t="str">
        <f>_xlfn.XLOOKUP(Transactions[[#This Row],[Account ID]],Accounts[Plaid Account ID],Accounts[Name],"Not Found",0)</f>
        <v>RBC Staff Banking</v>
      </c>
      <c r="M471" t="str">
        <f>_xlfn.XLOOKUP(Transactions[[#This Row],[Account ID]],Accounts[Plaid Account ID],Accounts[Institution Name],"Not Found",0)</f>
        <v>RBC Royal Bank</v>
      </c>
      <c r="N471" t="str">
        <f>IF(Transactions[[#This Row],[Amount]]&lt;0,"credit","debit")</f>
        <v>debit</v>
      </c>
      <c r="O471" t="str" cm="1">
        <f t="array" ref="O47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Utilities,Gas</v>
      </c>
      <c r="P47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45423</v>
      </c>
      <c r="Q471" s="3">
        <f>DATE(YEAR(Transactions[[#This Row],[Datetime]]),MONTH(Transactions[[#This Row],[Datetime]]),1)</f>
        <v>45413</v>
      </c>
      <c r="R471" t="b">
        <f ca="1">AND(Transactions[[#This Row],[Datetime]]&gt;=EDATE(MAX(Transactions[Datetime]),-6),Transactions[[#This Row],[Datetime]]&lt;=TODAY())</f>
        <v>1</v>
      </c>
      <c r="S471" s="6">
        <f ca="1">AVERAGEIFS(Transactions[Month''s Total],Transactions[Recent],TRUE,Transactions[Custom Category],Transactions[[#This Row],[Custom Category]])</f>
        <v>153.08333333333331</v>
      </c>
      <c r="T471">
        <f>SUMIFS(Transactions[Amount],Transactions[Month],Transactions[[#This Row],[Month]],Transactions[Custom Category],Transactions[[#This Row],[Custom Category]])</f>
        <v>153.29</v>
      </c>
      <c r="U471">
        <f ca="1">IF(COUNTIF(Budgets[Custom Category],Transactions[[#This Row],[Custom Category]])=0,Transactions[[#This Row],[6M AVG]],_xlfn.XLOOKUP(Transactions[[#This Row],[Custom Category]],Budgets[Custom Category],Budgets[Monthly],0,0))</f>
        <v>153.08333333333331</v>
      </c>
      <c r="V471">
        <f>IF(Transactions[[#This Row],[Month]]=Sel_Month,Transactions[[#This Row],[Amount]],0)</f>
        <v>153.29</v>
      </c>
    </row>
    <row r="472" spans="1:22" x14ac:dyDescent="0.25">
      <c r="A472" t="s">
        <v>63</v>
      </c>
      <c r="B472" t="s">
        <v>66</v>
      </c>
      <c r="C472">
        <v>3.7</v>
      </c>
      <c r="D472" t="s">
        <v>963</v>
      </c>
      <c r="E472" t="s">
        <v>1093</v>
      </c>
      <c r="F472" t="s">
        <v>69</v>
      </c>
      <c r="G472" t="s">
        <v>964</v>
      </c>
      <c r="H472" t="s">
        <v>965</v>
      </c>
      <c r="I472" t="s">
        <v>109</v>
      </c>
      <c r="J472" t="b">
        <v>0</v>
      </c>
      <c r="K472" t="s">
        <v>966</v>
      </c>
      <c r="L472" t="str">
        <f>_xlfn.XLOOKUP(Transactions[[#This Row],[Account ID]],Accounts[Plaid Account ID],Accounts[Name],"Not Found",0)</f>
        <v>WestJet RBC World Elite Mastercard</v>
      </c>
      <c r="M472" t="str">
        <f>_xlfn.XLOOKUP(Transactions[[#This Row],[Account ID]],Accounts[Plaid Account ID],Accounts[Institution Name],"Not Found",0)</f>
        <v>RBC Royal Bank</v>
      </c>
      <c r="N472" t="str">
        <f>IF(Transactions[[#This Row],[Amount]]&lt;0,"credit","debit")</f>
        <v>debit</v>
      </c>
      <c r="O472" t="str" cm="1">
        <f t="array" ref="O47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Travel, Public Transportation Services</v>
      </c>
      <c r="P47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45423</v>
      </c>
      <c r="Q472" s="3">
        <f>DATE(YEAR(Transactions[[#This Row],[Datetime]]),MONTH(Transactions[[#This Row],[Datetime]]),1)</f>
        <v>45413</v>
      </c>
      <c r="R472" t="b">
        <f ca="1">AND(Transactions[[#This Row],[Datetime]]&gt;=EDATE(MAX(Transactions[Datetime]),-6),Transactions[[#This Row],[Datetime]]&lt;=TODAY())</f>
        <v>1</v>
      </c>
      <c r="S472" s="6">
        <f ca="1">AVERAGEIFS(Transactions[Month''s Total],Transactions[Recent],TRUE,Transactions[Custom Category],Transactions[[#This Row],[Custom Category]])</f>
        <v>11.100000000000001</v>
      </c>
      <c r="T472">
        <f>SUMIFS(Transactions[Amount],Transactions[Month],Transactions[[#This Row],[Month]],Transactions[Custom Category],Transactions[[#This Row],[Custom Category]])</f>
        <v>3.7</v>
      </c>
      <c r="U472">
        <f ca="1">IF(COUNTIF(Budgets[Custom Category],Transactions[[#This Row],[Custom Category]])=0,Transactions[[#This Row],[6M AVG]],_xlfn.XLOOKUP(Transactions[[#This Row],[Custom Category]],Budgets[Custom Category],Budgets[Monthly],0,0))</f>
        <v>11.100000000000001</v>
      </c>
      <c r="V472">
        <f>IF(Transactions[[#This Row],[Month]]=Sel_Month,Transactions[[#This Row],[Amount]],0)</f>
        <v>3.7</v>
      </c>
    </row>
    <row r="473" spans="1:22" x14ac:dyDescent="0.25">
      <c r="A473" t="s">
        <v>63</v>
      </c>
      <c r="B473" t="s">
        <v>66</v>
      </c>
      <c r="C473">
        <v>-20.78</v>
      </c>
      <c r="D473" t="s">
        <v>958</v>
      </c>
      <c r="E473" t="s">
        <v>1093</v>
      </c>
      <c r="F473" t="s">
        <v>69</v>
      </c>
      <c r="G473" t="s">
        <v>960</v>
      </c>
      <c r="H473" t="s">
        <v>960</v>
      </c>
      <c r="I473" t="s">
        <v>71</v>
      </c>
      <c r="J473" t="b">
        <v>0</v>
      </c>
      <c r="K473" t="s">
        <v>967</v>
      </c>
      <c r="L473" t="str">
        <f>_xlfn.XLOOKUP(Transactions[[#This Row],[Account ID]],Accounts[Plaid Account ID],Accounts[Name],"Not Found",0)</f>
        <v>WestJet RBC World Elite Mastercard</v>
      </c>
      <c r="M473" t="str">
        <f>_xlfn.XLOOKUP(Transactions[[#This Row],[Account ID]],Accounts[Plaid Account ID],Accounts[Institution Name],"Not Found",0)</f>
        <v>RBC Royal Bank</v>
      </c>
      <c r="N473" t="str">
        <f>IF(Transactions[[#This Row],[Amount]]&lt;0,"credit","debit")</f>
        <v>credit</v>
      </c>
      <c r="O473" t="str" cm="1">
        <f t="array" ref="O47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7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45423</v>
      </c>
      <c r="Q473" s="3">
        <f>DATE(YEAR(Transactions[[#This Row],[Datetime]]),MONTH(Transactions[[#This Row],[Datetime]]),1)</f>
        <v>45413</v>
      </c>
      <c r="R473" t="b">
        <f ca="1">AND(Transactions[[#This Row],[Datetime]]&gt;=EDATE(MAX(Transactions[Datetime]),-6),Transactions[[#This Row],[Datetime]]&lt;=TODAY())</f>
        <v>1</v>
      </c>
      <c r="S473" s="6">
        <f ca="1">AVERAGEIFS(Transactions[Month''s Total],Transactions[Recent],TRUE,Transactions[Custom Category],Transactions[[#This Row],[Custom Category]])</f>
        <v>128.65625000000003</v>
      </c>
      <c r="T473">
        <f>SUMIFS(Transactions[Amount],Transactions[Month],Transactions[[#This Row],[Month]],Transactions[Custom Category],Transactions[[#This Row],[Custom Category]])</f>
        <v>98.41</v>
      </c>
      <c r="U473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73">
        <f>IF(Transactions[[#This Row],[Month]]=Sel_Month,Transactions[[#This Row],[Amount]],0)</f>
        <v>-20.78</v>
      </c>
    </row>
    <row r="474" spans="1:22" x14ac:dyDescent="0.25">
      <c r="A474" t="s">
        <v>22</v>
      </c>
      <c r="B474" t="s">
        <v>66</v>
      </c>
      <c r="C474">
        <v>4846.71</v>
      </c>
      <c r="D474" t="s">
        <v>67</v>
      </c>
      <c r="E474" t="s">
        <v>1086</v>
      </c>
      <c r="F474" t="s">
        <v>69</v>
      </c>
      <c r="H474" t="s">
        <v>70</v>
      </c>
      <c r="I474" t="s">
        <v>71</v>
      </c>
      <c r="J474" t="b">
        <v>0</v>
      </c>
      <c r="K474" t="s">
        <v>93</v>
      </c>
      <c r="L474" t="str">
        <f>_xlfn.XLOOKUP(Transactions[[#This Row],[Account ID]],Accounts[Plaid Account ID],Accounts[Name],"Not Found",0)</f>
        <v>Preferred Package</v>
      </c>
      <c r="M474" t="str">
        <f>_xlfn.XLOOKUP(Transactions[[#This Row],[Account ID]],Accounts[Plaid Account ID],Accounts[Institution Name],"Not Found",0)</f>
        <v>Scotiabank</v>
      </c>
      <c r="N474" t="str">
        <f>IF(Transactions[[#This Row],[Amount]]&lt;0,"credit","debit")</f>
        <v>debit</v>
      </c>
      <c r="O474" t="str" cm="1">
        <f t="array" ref="O47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7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45425</v>
      </c>
      <c r="Q474" s="3">
        <f>DATE(YEAR(Transactions[[#This Row],[Datetime]]),MONTH(Transactions[[#This Row],[Datetime]]),1)</f>
        <v>45413</v>
      </c>
      <c r="R474" t="b">
        <f ca="1">AND(Transactions[[#This Row],[Datetime]]&gt;=EDATE(MAX(Transactions[Datetime]),-6),Transactions[[#This Row],[Datetime]]&lt;=TODAY())</f>
        <v>1</v>
      </c>
      <c r="S474" s="6">
        <f ca="1">AVERAGEIFS(Transactions[Month''s Total],Transactions[Recent],TRUE,Transactions[Custom Category],Transactions[[#This Row],[Custom Category]])</f>
        <v>12758.461333333335</v>
      </c>
      <c r="T474">
        <f>SUMIFS(Transactions[Amount],Transactions[Month],Transactions[[#This Row],[Month]],Transactions[Custom Category],Transactions[[#This Row],[Custom Category]])</f>
        <v>17658.5</v>
      </c>
      <c r="U474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74">
        <f>IF(Transactions[[#This Row],[Month]]=Sel_Month,Transactions[[#This Row],[Amount]],0)</f>
        <v>4846.71</v>
      </c>
    </row>
    <row r="475" spans="1:22" x14ac:dyDescent="0.25">
      <c r="A475" t="s">
        <v>22</v>
      </c>
      <c r="B475" t="s">
        <v>66</v>
      </c>
      <c r="C475">
        <v>-4846.71</v>
      </c>
      <c r="D475" t="s">
        <v>73</v>
      </c>
      <c r="E475" t="s">
        <v>1086</v>
      </c>
      <c r="F475" t="s">
        <v>69</v>
      </c>
      <c r="H475" t="s">
        <v>74</v>
      </c>
      <c r="I475" t="s">
        <v>71</v>
      </c>
      <c r="J475" t="b">
        <v>0</v>
      </c>
      <c r="K475" t="s">
        <v>94</v>
      </c>
      <c r="L475" t="str">
        <f>_xlfn.XLOOKUP(Transactions[[#This Row],[Account ID]],Accounts[Plaid Account ID],Accounts[Name],"Not Found",0)</f>
        <v>Preferred Package</v>
      </c>
      <c r="M475" t="str">
        <f>_xlfn.XLOOKUP(Transactions[[#This Row],[Account ID]],Accounts[Plaid Account ID],Accounts[Institution Name],"Not Found",0)</f>
        <v>Scotiabank</v>
      </c>
      <c r="N475" t="str">
        <f>IF(Transactions[[#This Row],[Amount]]&lt;0,"credit","debit")</f>
        <v>credit</v>
      </c>
      <c r="O475" t="str" cm="1">
        <f t="array" ref="O47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47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45425</v>
      </c>
      <c r="Q475" s="3">
        <f>DATE(YEAR(Transactions[[#This Row],[Datetime]]),MONTH(Transactions[[#This Row],[Datetime]]),1)</f>
        <v>45413</v>
      </c>
      <c r="R475" t="b">
        <f ca="1">AND(Transactions[[#This Row],[Datetime]]&gt;=EDATE(MAX(Transactions[Datetime]),-6),Transactions[[#This Row],[Datetime]]&lt;=TODAY())</f>
        <v>1</v>
      </c>
      <c r="S475" s="6">
        <f ca="1">AVERAGEIFS(Transactions[Month''s Total],Transactions[Recent],TRUE,Transactions[Custom Category],Transactions[[#This Row],[Custom Category]])</f>
        <v>-12680.457777777781</v>
      </c>
      <c r="T475">
        <f>SUMIFS(Transactions[Amount],Transactions[Month],Transactions[[#This Row],[Month]],Transactions[Custom Category],Transactions[[#This Row],[Custom Category]])</f>
        <v>-15758.130000000001</v>
      </c>
      <c r="U475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475">
        <f>IF(Transactions[[#This Row],[Month]]=Sel_Month,Transactions[[#This Row],[Amount]],0)</f>
        <v>-4846.71</v>
      </c>
    </row>
    <row r="476" spans="1:22" x14ac:dyDescent="0.25">
      <c r="A476" t="s">
        <v>61</v>
      </c>
      <c r="B476" t="s">
        <v>66</v>
      </c>
      <c r="C476">
        <v>-5000</v>
      </c>
      <c r="D476" t="s">
        <v>99</v>
      </c>
      <c r="E476" t="s">
        <v>1086</v>
      </c>
      <c r="F476" t="s">
        <v>69</v>
      </c>
      <c r="H476" t="s">
        <v>142</v>
      </c>
      <c r="I476" t="s">
        <v>71</v>
      </c>
      <c r="J476" t="b">
        <v>0</v>
      </c>
      <c r="K476" t="s">
        <v>143</v>
      </c>
      <c r="L476" t="str">
        <f>_xlfn.XLOOKUP(Transactions[[#This Row],[Account ID]],Accounts[Plaid Account ID],Accounts[Name],"Not Found",0)</f>
        <v>RBC Staff Banking</v>
      </c>
      <c r="M476" t="str">
        <f>_xlfn.XLOOKUP(Transactions[[#This Row],[Account ID]],Accounts[Plaid Account ID],Accounts[Institution Name],"Not Found",0)</f>
        <v>RBC Royal Bank</v>
      </c>
      <c r="N476" t="str">
        <f>IF(Transactions[[#This Row],[Amount]]&lt;0,"credit","debit")</f>
        <v>credit</v>
      </c>
      <c r="O476" t="str" cm="1">
        <f t="array" ref="O47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7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45425</v>
      </c>
      <c r="Q476" s="3">
        <f>DATE(YEAR(Transactions[[#This Row],[Datetime]]),MONTH(Transactions[[#This Row],[Datetime]]),1)</f>
        <v>45413</v>
      </c>
      <c r="R476" t="b">
        <f ca="1">AND(Transactions[[#This Row],[Datetime]]&gt;=EDATE(MAX(Transactions[Datetime]),-6),Transactions[[#This Row],[Datetime]]&lt;=TODAY())</f>
        <v>1</v>
      </c>
      <c r="S476" s="6">
        <f ca="1">AVERAGEIFS(Transactions[Month''s Total],Transactions[Recent],TRUE,Transactions[Custom Category],Transactions[[#This Row],[Custom Category]])</f>
        <v>-18125.097037037034</v>
      </c>
      <c r="T476">
        <f>SUMIFS(Transactions[Amount],Transactions[Month],Transactions[[#This Row],[Month]],Transactions[Custom Category],Transactions[[#This Row],[Custom Category]])</f>
        <v>-22459.99</v>
      </c>
      <c r="U476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76">
        <f>IF(Transactions[[#This Row],[Month]]=Sel_Month,Transactions[[#This Row],[Amount]],0)</f>
        <v>-5000</v>
      </c>
    </row>
    <row r="477" spans="1:22" x14ac:dyDescent="0.25">
      <c r="A477" t="s">
        <v>61</v>
      </c>
      <c r="B477" t="s">
        <v>66</v>
      </c>
      <c r="C477">
        <v>4846.71</v>
      </c>
      <c r="D477" t="s">
        <v>67</v>
      </c>
      <c r="E477" t="s">
        <v>1086</v>
      </c>
      <c r="F477" t="s">
        <v>69</v>
      </c>
      <c r="H477" t="s">
        <v>144</v>
      </c>
      <c r="I477" t="s">
        <v>71</v>
      </c>
      <c r="J477" t="b">
        <v>0</v>
      </c>
      <c r="K477" t="s">
        <v>145</v>
      </c>
      <c r="L477" t="str">
        <f>_xlfn.XLOOKUP(Transactions[[#This Row],[Account ID]],Accounts[Plaid Account ID],Accounts[Name],"Not Found",0)</f>
        <v>RBC Staff Banking</v>
      </c>
      <c r="M477" t="str">
        <f>_xlfn.XLOOKUP(Transactions[[#This Row],[Account ID]],Accounts[Plaid Account ID],Accounts[Institution Name],"Not Found",0)</f>
        <v>RBC Royal Bank</v>
      </c>
      <c r="N477" t="str">
        <f>IF(Transactions[[#This Row],[Amount]]&lt;0,"credit","debit")</f>
        <v>debit</v>
      </c>
      <c r="O477" t="str" cm="1">
        <f t="array" ref="O47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7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45425</v>
      </c>
      <c r="Q477" s="3">
        <f>DATE(YEAR(Transactions[[#This Row],[Datetime]]),MONTH(Transactions[[#This Row],[Datetime]]),1)</f>
        <v>45413</v>
      </c>
      <c r="R477" t="b">
        <f ca="1">AND(Transactions[[#This Row],[Datetime]]&gt;=EDATE(MAX(Transactions[Datetime]),-6),Transactions[[#This Row],[Datetime]]&lt;=TODAY())</f>
        <v>1</v>
      </c>
      <c r="S477" s="6">
        <f ca="1">AVERAGEIFS(Transactions[Month''s Total],Transactions[Recent],TRUE,Transactions[Custom Category],Transactions[[#This Row],[Custom Category]])</f>
        <v>14532.989714285719</v>
      </c>
      <c r="T477">
        <f>SUMIFS(Transactions[Amount],Transactions[Month],Transactions[[#This Row],[Month]],Transactions[Custom Category],Transactions[[#This Row],[Custom Category]])</f>
        <v>25434.52</v>
      </c>
      <c r="U477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77">
        <f>IF(Transactions[[#This Row],[Month]]=Sel_Month,Transactions[[#This Row],[Amount]],0)</f>
        <v>4846.71</v>
      </c>
    </row>
    <row r="478" spans="1:22" x14ac:dyDescent="0.25">
      <c r="A478" t="s">
        <v>61</v>
      </c>
      <c r="B478" t="s">
        <v>66</v>
      </c>
      <c r="C478">
        <v>-500</v>
      </c>
      <c r="D478" t="s">
        <v>99</v>
      </c>
      <c r="E478" t="s">
        <v>1092</v>
      </c>
      <c r="F478" t="s">
        <v>69</v>
      </c>
      <c r="H478" t="s">
        <v>125</v>
      </c>
      <c r="I478" t="s">
        <v>71</v>
      </c>
      <c r="J478" t="b">
        <v>0</v>
      </c>
      <c r="K478" t="s">
        <v>126</v>
      </c>
      <c r="L478" t="str">
        <f>_xlfn.XLOOKUP(Transactions[[#This Row],[Account ID]],Accounts[Plaid Account ID],Accounts[Name],"Not Found",0)</f>
        <v>RBC Staff Banking</v>
      </c>
      <c r="M478" t="str">
        <f>_xlfn.XLOOKUP(Transactions[[#This Row],[Account ID]],Accounts[Plaid Account ID],Accounts[Institution Name],"Not Found",0)</f>
        <v>RBC Royal Bank</v>
      </c>
      <c r="N478" t="str">
        <f>IF(Transactions[[#This Row],[Amount]]&lt;0,"credit","debit")</f>
        <v>credit</v>
      </c>
      <c r="O478" t="str" cm="1">
        <f t="array" ref="O47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7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45426</v>
      </c>
      <c r="Q478" s="3">
        <f>DATE(YEAR(Transactions[[#This Row],[Datetime]]),MONTH(Transactions[[#This Row],[Datetime]]),1)</f>
        <v>45413</v>
      </c>
      <c r="R478" t="b">
        <f ca="1">AND(Transactions[[#This Row],[Datetime]]&gt;=EDATE(MAX(Transactions[Datetime]),-6),Transactions[[#This Row],[Datetime]]&lt;=TODAY())</f>
        <v>1</v>
      </c>
      <c r="S478" s="6">
        <f ca="1">AVERAGEIFS(Transactions[Month''s Total],Transactions[Recent],TRUE,Transactions[Custom Category],Transactions[[#This Row],[Custom Category]])</f>
        <v>-18125.097037037034</v>
      </c>
      <c r="T478">
        <f>SUMIFS(Transactions[Amount],Transactions[Month],Transactions[[#This Row],[Month]],Transactions[Custom Category],Transactions[[#This Row],[Custom Category]])</f>
        <v>-22459.99</v>
      </c>
      <c r="U478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78">
        <f>IF(Transactions[[#This Row],[Month]]=Sel_Month,Transactions[[#This Row],[Amount]],0)</f>
        <v>-500</v>
      </c>
    </row>
    <row r="479" spans="1:22" x14ac:dyDescent="0.25">
      <c r="A479" t="s">
        <v>61</v>
      </c>
      <c r="B479" t="s">
        <v>66</v>
      </c>
      <c r="C479">
        <v>500</v>
      </c>
      <c r="D479" t="s">
        <v>67</v>
      </c>
      <c r="E479" t="s">
        <v>1092</v>
      </c>
      <c r="F479" t="s">
        <v>69</v>
      </c>
      <c r="H479" t="s">
        <v>127</v>
      </c>
      <c r="I479" t="s">
        <v>71</v>
      </c>
      <c r="J479" t="b">
        <v>0</v>
      </c>
      <c r="K479" t="s">
        <v>128</v>
      </c>
      <c r="L479" t="str">
        <f>_xlfn.XLOOKUP(Transactions[[#This Row],[Account ID]],Accounts[Plaid Account ID],Accounts[Name],"Not Found",0)</f>
        <v>RBC Staff Banking</v>
      </c>
      <c r="M479" t="str">
        <f>_xlfn.XLOOKUP(Transactions[[#This Row],[Account ID]],Accounts[Plaid Account ID],Accounts[Institution Name],"Not Found",0)</f>
        <v>RBC Royal Bank</v>
      </c>
      <c r="N479" t="str">
        <f>IF(Transactions[[#This Row],[Amount]]&lt;0,"credit","debit")</f>
        <v>debit</v>
      </c>
      <c r="O479" t="str" cm="1">
        <f t="array" ref="O47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7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45426</v>
      </c>
      <c r="Q479" s="3">
        <f>DATE(YEAR(Transactions[[#This Row],[Datetime]]),MONTH(Transactions[[#This Row],[Datetime]]),1)</f>
        <v>45413</v>
      </c>
      <c r="R479" t="b">
        <f ca="1">AND(Transactions[[#This Row],[Datetime]]&gt;=EDATE(MAX(Transactions[Datetime]),-6),Transactions[[#This Row],[Datetime]]&lt;=TODAY())</f>
        <v>1</v>
      </c>
      <c r="S479" s="6">
        <f ca="1">AVERAGEIFS(Transactions[Month''s Total],Transactions[Recent],TRUE,Transactions[Custom Category],Transactions[[#This Row],[Custom Category]])</f>
        <v>12758.461333333335</v>
      </c>
      <c r="T479">
        <f>SUMIFS(Transactions[Amount],Transactions[Month],Transactions[[#This Row],[Month]],Transactions[Custom Category],Transactions[[#This Row],[Custom Category]])</f>
        <v>17658.5</v>
      </c>
      <c r="U479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79">
        <f>IF(Transactions[[#This Row],[Month]]=Sel_Month,Transactions[[#This Row],[Amount]],0)</f>
        <v>500</v>
      </c>
    </row>
    <row r="480" spans="1:22" x14ac:dyDescent="0.25">
      <c r="A480" t="s">
        <v>61</v>
      </c>
      <c r="B480" t="s">
        <v>66</v>
      </c>
      <c r="C480">
        <v>438.75</v>
      </c>
      <c r="D480" t="s">
        <v>129</v>
      </c>
      <c r="E480" t="s">
        <v>1092</v>
      </c>
      <c r="F480" t="s">
        <v>69</v>
      </c>
      <c r="G480" t="s">
        <v>130</v>
      </c>
      <c r="H480" t="s">
        <v>131</v>
      </c>
      <c r="I480" t="s">
        <v>132</v>
      </c>
      <c r="J480" t="b">
        <v>0</v>
      </c>
      <c r="K480" t="s">
        <v>133</v>
      </c>
      <c r="L480" t="str">
        <f>_xlfn.XLOOKUP(Transactions[[#This Row],[Account ID]],Accounts[Plaid Account ID],Accounts[Name],"Not Found",0)</f>
        <v>RBC Staff Banking</v>
      </c>
      <c r="M480" t="str">
        <f>_xlfn.XLOOKUP(Transactions[[#This Row],[Account ID]],Accounts[Plaid Account ID],Accounts[Institution Name],"Not Found",0)</f>
        <v>RBC Royal Bank</v>
      </c>
      <c r="N480" t="str">
        <f>IF(Transactions[[#This Row],[Amount]]&lt;0,"credit","debit")</f>
        <v>debit</v>
      </c>
      <c r="O480" t="str" cm="1">
        <f t="array" ref="O48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Insurance,Car</v>
      </c>
      <c r="P48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45426</v>
      </c>
      <c r="Q480" s="3">
        <f>DATE(YEAR(Transactions[[#This Row],[Datetime]]),MONTH(Transactions[[#This Row],[Datetime]]),1)</f>
        <v>45413</v>
      </c>
      <c r="R480" t="b">
        <f ca="1">AND(Transactions[[#This Row],[Datetime]]&gt;=EDATE(MAX(Transactions[Datetime]),-6),Transactions[[#This Row],[Datetime]]&lt;=TODAY())</f>
        <v>1</v>
      </c>
      <c r="S480" s="6">
        <f ca="1">AVERAGEIFS(Transactions[Month''s Total],Transactions[Recent],TRUE,Transactions[Custom Category],Transactions[[#This Row],[Custom Category]])</f>
        <v>432.99599999999998</v>
      </c>
      <c r="T480">
        <f>SUMIFS(Transactions[Amount],Transactions[Month],Transactions[[#This Row],[Month]],Transactions[Custom Category],Transactions[[#This Row],[Custom Category]])</f>
        <v>438.75</v>
      </c>
      <c r="U480">
        <f ca="1">IF(COUNTIF(Budgets[Custom Category],Transactions[[#This Row],[Custom Category]])=0,Transactions[[#This Row],[6M AVG]],_xlfn.XLOOKUP(Transactions[[#This Row],[Custom Category]],Budgets[Custom Category],Budgets[Monthly],0,0))</f>
        <v>432.99599999999998</v>
      </c>
      <c r="V480">
        <f>IF(Transactions[[#This Row],[Month]]=Sel_Month,Transactions[[#This Row],[Amount]],0)</f>
        <v>438.75</v>
      </c>
    </row>
    <row r="481" spans="1:22" x14ac:dyDescent="0.25">
      <c r="A481" t="s">
        <v>61</v>
      </c>
      <c r="B481" t="s">
        <v>66</v>
      </c>
      <c r="C481">
        <v>324.55</v>
      </c>
      <c r="D481" t="s">
        <v>134</v>
      </c>
      <c r="E481" t="s">
        <v>1092</v>
      </c>
      <c r="F481" t="s">
        <v>69</v>
      </c>
      <c r="G481" t="s">
        <v>135</v>
      </c>
      <c r="H481" t="s">
        <v>136</v>
      </c>
      <c r="I481" t="s">
        <v>132</v>
      </c>
      <c r="J481" t="b">
        <v>0</v>
      </c>
      <c r="K481" t="s">
        <v>137</v>
      </c>
      <c r="L481" t="str">
        <f>_xlfn.XLOOKUP(Transactions[[#This Row],[Account ID]],Accounts[Plaid Account ID],Accounts[Name],"Not Found",0)</f>
        <v>RBC Staff Banking</v>
      </c>
      <c r="M481" t="str">
        <f>_xlfn.XLOOKUP(Transactions[[#This Row],[Account ID]],Accounts[Plaid Account ID],Accounts[Institution Name],"Not Found",0)</f>
        <v>RBC Royal Bank</v>
      </c>
      <c r="N481" t="str">
        <f>IF(Transactions[[#This Row],[Amount]]&lt;0,"credit","debit")</f>
        <v>debit</v>
      </c>
      <c r="O481" t="str" cm="1">
        <f t="array" ref="O48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48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45426</v>
      </c>
      <c r="Q481" s="3">
        <f>DATE(YEAR(Transactions[[#This Row],[Datetime]]),MONTH(Transactions[[#This Row],[Datetime]]),1)</f>
        <v>45413</v>
      </c>
      <c r="R481" t="b">
        <f ca="1">AND(Transactions[[#This Row],[Datetime]]&gt;=EDATE(MAX(Transactions[Datetime]),-6),Transactions[[#This Row],[Datetime]]&lt;=TODAY())</f>
        <v>1</v>
      </c>
      <c r="S481" s="6">
        <f ca="1">AVERAGEIFS(Transactions[Month''s Total],Transactions[Recent],TRUE,Transactions[Custom Category],Transactions[[#This Row],[Custom Category]])</f>
        <v>624.12818181818193</v>
      </c>
      <c r="T481">
        <f>SUMIFS(Transactions[Amount],Transactions[Month],Transactions[[#This Row],[Month]],Transactions[Custom Category],Transactions[[#This Row],[Custom Category]])</f>
        <v>649.1</v>
      </c>
      <c r="U481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481">
        <f>IF(Transactions[[#This Row],[Month]]=Sel_Month,Transactions[[#This Row],[Amount]],0)</f>
        <v>324.55</v>
      </c>
    </row>
    <row r="482" spans="1:22" x14ac:dyDescent="0.25">
      <c r="A482" t="s">
        <v>61</v>
      </c>
      <c r="B482" t="s">
        <v>66</v>
      </c>
      <c r="C482">
        <v>65.7</v>
      </c>
      <c r="D482" t="s">
        <v>129</v>
      </c>
      <c r="E482" t="s">
        <v>1092</v>
      </c>
      <c r="F482" t="s">
        <v>69</v>
      </c>
      <c r="G482" t="s">
        <v>138</v>
      </c>
      <c r="H482" t="s">
        <v>139</v>
      </c>
      <c r="I482" t="s">
        <v>132</v>
      </c>
      <c r="J482" t="b">
        <v>0</v>
      </c>
      <c r="K482" t="s">
        <v>140</v>
      </c>
      <c r="L482" t="str">
        <f>_xlfn.XLOOKUP(Transactions[[#This Row],[Account ID]],Accounts[Plaid Account ID],Accounts[Name],"Not Found",0)</f>
        <v>RBC Staff Banking</v>
      </c>
      <c r="M482" t="str">
        <f>_xlfn.XLOOKUP(Transactions[[#This Row],[Account ID]],Accounts[Plaid Account ID],Accounts[Institution Name],"Not Found",0)</f>
        <v>RBC Royal Bank</v>
      </c>
      <c r="N482" t="str">
        <f>IF(Transactions[[#This Row],[Amount]]&lt;0,"credit","debit")</f>
        <v>debit</v>
      </c>
      <c r="O482" t="str" cm="1">
        <f t="array" ref="O48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Insurance,Life</v>
      </c>
      <c r="P48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45426</v>
      </c>
      <c r="Q482" s="3">
        <f>DATE(YEAR(Transactions[[#This Row],[Datetime]]),MONTH(Transactions[[#This Row],[Datetime]]),1)</f>
        <v>45413</v>
      </c>
      <c r="R482" t="b">
        <f ca="1">AND(Transactions[[#This Row],[Datetime]]&gt;=EDATE(MAX(Transactions[Datetime]),-6),Transactions[[#This Row],[Datetime]]&lt;=TODAY())</f>
        <v>1</v>
      </c>
      <c r="S482" s="6">
        <f ca="1">AVERAGEIFS(Transactions[Month''s Total],Transactions[Recent],TRUE,Transactions[Custom Category],Transactions[[#This Row],[Custom Category]])</f>
        <v>65.7</v>
      </c>
      <c r="T482">
        <f>SUMIFS(Transactions[Amount],Transactions[Month],Transactions[[#This Row],[Month]],Transactions[Custom Category],Transactions[[#This Row],[Custom Category]])</f>
        <v>65.7</v>
      </c>
      <c r="U482">
        <f ca="1">IF(COUNTIF(Budgets[Custom Category],Transactions[[#This Row],[Custom Category]])=0,Transactions[[#This Row],[6M AVG]],_xlfn.XLOOKUP(Transactions[[#This Row],[Custom Category]],Budgets[Custom Category],Budgets[Monthly],0,0))</f>
        <v>65.7</v>
      </c>
      <c r="V482">
        <f>IF(Transactions[[#This Row],[Month]]=Sel_Month,Transactions[[#This Row],[Amount]],0)</f>
        <v>65.7</v>
      </c>
    </row>
    <row r="483" spans="1:22" x14ac:dyDescent="0.25">
      <c r="A483" t="s">
        <v>61</v>
      </c>
      <c r="B483" t="s">
        <v>66</v>
      </c>
      <c r="C483">
        <v>56.05</v>
      </c>
      <c r="D483" t="s">
        <v>129</v>
      </c>
      <c r="E483" t="s">
        <v>1092</v>
      </c>
      <c r="F483" t="s">
        <v>69</v>
      </c>
      <c r="G483" t="s">
        <v>130</v>
      </c>
      <c r="H483" t="s">
        <v>131</v>
      </c>
      <c r="I483" t="s">
        <v>132</v>
      </c>
      <c r="J483" t="b">
        <v>0</v>
      </c>
      <c r="K483" t="s">
        <v>141</v>
      </c>
      <c r="L483" t="str">
        <f>_xlfn.XLOOKUP(Transactions[[#This Row],[Account ID]],Accounts[Plaid Account ID],Accounts[Name],"Not Found",0)</f>
        <v>RBC Staff Banking</v>
      </c>
      <c r="M483" t="str">
        <f>_xlfn.XLOOKUP(Transactions[[#This Row],[Account ID]],Accounts[Plaid Account ID],Accounts[Institution Name],"Not Found",0)</f>
        <v>RBC Royal Bank</v>
      </c>
      <c r="N483" t="str">
        <f>IF(Transactions[[#This Row],[Amount]]&lt;0,"credit","debit")</f>
        <v>debit</v>
      </c>
      <c r="O483" t="str" cm="1">
        <f t="array" ref="O48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Insurance,Home</v>
      </c>
      <c r="P48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45426</v>
      </c>
      <c r="Q483" s="3">
        <f>DATE(YEAR(Transactions[[#This Row],[Datetime]]),MONTH(Transactions[[#This Row],[Datetime]]),1)</f>
        <v>45413</v>
      </c>
      <c r="R483" t="b">
        <f ca="1">AND(Transactions[[#This Row],[Datetime]]&gt;=EDATE(MAX(Transactions[Datetime]),-6),Transactions[[#This Row],[Datetime]]&lt;=TODAY())</f>
        <v>1</v>
      </c>
      <c r="S483" s="6">
        <f ca="1">AVERAGEIFS(Transactions[Month''s Total],Transactions[Recent],TRUE,Transactions[Custom Category],Transactions[[#This Row],[Custom Category]])</f>
        <v>57.905000000000001</v>
      </c>
      <c r="T483">
        <f>SUMIFS(Transactions[Amount],Transactions[Month],Transactions[[#This Row],[Month]],Transactions[Custom Category],Transactions[[#This Row],[Custom Category]])</f>
        <v>56.05</v>
      </c>
      <c r="U483">
        <f ca="1">IF(COUNTIF(Budgets[Custom Category],Transactions[[#This Row],[Custom Category]])=0,Transactions[[#This Row],[6M AVG]],_xlfn.XLOOKUP(Transactions[[#This Row],[Custom Category]],Budgets[Custom Category],Budgets[Monthly],0,0))</f>
        <v>57.905000000000001</v>
      </c>
      <c r="V483">
        <f>IF(Transactions[[#This Row],[Month]]=Sel_Month,Transactions[[#This Row],[Amount]],0)</f>
        <v>56.05</v>
      </c>
    </row>
    <row r="484" spans="1:22" x14ac:dyDescent="0.25">
      <c r="A484" t="s">
        <v>22</v>
      </c>
      <c r="B484" t="s">
        <v>66</v>
      </c>
      <c r="C484">
        <v>0.02</v>
      </c>
      <c r="D484" t="s">
        <v>95</v>
      </c>
      <c r="E484" t="s">
        <v>1087</v>
      </c>
      <c r="F484" t="s">
        <v>69</v>
      </c>
      <c r="H484" t="s">
        <v>97</v>
      </c>
      <c r="I484" t="s">
        <v>71</v>
      </c>
      <c r="J484" t="b">
        <v>0</v>
      </c>
      <c r="K484" t="s">
        <v>98</v>
      </c>
      <c r="L484" t="str">
        <f>_xlfn.XLOOKUP(Transactions[[#This Row],[Account ID]],Accounts[Plaid Account ID],Accounts[Name],"Not Found",0)</f>
        <v>Preferred Package</v>
      </c>
      <c r="M484" t="str">
        <f>_xlfn.XLOOKUP(Transactions[[#This Row],[Account ID]],Accounts[Plaid Account ID],Accounts[Institution Name],"Not Found",0)</f>
        <v>Scotiabank</v>
      </c>
      <c r="N484" t="str">
        <f>IF(Transactions[[#This Row],[Amount]]&lt;0,"credit","debit")</f>
        <v>debit</v>
      </c>
      <c r="O484" t="str" cm="1">
        <f t="array" ref="O48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48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45427</v>
      </c>
      <c r="Q484" s="3">
        <f>DATE(YEAR(Transactions[[#This Row],[Datetime]]),MONTH(Transactions[[#This Row],[Datetime]]),1)</f>
        <v>45413</v>
      </c>
      <c r="R484" t="b">
        <f ca="1">AND(Transactions[[#This Row],[Datetime]]&gt;=EDATE(MAX(Transactions[Datetime]),-6),Transactions[[#This Row],[Datetime]]&lt;=TODAY())</f>
        <v>1</v>
      </c>
      <c r="S484" s="6">
        <f ca="1">AVERAGEIFS(Transactions[Month''s Total],Transactions[Recent],TRUE,Transactions[Custom Category],Transactions[[#This Row],[Custom Category]])</f>
        <v>2.5077777777777777</v>
      </c>
      <c r="T484">
        <f>SUMIFS(Transactions[Amount],Transactions[Month],Transactions[[#This Row],[Month]],Transactions[Custom Category],Transactions[[#This Row],[Custom Category]])</f>
        <v>5.0999999999999996</v>
      </c>
      <c r="U484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484">
        <f>IF(Transactions[[#This Row],[Month]]=Sel_Month,Transactions[[#This Row],[Amount]],0)</f>
        <v>0.02</v>
      </c>
    </row>
    <row r="485" spans="1:22" x14ac:dyDescent="0.25">
      <c r="A485" t="s">
        <v>63</v>
      </c>
      <c r="B485" t="s">
        <v>66</v>
      </c>
      <c r="C485">
        <v>75</v>
      </c>
      <c r="D485" t="s">
        <v>958</v>
      </c>
      <c r="E485" t="s">
        <v>1087</v>
      </c>
      <c r="F485" t="s">
        <v>69</v>
      </c>
      <c r="G485" t="s">
        <v>960</v>
      </c>
      <c r="H485" t="s">
        <v>960</v>
      </c>
      <c r="I485" t="s">
        <v>132</v>
      </c>
      <c r="J485" t="b">
        <v>0</v>
      </c>
      <c r="K485" t="s">
        <v>962</v>
      </c>
      <c r="L485" t="str">
        <f>_xlfn.XLOOKUP(Transactions[[#This Row],[Account ID]],Accounts[Plaid Account ID],Accounts[Name],"Not Found",0)</f>
        <v>WestJet RBC World Elite Mastercard</v>
      </c>
      <c r="M485" t="str">
        <f>_xlfn.XLOOKUP(Transactions[[#This Row],[Account ID]],Accounts[Plaid Account ID],Accounts[Institution Name],"Not Found",0)</f>
        <v>RBC Royal Bank</v>
      </c>
      <c r="N485" t="str">
        <f>IF(Transactions[[#This Row],[Amount]]&lt;0,"credit","debit")</f>
        <v>debit</v>
      </c>
      <c r="O485" t="str" cm="1">
        <f t="array" ref="O48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8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45427</v>
      </c>
      <c r="Q485" s="3">
        <f>DATE(YEAR(Transactions[[#This Row],[Datetime]]),MONTH(Transactions[[#This Row],[Datetime]]),1)</f>
        <v>45413</v>
      </c>
      <c r="R485" t="b">
        <f ca="1">AND(Transactions[[#This Row],[Datetime]]&gt;=EDATE(MAX(Transactions[Datetime]),-6),Transactions[[#This Row],[Datetime]]&lt;=TODAY())</f>
        <v>1</v>
      </c>
      <c r="S485" s="6">
        <f ca="1">AVERAGEIFS(Transactions[Month''s Total],Transactions[Recent],TRUE,Transactions[Custom Category],Transactions[[#This Row],[Custom Category]])</f>
        <v>128.65625000000003</v>
      </c>
      <c r="T485">
        <f>SUMIFS(Transactions[Amount],Transactions[Month],Transactions[[#This Row],[Month]],Transactions[Custom Category],Transactions[[#This Row],[Custom Category]])</f>
        <v>98.41</v>
      </c>
      <c r="U485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85">
        <f>IF(Transactions[[#This Row],[Month]]=Sel_Month,Transactions[[#This Row],[Amount]],0)</f>
        <v>75</v>
      </c>
    </row>
    <row r="486" spans="1:22" x14ac:dyDescent="0.25">
      <c r="A486" t="s">
        <v>63</v>
      </c>
      <c r="B486" t="s">
        <v>66</v>
      </c>
      <c r="C486">
        <v>-39.97</v>
      </c>
      <c r="D486" t="s">
        <v>958</v>
      </c>
      <c r="E486" t="s">
        <v>1099</v>
      </c>
      <c r="F486" t="s">
        <v>69</v>
      </c>
      <c r="G486" t="s">
        <v>960</v>
      </c>
      <c r="H486" t="s">
        <v>960</v>
      </c>
      <c r="I486" t="s">
        <v>71</v>
      </c>
      <c r="J486" t="b">
        <v>0</v>
      </c>
      <c r="K486" t="s">
        <v>961</v>
      </c>
      <c r="L486" t="str">
        <f>_xlfn.XLOOKUP(Transactions[[#This Row],[Account ID]],Accounts[Plaid Account ID],Accounts[Name],"Not Found",0)</f>
        <v>WestJet RBC World Elite Mastercard</v>
      </c>
      <c r="M486" t="str">
        <f>_xlfn.XLOOKUP(Transactions[[#This Row],[Account ID]],Accounts[Plaid Account ID],Accounts[Institution Name],"Not Found",0)</f>
        <v>RBC Royal Bank</v>
      </c>
      <c r="N486" t="str">
        <f>IF(Transactions[[#This Row],[Amount]]&lt;0,"credit","debit")</f>
        <v>credit</v>
      </c>
      <c r="O486" t="str" cm="1">
        <f t="array" ref="O48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8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45428</v>
      </c>
      <c r="Q486" s="3">
        <f>DATE(YEAR(Transactions[[#This Row],[Datetime]]),MONTH(Transactions[[#This Row],[Datetime]]),1)</f>
        <v>45413</v>
      </c>
      <c r="R486" t="b">
        <f ca="1">AND(Transactions[[#This Row],[Datetime]]&gt;=EDATE(MAX(Transactions[Datetime]),-6),Transactions[[#This Row],[Datetime]]&lt;=TODAY())</f>
        <v>1</v>
      </c>
      <c r="S486" s="6">
        <f ca="1">AVERAGEIFS(Transactions[Month''s Total],Transactions[Recent],TRUE,Transactions[Custom Category],Transactions[[#This Row],[Custom Category]])</f>
        <v>128.65625000000003</v>
      </c>
      <c r="T486">
        <f>SUMIFS(Transactions[Amount],Transactions[Month],Transactions[[#This Row],[Month]],Transactions[Custom Category],Transactions[[#This Row],[Custom Category]])</f>
        <v>98.41</v>
      </c>
      <c r="U486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86">
        <f>IF(Transactions[[#This Row],[Month]]=Sel_Month,Transactions[[#This Row],[Amount]],0)</f>
        <v>-39.97</v>
      </c>
    </row>
    <row r="487" spans="1:22" x14ac:dyDescent="0.25">
      <c r="A487" t="s">
        <v>22</v>
      </c>
      <c r="B487" t="s">
        <v>66</v>
      </c>
      <c r="C487">
        <v>-0.02</v>
      </c>
      <c r="D487" t="s">
        <v>99</v>
      </c>
      <c r="E487" t="s">
        <v>1088</v>
      </c>
      <c r="F487" t="s">
        <v>69</v>
      </c>
      <c r="H487" t="s">
        <v>101</v>
      </c>
      <c r="I487" t="s">
        <v>71</v>
      </c>
      <c r="J487" t="b">
        <v>0</v>
      </c>
      <c r="K487" t="s">
        <v>102</v>
      </c>
      <c r="L487" t="str">
        <f>_xlfn.XLOOKUP(Transactions[[#This Row],[Account ID]],Accounts[Plaid Account ID],Accounts[Name],"Not Found",0)</f>
        <v>Preferred Package</v>
      </c>
      <c r="M487" t="str">
        <f>_xlfn.XLOOKUP(Transactions[[#This Row],[Account ID]],Accounts[Plaid Account ID],Accounts[Institution Name],"Not Found",0)</f>
        <v>Scotiabank</v>
      </c>
      <c r="N487" t="str">
        <f>IF(Transactions[[#This Row],[Amount]]&lt;0,"credit","debit")</f>
        <v>credit</v>
      </c>
      <c r="O487" t="str" cm="1">
        <f t="array" ref="O48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Credit</v>
      </c>
      <c r="P48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45429</v>
      </c>
      <c r="Q487" s="3">
        <f>DATE(YEAR(Transactions[[#This Row],[Datetime]]),MONTH(Transactions[[#This Row],[Datetime]]),1)</f>
        <v>45413</v>
      </c>
      <c r="R487" t="b">
        <f ca="1">AND(Transactions[[#This Row],[Datetime]]&gt;=EDATE(MAX(Transactions[Datetime]),-6),Transactions[[#This Row],[Datetime]]&lt;=TODAY())</f>
        <v>1</v>
      </c>
      <c r="S487" s="6">
        <f ca="1">AVERAGEIFS(Transactions[Month''s Total],Transactions[Recent],TRUE,Transactions[Custom Category],Transactions[[#This Row],[Custom Category]])</f>
        <v>-333.34666666666664</v>
      </c>
      <c r="T487">
        <f>SUMIFS(Transactions[Amount],Transactions[Month],Transactions[[#This Row],[Month]],Transactions[Custom Category],Transactions[[#This Row],[Custom Category]])</f>
        <v>-0.02</v>
      </c>
      <c r="U487">
        <f ca="1">IF(COUNTIF(Budgets[Custom Category],Transactions[[#This Row],[Custom Category]])=0,Transactions[[#This Row],[6M AVG]],_xlfn.XLOOKUP(Transactions[[#This Row],[Custom Category]],Budgets[Custom Category],Budgets[Monthly],0,0))</f>
        <v>-333.34666666666664</v>
      </c>
      <c r="V487">
        <f>IF(Transactions[[#This Row],[Month]]=Sel_Month,Transactions[[#This Row],[Amount]],0)</f>
        <v>-0.02</v>
      </c>
    </row>
    <row r="488" spans="1:22" x14ac:dyDescent="0.25">
      <c r="A488" t="s">
        <v>61</v>
      </c>
      <c r="B488" t="s">
        <v>66</v>
      </c>
      <c r="C488">
        <v>-800</v>
      </c>
      <c r="D488" t="s">
        <v>99</v>
      </c>
      <c r="E488" t="s">
        <v>1088</v>
      </c>
      <c r="F488" t="s">
        <v>69</v>
      </c>
      <c r="H488" t="s">
        <v>120</v>
      </c>
      <c r="I488" t="s">
        <v>71</v>
      </c>
      <c r="J488" t="b">
        <v>0</v>
      </c>
      <c r="K488" t="s">
        <v>121</v>
      </c>
      <c r="L488" t="str">
        <f>_xlfn.XLOOKUP(Transactions[[#This Row],[Account ID]],Accounts[Plaid Account ID],Accounts[Name],"Not Found",0)</f>
        <v>RBC Staff Banking</v>
      </c>
      <c r="M488" t="str">
        <f>_xlfn.XLOOKUP(Transactions[[#This Row],[Account ID]],Accounts[Plaid Account ID],Accounts[Institution Name],"Not Found",0)</f>
        <v>RBC Royal Bank</v>
      </c>
      <c r="N488" t="str">
        <f>IF(Transactions[[#This Row],[Amount]]&lt;0,"credit","debit")</f>
        <v>credit</v>
      </c>
      <c r="O488" t="str" cm="1">
        <f t="array" ref="O48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48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45429</v>
      </c>
      <c r="Q488" s="3">
        <f>DATE(YEAR(Transactions[[#This Row],[Datetime]]),MONTH(Transactions[[#This Row],[Datetime]]),1)</f>
        <v>45413</v>
      </c>
      <c r="R488" t="b">
        <f ca="1">AND(Transactions[[#This Row],[Datetime]]&gt;=EDATE(MAX(Transactions[Datetime]),-6),Transactions[[#This Row],[Datetime]]&lt;=TODAY())</f>
        <v>1</v>
      </c>
      <c r="S488" s="6">
        <f ca="1">AVERAGEIFS(Transactions[Month''s Total],Transactions[Recent],TRUE,Transactions[Custom Category],Transactions[[#This Row],[Custom Category]])</f>
        <v>-3209.0714285714284</v>
      </c>
      <c r="T488">
        <f>SUMIFS(Transactions[Amount],Transactions[Month],Transactions[[#This Row],[Month]],Transactions[Custom Category],Transactions[[#This Row],[Custom Category]])</f>
        <v>-3266</v>
      </c>
      <c r="U488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488">
        <f>IF(Transactions[[#This Row],[Month]]=Sel_Month,Transactions[[#This Row],[Amount]],0)</f>
        <v>-800</v>
      </c>
    </row>
    <row r="489" spans="1:22" x14ac:dyDescent="0.25">
      <c r="A489" t="s">
        <v>61</v>
      </c>
      <c r="B489" t="s">
        <v>66</v>
      </c>
      <c r="C489">
        <v>-3489.09</v>
      </c>
      <c r="D489" t="s">
        <v>99</v>
      </c>
      <c r="E489" t="s">
        <v>1088</v>
      </c>
      <c r="F489" t="s">
        <v>69</v>
      </c>
      <c r="H489" t="s">
        <v>122</v>
      </c>
      <c r="I489" t="s">
        <v>71</v>
      </c>
      <c r="J489" t="b">
        <v>0</v>
      </c>
      <c r="K489" t="s">
        <v>123</v>
      </c>
      <c r="L489" t="str">
        <f>_xlfn.XLOOKUP(Transactions[[#This Row],[Account ID]],Accounts[Plaid Account ID],Accounts[Name],"Not Found",0)</f>
        <v>RBC Staff Banking</v>
      </c>
      <c r="M489" t="str">
        <f>_xlfn.XLOOKUP(Transactions[[#This Row],[Account ID]],Accounts[Plaid Account ID],Accounts[Institution Name],"Not Found",0)</f>
        <v>RBC Royal Bank</v>
      </c>
      <c r="N489" t="str">
        <f>IF(Transactions[[#This Row],[Amount]]&lt;0,"credit","debit")</f>
        <v>credit</v>
      </c>
      <c r="O489" t="str" cm="1">
        <f t="array" ref="O48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8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45429</v>
      </c>
      <c r="Q489" s="3">
        <f>DATE(YEAR(Transactions[[#This Row],[Datetime]]),MONTH(Transactions[[#This Row],[Datetime]]),1)</f>
        <v>45413</v>
      </c>
      <c r="R489" t="b">
        <f ca="1">AND(Transactions[[#This Row],[Datetime]]&gt;=EDATE(MAX(Transactions[Datetime]),-6),Transactions[[#This Row],[Datetime]]&lt;=TODAY())</f>
        <v>1</v>
      </c>
      <c r="S489" s="6">
        <f ca="1">AVERAGEIFS(Transactions[Month''s Total],Transactions[Recent],TRUE,Transactions[Custom Category],Transactions[[#This Row],[Custom Category]])</f>
        <v>-18125.097037037034</v>
      </c>
      <c r="T489">
        <f>SUMIFS(Transactions[Amount],Transactions[Month],Transactions[[#This Row],[Month]],Transactions[Custom Category],Transactions[[#This Row],[Custom Category]])</f>
        <v>-22459.99</v>
      </c>
      <c r="U489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89">
        <f>IF(Transactions[[#This Row],[Month]]=Sel_Month,Transactions[[#This Row],[Amount]],0)</f>
        <v>-3489.09</v>
      </c>
    </row>
    <row r="490" spans="1:22" x14ac:dyDescent="0.25">
      <c r="A490" t="s">
        <v>61</v>
      </c>
      <c r="B490" t="s">
        <v>66</v>
      </c>
      <c r="C490">
        <v>5.08</v>
      </c>
      <c r="D490" t="s">
        <v>95</v>
      </c>
      <c r="E490" t="s">
        <v>1091</v>
      </c>
      <c r="F490" t="s">
        <v>69</v>
      </c>
      <c r="H490" t="s">
        <v>118</v>
      </c>
      <c r="I490" t="s">
        <v>71</v>
      </c>
      <c r="J490" t="b">
        <v>0</v>
      </c>
      <c r="K490" t="s">
        <v>119</v>
      </c>
      <c r="L490" t="str">
        <f>_xlfn.XLOOKUP(Transactions[[#This Row],[Account ID]],Accounts[Plaid Account ID],Accounts[Name],"Not Found",0)</f>
        <v>RBC Staff Banking</v>
      </c>
      <c r="M490" t="str">
        <f>_xlfn.XLOOKUP(Transactions[[#This Row],[Account ID]],Accounts[Plaid Account ID],Accounts[Institution Name],"Not Found",0)</f>
        <v>RBC Royal Bank</v>
      </c>
      <c r="N490" t="str">
        <f>IF(Transactions[[#This Row],[Amount]]&lt;0,"credit","debit")</f>
        <v>debit</v>
      </c>
      <c r="O490" t="str" cm="1">
        <f t="array" ref="O49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Bank Fees</v>
      </c>
      <c r="P49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45430</v>
      </c>
      <c r="Q490" s="3">
        <f>DATE(YEAR(Transactions[[#This Row],[Datetime]]),MONTH(Transactions[[#This Row],[Datetime]]),1)</f>
        <v>45413</v>
      </c>
      <c r="R490" t="b">
        <f ca="1">AND(Transactions[[#This Row],[Datetime]]&gt;=EDATE(MAX(Transactions[Datetime]),-6),Transactions[[#This Row],[Datetime]]&lt;=TODAY())</f>
        <v>1</v>
      </c>
      <c r="S490" s="6">
        <f ca="1">AVERAGEIFS(Transactions[Month''s Total],Transactions[Recent],TRUE,Transactions[Custom Category],Transactions[[#This Row],[Custom Category]])</f>
        <v>2.5077777777777777</v>
      </c>
      <c r="T490">
        <f>SUMIFS(Transactions[Amount],Transactions[Month],Transactions[[#This Row],[Month]],Transactions[Custom Category],Transactions[[#This Row],[Custom Category]])</f>
        <v>5.0999999999999996</v>
      </c>
      <c r="U490">
        <f ca="1">IF(COUNTIF(Budgets[Custom Category],Transactions[[#This Row],[Custom Category]])=0,Transactions[[#This Row],[6M AVG]],_xlfn.XLOOKUP(Transactions[[#This Row],[Custom Category]],Budgets[Custom Category],Budgets[Monthly],0,0))</f>
        <v>2.5077777777777777</v>
      </c>
      <c r="V490">
        <f>IF(Transactions[[#This Row],[Month]]=Sel_Month,Transactions[[#This Row],[Amount]],0)</f>
        <v>5.08</v>
      </c>
    </row>
    <row r="491" spans="1:22" x14ac:dyDescent="0.25">
      <c r="A491" t="s">
        <v>22</v>
      </c>
      <c r="B491" t="s">
        <v>66</v>
      </c>
      <c r="C491">
        <v>5870</v>
      </c>
      <c r="D491" t="s">
        <v>67</v>
      </c>
      <c r="E491" t="s">
        <v>1089</v>
      </c>
      <c r="F491" t="s">
        <v>69</v>
      </c>
      <c r="H491" t="s">
        <v>70</v>
      </c>
      <c r="I491" t="s">
        <v>71</v>
      </c>
      <c r="J491" t="b">
        <v>0</v>
      </c>
      <c r="K491" t="s">
        <v>104</v>
      </c>
      <c r="L491" t="str">
        <f>_xlfn.XLOOKUP(Transactions[[#This Row],[Account ID]],Accounts[Plaid Account ID],Accounts[Name],"Not Found",0)</f>
        <v>Preferred Package</v>
      </c>
      <c r="M491" t="str">
        <f>_xlfn.XLOOKUP(Transactions[[#This Row],[Account ID]],Accounts[Plaid Account ID],Accounts[Institution Name],"Not Found",0)</f>
        <v>Scotiabank</v>
      </c>
      <c r="N491" t="str">
        <f>IF(Transactions[[#This Row],[Amount]]&lt;0,"credit","debit")</f>
        <v>debit</v>
      </c>
      <c r="O491" t="str" cm="1">
        <f t="array" ref="O49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9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45432</v>
      </c>
      <c r="Q491" s="3">
        <f>DATE(YEAR(Transactions[[#This Row],[Datetime]]),MONTH(Transactions[[#This Row],[Datetime]]),1)</f>
        <v>45413</v>
      </c>
      <c r="R491" t="b">
        <f ca="1">AND(Transactions[[#This Row],[Datetime]]&gt;=EDATE(MAX(Transactions[Datetime]),-6),Transactions[[#This Row],[Datetime]]&lt;=TODAY())</f>
        <v>1</v>
      </c>
      <c r="S491" s="6">
        <f ca="1">AVERAGEIFS(Transactions[Month''s Total],Transactions[Recent],TRUE,Transactions[Custom Category],Transactions[[#This Row],[Custom Category]])</f>
        <v>12758.461333333335</v>
      </c>
      <c r="T491">
        <f>SUMIFS(Transactions[Amount],Transactions[Month],Transactions[[#This Row],[Month]],Transactions[Custom Category],Transactions[[#This Row],[Custom Category]])</f>
        <v>17658.5</v>
      </c>
      <c r="U491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91">
        <f>IF(Transactions[[#This Row],[Month]]=Sel_Month,Transactions[[#This Row],[Amount]],0)</f>
        <v>5870</v>
      </c>
    </row>
    <row r="492" spans="1:22" x14ac:dyDescent="0.25">
      <c r="A492" t="s">
        <v>22</v>
      </c>
      <c r="B492" t="s">
        <v>66</v>
      </c>
      <c r="C492">
        <v>-7112.06</v>
      </c>
      <c r="D492" t="s">
        <v>73</v>
      </c>
      <c r="E492" t="s">
        <v>1089</v>
      </c>
      <c r="F492" t="s">
        <v>69</v>
      </c>
      <c r="H492" t="s">
        <v>74</v>
      </c>
      <c r="I492" t="s">
        <v>71</v>
      </c>
      <c r="J492" t="b">
        <v>0</v>
      </c>
      <c r="K492" t="s">
        <v>105</v>
      </c>
      <c r="L492" t="str">
        <f>_xlfn.XLOOKUP(Transactions[[#This Row],[Account ID]],Accounts[Plaid Account ID],Accounts[Name],"Not Found",0)</f>
        <v>Preferred Package</v>
      </c>
      <c r="M492" t="str">
        <f>_xlfn.XLOOKUP(Transactions[[#This Row],[Account ID]],Accounts[Plaid Account ID],Accounts[Institution Name],"Not Found",0)</f>
        <v>Scotiabank</v>
      </c>
      <c r="N492" t="str">
        <f>IF(Transactions[[#This Row],[Amount]]&lt;0,"credit","debit")</f>
        <v>credit</v>
      </c>
      <c r="O492" t="str" cm="1">
        <f t="array" ref="O49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Deposit</v>
      </c>
      <c r="P49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45432</v>
      </c>
      <c r="Q492" s="3">
        <f>DATE(YEAR(Transactions[[#This Row],[Datetime]]),MONTH(Transactions[[#This Row],[Datetime]]),1)</f>
        <v>45413</v>
      </c>
      <c r="R492" t="b">
        <f ca="1">AND(Transactions[[#This Row],[Datetime]]&gt;=EDATE(MAX(Transactions[Datetime]),-6),Transactions[[#This Row],[Datetime]]&lt;=TODAY())</f>
        <v>1</v>
      </c>
      <c r="S492" s="6">
        <f ca="1">AVERAGEIFS(Transactions[Month''s Total],Transactions[Recent],TRUE,Transactions[Custom Category],Transactions[[#This Row],[Custom Category]])</f>
        <v>-12680.457777777781</v>
      </c>
      <c r="T492">
        <f>SUMIFS(Transactions[Amount],Transactions[Month],Transactions[[#This Row],[Month]],Transactions[Custom Category],Transactions[[#This Row],[Custom Category]])</f>
        <v>-15758.130000000001</v>
      </c>
      <c r="U492">
        <f ca="1">IF(COUNTIF(Budgets[Custom Category],Transactions[[#This Row],[Custom Category]])=0,Transactions[[#This Row],[6M AVG]],_xlfn.XLOOKUP(Transactions[[#This Row],[Custom Category]],Budgets[Custom Category],Budgets[Monthly],0,0))</f>
        <v>-12680.457777777781</v>
      </c>
      <c r="V492">
        <f>IF(Transactions[[#This Row],[Month]]=Sel_Month,Transactions[[#This Row],[Amount]],0)</f>
        <v>-7112.06</v>
      </c>
    </row>
    <row r="493" spans="1:22" x14ac:dyDescent="0.25">
      <c r="A493" t="s">
        <v>61</v>
      </c>
      <c r="B493" t="s">
        <v>66</v>
      </c>
      <c r="C493">
        <v>7112.06</v>
      </c>
      <c r="D493" t="s">
        <v>67</v>
      </c>
      <c r="E493" t="s">
        <v>1089</v>
      </c>
      <c r="F493" t="s">
        <v>69</v>
      </c>
      <c r="H493" t="s">
        <v>111</v>
      </c>
      <c r="I493" t="s">
        <v>71</v>
      </c>
      <c r="J493" t="b">
        <v>0</v>
      </c>
      <c r="K493" t="s">
        <v>112</v>
      </c>
      <c r="L493" t="str">
        <f>_xlfn.XLOOKUP(Transactions[[#This Row],[Account ID]],Accounts[Plaid Account ID],Accounts[Name],"Not Found",0)</f>
        <v>RBC Staff Banking</v>
      </c>
      <c r="M493" t="str">
        <f>_xlfn.XLOOKUP(Transactions[[#This Row],[Account ID]],Accounts[Plaid Account ID],Accounts[Institution Name],"Not Found",0)</f>
        <v>RBC Royal Bank</v>
      </c>
      <c r="N493" t="str">
        <f>IF(Transactions[[#This Row],[Amount]]&lt;0,"credit","debit")</f>
        <v>debit</v>
      </c>
      <c r="O493" t="str" cm="1">
        <f t="array" ref="O493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Transfer,Internal</v>
      </c>
      <c r="P493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45432</v>
      </c>
      <c r="Q493" s="3">
        <f>DATE(YEAR(Transactions[[#This Row],[Datetime]]),MONTH(Transactions[[#This Row],[Datetime]]),1)</f>
        <v>45413</v>
      </c>
      <c r="R493" t="b">
        <f ca="1">AND(Transactions[[#This Row],[Datetime]]&gt;=EDATE(MAX(Transactions[Datetime]),-6),Transactions[[#This Row],[Datetime]]&lt;=TODAY())</f>
        <v>1</v>
      </c>
      <c r="S493" s="6">
        <f ca="1">AVERAGEIFS(Transactions[Month''s Total],Transactions[Recent],TRUE,Transactions[Custom Category],Transactions[[#This Row],[Custom Category]])</f>
        <v>14532.989714285719</v>
      </c>
      <c r="T493">
        <f>SUMIFS(Transactions[Amount],Transactions[Month],Transactions[[#This Row],[Month]],Transactions[Custom Category],Transactions[[#This Row],[Custom Category]])</f>
        <v>25434.52</v>
      </c>
      <c r="U493">
        <f ca="1">IF(COUNTIF(Budgets[Custom Category],Transactions[[#This Row],[Custom Category]])=0,Transactions[[#This Row],[6M AVG]],_xlfn.XLOOKUP(Transactions[[#This Row],[Custom Category]],Budgets[Custom Category],Budgets[Monthly],0,0))</f>
        <v>14532.989714285719</v>
      </c>
      <c r="V493">
        <f>IF(Transactions[[#This Row],[Month]]=Sel_Month,Transactions[[#This Row],[Amount]],0)</f>
        <v>7112.06</v>
      </c>
    </row>
    <row r="494" spans="1:22" x14ac:dyDescent="0.25">
      <c r="A494" t="s">
        <v>61</v>
      </c>
      <c r="B494" t="s">
        <v>66</v>
      </c>
      <c r="C494">
        <v>-3713.1</v>
      </c>
      <c r="D494" t="s">
        <v>113</v>
      </c>
      <c r="E494" t="s">
        <v>1089</v>
      </c>
      <c r="F494" t="s">
        <v>69</v>
      </c>
      <c r="G494" t="s">
        <v>114</v>
      </c>
      <c r="H494" t="s">
        <v>115</v>
      </c>
      <c r="I494" t="s">
        <v>109</v>
      </c>
      <c r="J494" t="b">
        <v>0</v>
      </c>
      <c r="K494" t="s">
        <v>116</v>
      </c>
      <c r="L494" t="str">
        <f>_xlfn.XLOOKUP(Transactions[[#This Row],[Account ID]],Accounts[Plaid Account ID],Accounts[Name],"Not Found",0)</f>
        <v>RBC Staff Banking</v>
      </c>
      <c r="M494" t="str">
        <f>_xlfn.XLOOKUP(Transactions[[#This Row],[Account ID]],Accounts[Plaid Account ID],Accounts[Institution Name],"Not Found",0)</f>
        <v>RBC Royal Bank</v>
      </c>
      <c r="N494" t="str">
        <f>IF(Transactions[[#This Row],[Amount]]&lt;0,"credit","debit")</f>
        <v>credit</v>
      </c>
      <c r="O494" t="str" cm="1">
        <f t="array" ref="O494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Income,Tax Refund</v>
      </c>
      <c r="P494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45432</v>
      </c>
      <c r="Q494" s="3">
        <f>DATE(YEAR(Transactions[[#This Row],[Datetime]]),MONTH(Transactions[[#This Row],[Datetime]]),1)</f>
        <v>45413</v>
      </c>
      <c r="R494" t="b">
        <f ca="1">AND(Transactions[[#This Row],[Datetime]]&gt;=EDATE(MAX(Transactions[Datetime]),-6),Transactions[[#This Row],[Datetime]]&lt;=TODAY())</f>
        <v>1</v>
      </c>
      <c r="S494" s="6">
        <f ca="1">AVERAGEIFS(Transactions[Month''s Total],Transactions[Recent],TRUE,Transactions[Custom Category],Transactions[[#This Row],[Custom Category]])</f>
        <v>-3713.1</v>
      </c>
      <c r="T494">
        <f>SUMIFS(Transactions[Amount],Transactions[Month],Transactions[[#This Row],[Month]],Transactions[Custom Category],Transactions[[#This Row],[Custom Category]])</f>
        <v>-3713.1</v>
      </c>
      <c r="U494">
        <f ca="1">IF(COUNTIF(Budgets[Custom Category],Transactions[[#This Row],[Custom Category]])=0,Transactions[[#This Row],[6M AVG]],_xlfn.XLOOKUP(Transactions[[#This Row],[Custom Category]],Budgets[Custom Category],Budgets[Monthly],0,0))</f>
        <v>-3713.1</v>
      </c>
      <c r="V494">
        <f>IF(Transactions[[#This Row],[Month]]=Sel_Month,Transactions[[#This Row],[Amount]],0)</f>
        <v>-3713.1</v>
      </c>
    </row>
    <row r="495" spans="1:22" x14ac:dyDescent="0.25">
      <c r="A495" t="s">
        <v>63</v>
      </c>
      <c r="B495" t="s">
        <v>66</v>
      </c>
      <c r="C495">
        <v>84.16</v>
      </c>
      <c r="D495" t="s">
        <v>958</v>
      </c>
      <c r="E495" t="s">
        <v>1102</v>
      </c>
      <c r="F495" t="s">
        <v>69</v>
      </c>
      <c r="G495" t="s">
        <v>960</v>
      </c>
      <c r="H495" t="s">
        <v>960</v>
      </c>
      <c r="I495" t="s">
        <v>132</v>
      </c>
      <c r="J495" t="b">
        <v>0</v>
      </c>
      <c r="K495" t="s">
        <v>1046</v>
      </c>
      <c r="L495" t="str">
        <f>_xlfn.XLOOKUP(Transactions[[#This Row],[Account ID]],Accounts[Plaid Account ID],Accounts[Name],"Not Found",0)</f>
        <v>WestJet RBC World Elite Mastercard</v>
      </c>
      <c r="M495" t="str">
        <f>_xlfn.XLOOKUP(Transactions[[#This Row],[Account ID]],Accounts[Plaid Account ID],Accounts[Institution Name],"Not Found",0)</f>
        <v>RBC Royal Bank</v>
      </c>
      <c r="N495" t="str">
        <f>IF(Transactions[[#This Row],[Amount]]&lt;0,"credit","debit")</f>
        <v>debit</v>
      </c>
      <c r="O495" t="str" cm="1">
        <f t="array" ref="O495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Home,Supplies</v>
      </c>
      <c r="P495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45436</v>
      </c>
      <c r="Q495" s="3">
        <f>DATE(YEAR(Transactions[[#This Row],[Datetime]]),MONTH(Transactions[[#This Row],[Datetime]]),1)</f>
        <v>45413</v>
      </c>
      <c r="R495" t="b">
        <f ca="1">AND(Transactions[[#This Row],[Datetime]]&gt;=EDATE(MAX(Transactions[Datetime]),-6),Transactions[[#This Row],[Datetime]]&lt;=TODAY())</f>
        <v>1</v>
      </c>
      <c r="S495" s="6">
        <f ca="1">AVERAGEIFS(Transactions[Month''s Total],Transactions[Recent],TRUE,Transactions[Custom Category],Transactions[[#This Row],[Custom Category]])</f>
        <v>128.65625000000003</v>
      </c>
      <c r="T495">
        <f>SUMIFS(Transactions[Amount],Transactions[Month],Transactions[[#This Row],[Month]],Transactions[Custom Category],Transactions[[#This Row],[Custom Category]])</f>
        <v>98.41</v>
      </c>
      <c r="U495">
        <f ca="1">IF(COUNTIF(Budgets[Custom Category],Transactions[[#This Row],[Custom Category]])=0,Transactions[[#This Row],[6M AVG]],_xlfn.XLOOKUP(Transactions[[#This Row],[Custom Category]],Budgets[Custom Category],Budgets[Monthly],0,0))</f>
        <v>128.65625000000003</v>
      </c>
      <c r="V495">
        <f>IF(Transactions[[#This Row],[Month]]=Sel_Month,Transactions[[#This Row],[Amount]],0)</f>
        <v>84.16</v>
      </c>
    </row>
    <row r="496" spans="1:22" x14ac:dyDescent="0.25">
      <c r="A496" t="s">
        <v>22</v>
      </c>
      <c r="B496" t="s">
        <v>66</v>
      </c>
      <c r="C496">
        <v>1241.79</v>
      </c>
      <c r="D496" t="s">
        <v>67</v>
      </c>
      <c r="E496" t="s">
        <v>1090</v>
      </c>
      <c r="F496" t="s">
        <v>69</v>
      </c>
      <c r="G496" t="s">
        <v>107</v>
      </c>
      <c r="H496" t="s">
        <v>108</v>
      </c>
      <c r="I496" t="s">
        <v>109</v>
      </c>
      <c r="J496" t="b">
        <v>0</v>
      </c>
      <c r="K496" t="s">
        <v>110</v>
      </c>
      <c r="L496" t="str">
        <f>_xlfn.XLOOKUP(Transactions[[#This Row],[Account ID]],Accounts[Plaid Account ID],Accounts[Name],"Not Found",0)</f>
        <v>Preferred Package</v>
      </c>
      <c r="M496" t="str">
        <f>_xlfn.XLOOKUP(Transactions[[#This Row],[Account ID]],Accounts[Plaid Account ID],Accounts[Institution Name],"Not Found",0)</f>
        <v>Scotiabank</v>
      </c>
      <c r="N496" t="str">
        <f>IF(Transactions[[#This Row],[Amount]]&lt;0,"credit","debit")</f>
        <v>debit</v>
      </c>
      <c r="O496" t="str" cm="1">
        <f t="array" ref="O496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496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45439</v>
      </c>
      <c r="Q496" s="3">
        <f>DATE(YEAR(Transactions[[#This Row],[Datetime]]),MONTH(Transactions[[#This Row],[Datetime]]),1)</f>
        <v>45413</v>
      </c>
      <c r="R496" t="b">
        <f ca="1">AND(Transactions[[#This Row],[Datetime]]&gt;=EDATE(MAX(Transactions[Datetime]),-6),Transactions[[#This Row],[Datetime]]&lt;=TODAY())</f>
        <v>1</v>
      </c>
      <c r="S496" s="6">
        <f ca="1">AVERAGEIFS(Transactions[Month''s Total],Transactions[Recent],TRUE,Transactions[Custom Category],Transactions[[#This Row],[Custom Category]])</f>
        <v>12758.461333333335</v>
      </c>
      <c r="T496">
        <f>SUMIFS(Transactions[Amount],Transactions[Month],Transactions[[#This Row],[Month]],Transactions[Custom Category],Transactions[[#This Row],[Custom Category]])</f>
        <v>17658.5</v>
      </c>
      <c r="U496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496">
        <f>IF(Transactions[[#This Row],[Month]]=Sel_Month,Transactions[[#This Row],[Amount]],0)</f>
        <v>1241.79</v>
      </c>
    </row>
    <row r="497" spans="1:22" x14ac:dyDescent="0.25">
      <c r="A497" t="s">
        <v>61</v>
      </c>
      <c r="B497" t="s">
        <v>66</v>
      </c>
      <c r="C497">
        <v>-2000</v>
      </c>
      <c r="D497" t="s">
        <v>99</v>
      </c>
      <c r="E497" t="s">
        <v>1098</v>
      </c>
      <c r="F497" t="s">
        <v>69</v>
      </c>
      <c r="H497" t="s">
        <v>924</v>
      </c>
      <c r="I497" t="s">
        <v>71</v>
      </c>
      <c r="J497" t="b">
        <v>0</v>
      </c>
      <c r="K497" t="s">
        <v>925</v>
      </c>
      <c r="L497" t="str">
        <f>_xlfn.XLOOKUP(Transactions[[#This Row],[Account ID]],Accounts[Plaid Account ID],Accounts[Name],"Not Found",0)</f>
        <v>RBC Staff Banking</v>
      </c>
      <c r="M497" t="str">
        <f>_xlfn.XLOOKUP(Transactions[[#This Row],[Account ID]],Accounts[Plaid Account ID],Accounts[Institution Name],"Not Found",0)</f>
        <v>RBC Royal Bank</v>
      </c>
      <c r="N497" t="str">
        <f>IF(Transactions[[#This Row],[Amount]]&lt;0,"credit","debit")</f>
        <v>credit</v>
      </c>
      <c r="O497" t="str" cm="1">
        <f t="array" ref="O497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Income,Salary</v>
      </c>
      <c r="P497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45443</v>
      </c>
      <c r="Q497" s="3">
        <f>DATE(YEAR(Transactions[[#This Row],[Datetime]]),MONTH(Transactions[[#This Row],[Datetime]]),1)</f>
        <v>45413</v>
      </c>
      <c r="R497" t="b">
        <f ca="1">AND(Transactions[[#This Row],[Datetime]]&gt;=EDATE(MAX(Transactions[Datetime]),-6),Transactions[[#This Row],[Datetime]]&lt;=TODAY())</f>
        <v>0</v>
      </c>
      <c r="S497" s="6">
        <f ca="1">AVERAGEIFS(Transactions[Month''s Total],Transactions[Recent],TRUE,Transactions[Custom Category],Transactions[[#This Row],[Custom Category]])</f>
        <v>-18125.097037037034</v>
      </c>
      <c r="T497">
        <f>SUMIFS(Transactions[Amount],Transactions[Month],Transactions[[#This Row],[Month]],Transactions[Custom Category],Transactions[[#This Row],[Custom Category]])</f>
        <v>-22459.99</v>
      </c>
      <c r="U497">
        <f ca="1">IF(COUNTIF(Budgets[Custom Category],Transactions[[#This Row],[Custom Category]])=0,Transactions[[#This Row],[6M AVG]],_xlfn.XLOOKUP(Transactions[[#This Row],[Custom Category]],Budgets[Custom Category],Budgets[Monthly],0,0))</f>
        <v>-18125.097037037034</v>
      </c>
      <c r="V497">
        <f>IF(Transactions[[#This Row],[Month]]=Sel_Month,Transactions[[#This Row],[Amount]],0)</f>
        <v>-2000</v>
      </c>
    </row>
    <row r="498" spans="1:22" x14ac:dyDescent="0.25">
      <c r="A498" t="s">
        <v>61</v>
      </c>
      <c r="B498" t="s">
        <v>66</v>
      </c>
      <c r="C498">
        <v>-1000</v>
      </c>
      <c r="D498" t="s">
        <v>99</v>
      </c>
      <c r="E498" t="s">
        <v>1098</v>
      </c>
      <c r="F498" t="s">
        <v>69</v>
      </c>
      <c r="H498" t="s">
        <v>926</v>
      </c>
      <c r="I498" t="s">
        <v>71</v>
      </c>
      <c r="J498" t="b">
        <v>0</v>
      </c>
      <c r="K498" t="s">
        <v>927</v>
      </c>
      <c r="L498" t="str">
        <f>_xlfn.XLOOKUP(Transactions[[#This Row],[Account ID]],Accounts[Plaid Account ID],Accounts[Name],"Not Found",0)</f>
        <v>RBC Staff Banking</v>
      </c>
      <c r="M498" t="str">
        <f>_xlfn.XLOOKUP(Transactions[[#This Row],[Account ID]],Accounts[Plaid Account ID],Accounts[Institution Name],"Not Found",0)</f>
        <v>RBC Royal Bank</v>
      </c>
      <c r="N498" t="str">
        <f>IF(Transactions[[#This Row],[Amount]]&lt;0,"credit","debit")</f>
        <v>credit</v>
      </c>
      <c r="O498" t="str" cm="1">
        <f t="array" ref="O498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498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45443</v>
      </c>
      <c r="Q498" s="3">
        <f>DATE(YEAR(Transactions[[#This Row],[Datetime]]),MONTH(Transactions[[#This Row],[Datetime]]),1)</f>
        <v>45413</v>
      </c>
      <c r="R498" t="b">
        <f ca="1">AND(Transactions[[#This Row],[Datetime]]&gt;=EDATE(MAX(Transactions[Datetime]),-6),Transactions[[#This Row],[Datetime]]&lt;=TODAY())</f>
        <v>0</v>
      </c>
      <c r="S498" s="6">
        <f ca="1">AVERAGEIFS(Transactions[Month''s Total],Transactions[Recent],TRUE,Transactions[Custom Category],Transactions[[#This Row],[Custom Category]])</f>
        <v>-3209.0714285714284</v>
      </c>
      <c r="T498">
        <f>SUMIFS(Transactions[Amount],Transactions[Month],Transactions[[#This Row],[Month]],Transactions[Custom Category],Transactions[[#This Row],[Custom Category]])</f>
        <v>-3266</v>
      </c>
      <c r="U498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498">
        <f>IF(Transactions[[#This Row],[Month]]=Sel_Month,Transactions[[#This Row],[Amount]],0)</f>
        <v>-1000</v>
      </c>
    </row>
    <row r="499" spans="1:22" x14ac:dyDescent="0.25">
      <c r="A499" t="s">
        <v>61</v>
      </c>
      <c r="B499" t="s">
        <v>66</v>
      </c>
      <c r="C499">
        <v>3690</v>
      </c>
      <c r="D499" t="s">
        <v>67</v>
      </c>
      <c r="E499" t="s">
        <v>1098</v>
      </c>
      <c r="F499" t="s">
        <v>69</v>
      </c>
      <c r="H499" t="s">
        <v>928</v>
      </c>
      <c r="I499" t="s">
        <v>71</v>
      </c>
      <c r="J499" t="b">
        <v>0</v>
      </c>
      <c r="K499" t="s">
        <v>929</v>
      </c>
      <c r="L499" t="str">
        <f>_xlfn.XLOOKUP(Transactions[[#This Row],[Account ID]],Accounts[Plaid Account ID],Accounts[Name],"Not Found",0)</f>
        <v>RBC Staff Banking</v>
      </c>
      <c r="M499" t="str">
        <f>_xlfn.XLOOKUP(Transactions[[#This Row],[Account ID]],Accounts[Plaid Account ID],Accounts[Institution Name],"Not Found",0)</f>
        <v>RBC Royal Bank</v>
      </c>
      <c r="N499" t="str">
        <f>IF(Transactions[[#This Row],[Amount]]&lt;0,"credit","debit")</f>
        <v>debit</v>
      </c>
      <c r="O499" t="str" cm="1">
        <f t="array" ref="O499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Rent</v>
      </c>
      <c r="P499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45443</v>
      </c>
      <c r="Q499" s="3">
        <f>DATE(YEAR(Transactions[[#This Row],[Datetime]]),MONTH(Transactions[[#This Row],[Datetime]]),1)</f>
        <v>45413</v>
      </c>
      <c r="R499" t="b">
        <f ca="1">AND(Transactions[[#This Row],[Datetime]]&gt;=EDATE(MAX(Transactions[Datetime]),-6),Transactions[[#This Row],[Datetime]]&lt;=TODAY())</f>
        <v>0</v>
      </c>
      <c r="S499" s="6">
        <f ca="1">AVERAGEIFS(Transactions[Month''s Total],Transactions[Recent],TRUE,Transactions[Custom Category],Transactions[[#This Row],[Custom Category]])</f>
        <v>5076</v>
      </c>
      <c r="T499">
        <f>SUMIFS(Transactions[Amount],Transactions[Month],Transactions[[#This Row],[Month]],Transactions[Custom Category],Transactions[[#This Row],[Custom Category]])</f>
        <v>3690</v>
      </c>
      <c r="U499">
        <f ca="1">IF(COUNTIF(Budgets[Custom Category],Transactions[[#This Row],[Custom Category]])=0,Transactions[[#This Row],[6M AVG]],_xlfn.XLOOKUP(Transactions[[#This Row],[Custom Category]],Budgets[Custom Category],Budgets[Monthly],0,0))</f>
        <v>5076</v>
      </c>
      <c r="V499">
        <f>IF(Transactions[[#This Row],[Month]]=Sel_Month,Transactions[[#This Row],[Amount]],0)</f>
        <v>3690</v>
      </c>
    </row>
    <row r="500" spans="1:22" x14ac:dyDescent="0.25">
      <c r="A500" t="s">
        <v>61</v>
      </c>
      <c r="B500" t="s">
        <v>66</v>
      </c>
      <c r="C500">
        <v>200</v>
      </c>
      <c r="D500" t="s">
        <v>67</v>
      </c>
      <c r="E500" t="s">
        <v>1098</v>
      </c>
      <c r="F500" t="s">
        <v>69</v>
      </c>
      <c r="H500" t="s">
        <v>930</v>
      </c>
      <c r="I500" t="s">
        <v>71</v>
      </c>
      <c r="J500" t="b">
        <v>0</v>
      </c>
      <c r="K500" t="s">
        <v>931</v>
      </c>
      <c r="L500" t="str">
        <f>_xlfn.XLOOKUP(Transactions[[#This Row],[Account ID]],Accounts[Plaid Account ID],Accounts[Name],"Not Found",0)</f>
        <v>RBC Staff Banking</v>
      </c>
      <c r="M500" t="str">
        <f>_xlfn.XLOOKUP(Transactions[[#This Row],[Account ID]],Accounts[Plaid Account ID],Accounts[Institution Name],"Not Found",0)</f>
        <v>RBC Royal Bank</v>
      </c>
      <c r="N500" t="str">
        <f>IF(Transactions[[#This Row],[Amount]]&lt;0,"credit","debit")</f>
        <v>debit</v>
      </c>
      <c r="O500" t="str" cm="1">
        <f t="array" ref="O500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Transfer, Debit</v>
      </c>
      <c r="P500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45443</v>
      </c>
      <c r="Q500" s="3">
        <f>DATE(YEAR(Transactions[[#This Row],[Datetime]]),MONTH(Transactions[[#This Row],[Datetime]]),1)</f>
        <v>45413</v>
      </c>
      <c r="R500" t="b">
        <f ca="1">AND(Transactions[[#This Row],[Datetime]]&gt;=EDATE(MAX(Transactions[Datetime]),-6),Transactions[[#This Row],[Datetime]]&lt;=TODAY())</f>
        <v>0</v>
      </c>
      <c r="S500" s="6">
        <f ca="1">AVERAGEIFS(Transactions[Month''s Total],Transactions[Recent],TRUE,Transactions[Custom Category],Transactions[[#This Row],[Custom Category]])</f>
        <v>12758.461333333335</v>
      </c>
      <c r="T500">
        <f>SUMIFS(Transactions[Amount],Transactions[Month],Transactions[[#This Row],[Month]],Transactions[Custom Category],Transactions[[#This Row],[Custom Category]])</f>
        <v>17658.5</v>
      </c>
      <c r="U500">
        <f ca="1">IF(COUNTIF(Budgets[Custom Category],Transactions[[#This Row],[Custom Category]])=0,Transactions[[#This Row],[6M AVG]],_xlfn.XLOOKUP(Transactions[[#This Row],[Custom Category]],Budgets[Custom Category],Budgets[Monthly],0,0))</f>
        <v>12758.461333333335</v>
      </c>
      <c r="V500">
        <f>IF(Transactions[[#This Row],[Month]]=Sel_Month,Transactions[[#This Row],[Amount]],0)</f>
        <v>200</v>
      </c>
    </row>
    <row r="501" spans="1:22" x14ac:dyDescent="0.25">
      <c r="A501" t="s">
        <v>61</v>
      </c>
      <c r="B501" t="s">
        <v>66</v>
      </c>
      <c r="C501">
        <v>-1370</v>
      </c>
      <c r="D501" t="s">
        <v>99</v>
      </c>
      <c r="E501" t="s">
        <v>1098</v>
      </c>
      <c r="F501" t="s">
        <v>69</v>
      </c>
      <c r="H501" t="s">
        <v>932</v>
      </c>
      <c r="I501" t="s">
        <v>71</v>
      </c>
      <c r="J501" t="b">
        <v>0</v>
      </c>
      <c r="K501" t="s">
        <v>933</v>
      </c>
      <c r="L501" t="str">
        <f>_xlfn.XLOOKUP(Transactions[[#This Row],[Account ID]],Accounts[Plaid Account ID],Accounts[Name],"Not Found",0)</f>
        <v>RBC Staff Banking</v>
      </c>
      <c r="M501" t="str">
        <f>_xlfn.XLOOKUP(Transactions[[#This Row],[Account ID]],Accounts[Plaid Account ID],Accounts[Institution Name],"Not Found",0)</f>
        <v>RBC Royal Bank</v>
      </c>
      <c r="N501" t="str">
        <f>IF(Transactions[[#This Row],[Amount]]&lt;0,"credit","debit")</f>
        <v>credit</v>
      </c>
      <c r="O501" t="str" cm="1">
        <f t="array" ref="O501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Income,Repayment</v>
      </c>
      <c r="P501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45443</v>
      </c>
      <c r="Q501" s="3">
        <f>DATE(YEAR(Transactions[[#This Row],[Datetime]]),MONTH(Transactions[[#This Row],[Datetime]]),1)</f>
        <v>45413</v>
      </c>
      <c r="R501" t="b">
        <f ca="1">AND(Transactions[[#This Row],[Datetime]]&gt;=EDATE(MAX(Transactions[Datetime]),-6),Transactions[[#This Row],[Datetime]]&lt;=TODAY())</f>
        <v>0</v>
      </c>
      <c r="S501" s="6">
        <f ca="1">AVERAGEIFS(Transactions[Month''s Total],Transactions[Recent],TRUE,Transactions[Custom Category],Transactions[[#This Row],[Custom Category]])</f>
        <v>-3209.0714285714284</v>
      </c>
      <c r="T501">
        <f>SUMIFS(Transactions[Amount],Transactions[Month],Transactions[[#This Row],[Month]],Transactions[Custom Category],Transactions[[#This Row],[Custom Category]])</f>
        <v>-3266</v>
      </c>
      <c r="U501">
        <f ca="1">IF(COUNTIF(Budgets[Custom Category],Transactions[[#This Row],[Custom Category]])=0,Transactions[[#This Row],[6M AVG]],_xlfn.XLOOKUP(Transactions[[#This Row],[Custom Category]],Budgets[Custom Category],Budgets[Monthly],0,0))</f>
        <v>-3209.0714285714284</v>
      </c>
      <c r="V501">
        <f>IF(Transactions[[#This Row],[Month]]=Sel_Month,Transactions[[#This Row],[Amount]],0)</f>
        <v>-1370</v>
      </c>
    </row>
    <row r="502" spans="1:22" x14ac:dyDescent="0.25">
      <c r="A502" t="s">
        <v>61</v>
      </c>
      <c r="B502" t="s">
        <v>66</v>
      </c>
      <c r="C502">
        <v>324.55</v>
      </c>
      <c r="D502" t="s">
        <v>134</v>
      </c>
      <c r="E502" t="s">
        <v>1098</v>
      </c>
      <c r="F502" t="s">
        <v>69</v>
      </c>
      <c r="G502" t="s">
        <v>135</v>
      </c>
      <c r="H502" t="s">
        <v>136</v>
      </c>
      <c r="I502" t="s">
        <v>132</v>
      </c>
      <c r="J502" t="b">
        <v>0</v>
      </c>
      <c r="K502" t="s">
        <v>934</v>
      </c>
      <c r="L502" t="str">
        <f>_xlfn.XLOOKUP(Transactions[[#This Row],[Account ID]],Accounts[Plaid Account ID],Accounts[Name],"Not Found",0)</f>
        <v>RBC Staff Banking</v>
      </c>
      <c r="M502" t="str">
        <f>_xlfn.XLOOKUP(Transactions[[#This Row],[Account ID]],Accounts[Plaid Account ID],Accounts[Institution Name],"Not Found",0)</f>
        <v>RBC Royal Bank</v>
      </c>
      <c r="N502" t="str">
        <f>IF(Transactions[[#This Row],[Amount]]&lt;0,"credit","debit")</f>
        <v>debit</v>
      </c>
      <c r="O502" t="str" cm="1">
        <f t="array" ref="O502">IF(
    ISNUMBER(MATCH(Transactions[[#This Row],[Categories]], _xlfn._xlws.FILTER(Custom_Cat[Name], LEN(Custom_Cat[Name]) &gt;= 3), 0)),
    INDEX(Custom_Cat[Custom Category], MATCH(Transactions[[#This Row],[Categories]], _xlfn._xlws.FILTER(Custom_Cat[Name], LEN(Custom_Cat[Name]) &gt;= 3), 0)),
    IFERROR(
        INDEX(
            Custom_Cat[Custom Category],
            MATCH(
                1,
                (ISNUMBER(SEARCH(LOWER(Custom_Cat[Name]), LOWER(Transactions[[#This Row],[Name]]))))
                * (LEN(Custom_Cat[Name]) &gt;= 3)
                * (
                    (IF(LEFT(Custom_Cat[Amount],1)="&lt;",Transactions[[#This Row],[Amount]]&lt;VALUE(MID(Custom_Cat[Amount], 2, LEN(Custom_Cat[Amount])-1)),TRUE))
                    * (IF(LEFT(Custom_Cat[Amount],1)="&gt;",Transactions[[#This Row],[Amount]]&gt;VALUE(MID(Custom_Cat[Amount], 2, LEN(Custom_Cat[Amount])-1)),TRUE))
                ),
                0
            )
        ),
        Transactions[[#This Row],[Categories]]
    )
)</f>
        <v>Loans,Car</v>
      </c>
      <c r="P502" s="3">
        <f>DATE(LEFT(Transactions[[#This Row],[Date]],4),MID(Transactions[[#This Row],[Date]],6,2),MID(Transactions[[#This Row],[Date]],9,2))+IF(RIGHT(Transactions[[#This Row],[Date]],2)="pm",IF(MID(Transactions[[#This Row],[Date]],12,2)&lt;12,0.5,0),IF(MID(Transactions[[#This Row],[Date]],12,2)=12,-0.5,0))</f>
        <v>45443</v>
      </c>
      <c r="Q502" s="3">
        <f>DATE(YEAR(Transactions[[#This Row],[Datetime]]),MONTH(Transactions[[#This Row],[Datetime]]),1)</f>
        <v>45413</v>
      </c>
      <c r="R502" t="b">
        <f ca="1">AND(Transactions[[#This Row],[Datetime]]&gt;=EDATE(MAX(Transactions[Datetime]),-6),Transactions[[#This Row],[Datetime]]&lt;=TODAY())</f>
        <v>0</v>
      </c>
      <c r="S502" s="6">
        <f ca="1">AVERAGEIFS(Transactions[Month''s Total],Transactions[Recent],TRUE,Transactions[Custom Category],Transactions[[#This Row],[Custom Category]])</f>
        <v>624.12818181818193</v>
      </c>
      <c r="T502">
        <f>SUMIFS(Transactions[Amount],Transactions[Month],Transactions[[#This Row],[Month]],Transactions[Custom Category],Transactions[[#This Row],[Custom Category]])</f>
        <v>649.1</v>
      </c>
      <c r="U502">
        <f ca="1">IF(COUNTIF(Budgets[Custom Category],Transactions[[#This Row],[Custom Category]])=0,Transactions[[#This Row],[6M AVG]],_xlfn.XLOOKUP(Transactions[[#This Row],[Custom Category]],Budgets[Custom Category],Budgets[Monthly],0,0))</f>
        <v>624.12818181818193</v>
      </c>
      <c r="V502">
        <f>IF(Transactions[[#This Row],[Month]]=Sel_Month,Transactions[[#This Row],[Amount]],0)</f>
        <v>324.55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ECD2-A274-46BE-BFC1-4129AF181C77}">
  <dimension ref="A1:D26"/>
  <sheetViews>
    <sheetView workbookViewId="0">
      <selection activeCell="D1" sqref="D1"/>
    </sheetView>
  </sheetViews>
  <sheetFormatPr defaultRowHeight="15" x14ac:dyDescent="0.25"/>
  <cols>
    <col min="1" max="1" width="13" customWidth="1"/>
    <col min="4" max="4" width="16" bestFit="1" customWidth="1"/>
  </cols>
  <sheetData>
    <row r="1" spans="1:4" x14ac:dyDescent="0.25">
      <c r="A1" t="s">
        <v>1074</v>
      </c>
      <c r="B1" t="s">
        <v>1082</v>
      </c>
      <c r="D1" s="9" cm="1">
        <f t="array" ref="D1:D26">_xlfn.UNIQUE(Transactions[Month])</f>
        <v>44652</v>
      </c>
    </row>
    <row r="2" spans="1:4" x14ac:dyDescent="0.25">
      <c r="A2" t="s">
        <v>1076</v>
      </c>
      <c r="B2">
        <v>30</v>
      </c>
      <c r="D2" s="9">
        <v>44682</v>
      </c>
    </row>
    <row r="3" spans="1:4" x14ac:dyDescent="0.25">
      <c r="A3" t="s">
        <v>1075</v>
      </c>
      <c r="B3">
        <v>4</v>
      </c>
      <c r="D3" s="9">
        <v>44713</v>
      </c>
    </row>
    <row r="4" spans="1:4" x14ac:dyDescent="0.25">
      <c r="A4" t="s">
        <v>1077</v>
      </c>
      <c r="B4">
        <v>2</v>
      </c>
      <c r="D4" s="9">
        <v>44743</v>
      </c>
    </row>
    <row r="5" spans="1:4" x14ac:dyDescent="0.25">
      <c r="A5" t="s">
        <v>1078</v>
      </c>
      <c r="B5">
        <v>1</v>
      </c>
      <c r="D5" s="9">
        <v>44774</v>
      </c>
    </row>
    <row r="6" spans="1:4" x14ac:dyDescent="0.25">
      <c r="A6" t="s">
        <v>1079</v>
      </c>
      <c r="B6">
        <f>1/3</f>
        <v>0.33333333333333331</v>
      </c>
      <c r="D6" s="9">
        <v>44805</v>
      </c>
    </row>
    <row r="7" spans="1:4" x14ac:dyDescent="0.25">
      <c r="A7" t="s">
        <v>1080</v>
      </c>
      <c r="B7">
        <f>1/6</f>
        <v>0.16666666666666666</v>
      </c>
      <c r="D7" s="9">
        <v>44835</v>
      </c>
    </row>
    <row r="8" spans="1:4" x14ac:dyDescent="0.25">
      <c r="A8" t="s">
        <v>1081</v>
      </c>
      <c r="B8">
        <f>1/12</f>
        <v>8.3333333333333329E-2</v>
      </c>
      <c r="D8" s="9">
        <v>44866</v>
      </c>
    </row>
    <row r="9" spans="1:4" x14ac:dyDescent="0.25">
      <c r="D9" s="9">
        <v>44896</v>
      </c>
    </row>
    <row r="10" spans="1:4" x14ac:dyDescent="0.25">
      <c r="D10" s="9">
        <v>44927</v>
      </c>
    </row>
    <row r="11" spans="1:4" x14ac:dyDescent="0.25">
      <c r="D11" s="9">
        <v>44958</v>
      </c>
    </row>
    <row r="12" spans="1:4" x14ac:dyDescent="0.25">
      <c r="D12" s="9">
        <v>44986</v>
      </c>
    </row>
    <row r="13" spans="1:4" x14ac:dyDescent="0.25">
      <c r="D13" s="9">
        <v>45017</v>
      </c>
    </row>
    <row r="14" spans="1:4" x14ac:dyDescent="0.25">
      <c r="D14" s="9">
        <v>45047</v>
      </c>
    </row>
    <row r="15" spans="1:4" x14ac:dyDescent="0.25">
      <c r="D15" s="9">
        <v>45078</v>
      </c>
    </row>
    <row r="16" spans="1:4" x14ac:dyDescent="0.25">
      <c r="D16" s="9">
        <v>45108</v>
      </c>
    </row>
    <row r="17" spans="4:4" x14ac:dyDescent="0.25">
      <c r="D17" s="9">
        <v>45139</v>
      </c>
    </row>
    <row r="18" spans="4:4" x14ac:dyDescent="0.25">
      <c r="D18" s="9">
        <v>45170</v>
      </c>
    </row>
    <row r="19" spans="4:4" x14ac:dyDescent="0.25">
      <c r="D19" s="9">
        <v>45200</v>
      </c>
    </row>
    <row r="20" spans="4:4" x14ac:dyDescent="0.25">
      <c r="D20" s="9">
        <v>45231</v>
      </c>
    </row>
    <row r="21" spans="4:4" x14ac:dyDescent="0.25">
      <c r="D21" s="9">
        <v>45261</v>
      </c>
    </row>
    <row r="22" spans="4:4" x14ac:dyDescent="0.25">
      <c r="D22" s="9">
        <v>45292</v>
      </c>
    </row>
    <row r="23" spans="4:4" x14ac:dyDescent="0.25">
      <c r="D23" s="9">
        <v>45323</v>
      </c>
    </row>
    <row r="24" spans="4:4" x14ac:dyDescent="0.25">
      <c r="D24" s="9">
        <v>45352</v>
      </c>
    </row>
    <row r="25" spans="4:4" x14ac:dyDescent="0.25">
      <c r="D25" s="9">
        <v>45383</v>
      </c>
    </row>
    <row r="26" spans="4:4" x14ac:dyDescent="0.25">
      <c r="D26" s="9">
        <v>45413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Accounts</vt:lpstr>
      <vt:lpstr>Transactions</vt:lpstr>
      <vt:lpstr>Conf</vt:lpstr>
      <vt:lpstr>Sel_Month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R Avila</cp:lastModifiedBy>
  <dcterms:created xsi:type="dcterms:W3CDTF">2024-04-17T02:26:28Z</dcterms:created>
  <dcterms:modified xsi:type="dcterms:W3CDTF">2024-05-28T02:38:01Z</dcterms:modified>
</cp:coreProperties>
</file>