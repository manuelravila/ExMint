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9646cce972b31/Intel/ExMint/excel_addin/assets/"/>
    </mc:Choice>
  </mc:AlternateContent>
  <xr:revisionPtr revIDLastSave="57" documentId="8_{3B1CEF04-0D7C-42F8-9349-B5C59C0ED082}" xr6:coauthVersionLast="47" xr6:coauthVersionMax="47" xr10:uidLastSave="{E2D3D9C6-FC1D-4FAB-B723-6AC225E421A8}"/>
  <bookViews>
    <workbookView xWindow="19090" yWindow="2530" windowWidth="22780" windowHeight="14540" tabRatio="537" xr2:uid="{00000000-000D-0000-FFFF-FFFF00000000}"/>
  </bookViews>
  <sheets>
    <sheet name="Dashboard" sheetId="1" r:id="rId1"/>
    <sheet name="Accounts" sheetId="2" r:id="rId2"/>
    <sheet name="Transactions" sheetId="3" r:id="rId3"/>
    <sheet name="Conf" sheetId="5" r:id="rId4"/>
  </sheets>
  <definedNames>
    <definedName name="Sel_Month">Dashboard!$D$2</definedName>
    <definedName name="Unique_Months">OFFSET(Conf!$D$1, 0, 0, COUNTA(Conf!$D:$D), 1)</definedName>
  </definedNames>
  <calcPr calcId="191029"/>
  <pivotCaches>
    <pivotCache cacheId="9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5" l="1" a="1"/>
  <c r="D1" i="5" s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B8" i="5" l="1"/>
  <c r="B7" i="5"/>
  <c r="B6" i="5"/>
  <c r="D5" i="1" l="1" a="1"/>
  <c r="D5" i="1" s="1"/>
  <c r="E5" i="1" s="1"/>
  <c r="D6" i="1" l="1" a="1"/>
  <c r="D6" i="1" s="1"/>
  <c r="E6" i="1" s="1"/>
  <c r="D7" i="1" l="1" a="1"/>
  <c r="D7" i="1" s="1"/>
  <c r="E7" i="1" s="1"/>
  <c r="D8" i="1" l="1" a="1"/>
  <c r="D8" i="1" s="1"/>
  <c r="E8" i="1" s="1"/>
  <c r="D9" i="1" l="1" a="1"/>
  <c r="D9" i="1" s="1"/>
  <c r="E9" i="1" s="1"/>
  <c r="D10" i="1" l="1" a="1"/>
  <c r="D10" i="1" s="1"/>
  <c r="E10" i="1" s="1"/>
  <c r="D11" i="1" l="1" a="1"/>
  <c r="D11" i="1" s="1"/>
  <c r="E11" i="1" s="1"/>
  <c r="D12" i="1" l="1" a="1"/>
  <c r="D12" i="1" s="1"/>
  <c r="E12" i="1" s="1"/>
  <c r="D13" i="1" l="1" a="1"/>
  <c r="D13" i="1" s="1"/>
  <c r="E13" i="1" s="1"/>
  <c r="D14" i="1" l="1" a="1"/>
  <c r="D14" i="1" s="1"/>
  <c r="E14" i="1" s="1"/>
  <c r="D15" i="1" l="1" a="1"/>
  <c r="D15" i="1" s="1"/>
  <c r="E15" i="1" s="1"/>
  <c r="D16" i="1" l="1" a="1"/>
  <c r="D16" i="1" s="1"/>
  <c r="E16" i="1" s="1"/>
  <c r="D17" i="1" l="1" a="1"/>
  <c r="D17" i="1" s="1"/>
  <c r="E17" i="1" s="1"/>
  <c r="D18" i="1" l="1" a="1"/>
  <c r="D18" i="1" s="1"/>
  <c r="E18" i="1" s="1"/>
  <c r="D19" i="1" l="1" a="1"/>
  <c r="D19" i="1" s="1"/>
  <c r="E19" i="1" s="1"/>
  <c r="D20" i="1" l="1" a="1"/>
  <c r="D20" i="1" s="1"/>
  <c r="E20" i="1" s="1"/>
  <c r="D21" i="1" l="1" a="1"/>
  <c r="D21" i="1" s="1"/>
  <c r="E21" i="1" s="1"/>
  <c r="D22" i="1" l="1" a="1"/>
  <c r="D22" i="1" s="1"/>
  <c r="E22" i="1" s="1"/>
  <c r="D23" i="1" l="1" a="1"/>
  <c r="D23" i="1" s="1"/>
  <c r="E23" i="1" s="1"/>
  <c r="D24" i="1" l="1" a="1"/>
  <c r="D24" i="1" s="1"/>
  <c r="E24" i="1" s="1"/>
  <c r="D25" i="1" l="1" a="1"/>
  <c r="D25" i="1" s="1"/>
  <c r="E25" i="1" s="1"/>
  <c r="D26" i="1" l="1" a="1"/>
  <c r="D26" i="1" s="1"/>
  <c r="E26" i="1" s="1"/>
  <c r="D27" i="1" l="1" a="1"/>
  <c r="D27" i="1" s="1"/>
  <c r="E27" i="1" s="1"/>
  <c r="D28" i="1" l="1" a="1"/>
  <c r="D28" i="1" s="1"/>
  <c r="E28" i="1" s="1"/>
  <c r="D29" i="1" l="1" a="1"/>
  <c r="D29" i="1" s="1"/>
  <c r="E29" i="1" s="1"/>
  <c r="D30" i="1" l="1" a="1"/>
  <c r="D30" i="1" s="1"/>
  <c r="E30" i="1" s="1"/>
  <c r="D31" i="1" l="1" a="1"/>
  <c r="D31" i="1" s="1"/>
  <c r="E31" i="1" s="1"/>
  <c r="D32" i="1" l="1" a="1"/>
  <c r="D32" i="1" s="1"/>
  <c r="E32" i="1" s="1"/>
  <c r="D33" i="1" l="1" a="1"/>
  <c r="D33" i="1" s="1"/>
  <c r="E33" i="1" s="1"/>
  <c r="D34" i="1" l="1" a="1"/>
  <c r="D34" i="1" s="1"/>
  <c r="E34" i="1" s="1"/>
  <c r="D35" i="1" l="1" a="1"/>
  <c r="D35" i="1" s="1"/>
  <c r="E35" i="1" s="1"/>
  <c r="D36" i="1" l="1" a="1"/>
  <c r="D36" i="1" s="1"/>
  <c r="E36" i="1" s="1"/>
  <c r="D37" i="1" l="1" a="1"/>
  <c r="D37" i="1" s="1"/>
  <c r="E37" i="1" s="1"/>
  <c r="D38" i="1" l="1" a="1"/>
  <c r="D38" i="1" s="1"/>
  <c r="E38" i="1" s="1"/>
  <c r="D39" i="1" l="1" a="1"/>
  <c r="D39" i="1" s="1"/>
  <c r="E39" i="1" s="1"/>
  <c r="D40" i="1" l="1" a="1"/>
  <c r="D40" i="1" s="1"/>
  <c r="E40" i="1" s="1"/>
  <c r="D41" i="1" l="1" a="1"/>
  <c r="D41" i="1" s="1"/>
  <c r="E41" i="1" s="1"/>
  <c r="D42" i="1" l="1" a="1"/>
  <c r="D42" i="1" s="1"/>
  <c r="E42" i="1" s="1"/>
  <c r="D43" i="1" l="1" a="1"/>
  <c r="D43" i="1" s="1"/>
  <c r="E43" i="1" s="1"/>
  <c r="D44" i="1" l="1" a="1"/>
  <c r="D44" i="1" s="1"/>
  <c r="E44" i="1" s="1"/>
  <c r="D45" i="1" l="1" a="1"/>
  <c r="D45" i="1" s="1"/>
  <c r="E45" i="1" s="1"/>
  <c r="D46" i="1" l="1" a="1"/>
  <c r="D46" i="1" s="1"/>
  <c r="E46" i="1" s="1"/>
  <c r="D47" i="1" l="1" a="1"/>
  <c r="D47" i="1" s="1"/>
  <c r="E47" i="1" s="1"/>
  <c r="D48" i="1" l="1" a="1"/>
  <c r="D48" i="1" s="1"/>
  <c r="E48" i="1" s="1"/>
  <c r="D49" i="1" l="1" a="1"/>
  <c r="D49" i="1" s="1"/>
  <c r="E49" i="1" s="1"/>
  <c r="D50" i="1" l="1" a="1"/>
  <c r="D50" i="1" s="1"/>
  <c r="E50" i="1" s="1"/>
  <c r="D51" i="1" l="1" a="1"/>
  <c r="D51" i="1" s="1"/>
  <c r="E51" i="1" s="1"/>
  <c r="D52" i="1" l="1" a="1"/>
  <c r="D52" i="1" s="1"/>
  <c r="E52" i="1" s="1"/>
  <c r="D53" i="1" l="1" a="1"/>
  <c r="D53" i="1" s="1"/>
  <c r="E53" i="1" s="1"/>
  <c r="D54" i="1" l="1" a="1"/>
  <c r="D54" i="1" s="1"/>
  <c r="E54" i="1" s="1"/>
  <c r="D55" i="1" l="1" a="1"/>
  <c r="D55" i="1" s="1"/>
  <c r="E55" i="1" s="1"/>
  <c r="D56" i="1" l="1" a="1"/>
  <c r="D56" i="1" s="1"/>
  <c r="E56" i="1" s="1"/>
  <c r="D57" i="1" l="1" a="1"/>
  <c r="D57" i="1" s="1"/>
  <c r="E57" i="1" s="1"/>
  <c r="D58" i="1" l="1" a="1"/>
  <c r="D58" i="1" s="1"/>
  <c r="E58" i="1" s="1"/>
  <c r="D59" i="1" l="1" a="1"/>
  <c r="D59" i="1" s="1"/>
  <c r="E59" i="1" s="1"/>
  <c r="D60" i="1" l="1" a="1"/>
  <c r="D60" i="1" s="1"/>
  <c r="E60" i="1" s="1"/>
  <c r="D61" i="1" l="1" a="1"/>
  <c r="D61" i="1" s="1"/>
  <c r="E61" i="1" s="1"/>
  <c r="D62" i="1" l="1" a="1"/>
  <c r="D62" i="1" s="1"/>
  <c r="E62" i="1" s="1"/>
  <c r="D63" i="1" l="1" a="1"/>
  <c r="D63" i="1" s="1"/>
  <c r="E63" i="1" s="1"/>
  <c r="D64" i="1" l="1" a="1"/>
  <c r="D64" i="1" s="1"/>
  <c r="E64" i="1" s="1"/>
  <c r="D65" i="1" l="1" a="1"/>
  <c r="D65" i="1" s="1"/>
  <c r="E65" i="1" s="1"/>
  <c r="D66" i="1" l="1" a="1"/>
  <c r="D66" i="1" s="1"/>
  <c r="E66" i="1" s="1"/>
  <c r="D67" i="1" l="1" a="1"/>
  <c r="D67" i="1" s="1"/>
  <c r="E67" i="1" s="1"/>
  <c r="D68" i="1" l="1" a="1"/>
  <c r="D68" i="1" s="1"/>
  <c r="E68" i="1" s="1"/>
  <c r="D69" i="1" l="1" a="1"/>
  <c r="D69" i="1" s="1"/>
  <c r="E69" i="1" s="1"/>
  <c r="D70" i="1" l="1" a="1"/>
  <c r="D70" i="1" s="1"/>
  <c r="E70" i="1" s="1"/>
  <c r="D71" i="1" l="1" a="1"/>
  <c r="D71" i="1" s="1"/>
  <c r="E71" i="1" s="1"/>
  <c r="D72" i="1" l="1" a="1"/>
  <c r="D72" i="1" s="1"/>
  <c r="E72" i="1" s="1"/>
  <c r="D73" i="1" l="1" a="1"/>
  <c r="D73" i="1" s="1"/>
  <c r="E73" i="1" s="1"/>
  <c r="D74" i="1" l="1" a="1"/>
  <c r="D74" i="1" s="1"/>
  <c r="E74" i="1" s="1"/>
  <c r="D75" i="1" l="1" a="1"/>
  <c r="D75" i="1" s="1"/>
  <c r="E75" i="1" s="1"/>
  <c r="D76" i="1" l="1" a="1"/>
  <c r="D76" i="1" s="1"/>
  <c r="E76" i="1" s="1"/>
  <c r="D77" i="1" l="1" a="1"/>
  <c r="D77" i="1" s="1"/>
  <c r="E77" i="1" s="1"/>
  <c r="D78" i="1" l="1" a="1"/>
  <c r="D78" i="1" s="1"/>
  <c r="E78" i="1" s="1"/>
  <c r="D79" i="1" l="1" a="1"/>
  <c r="D79" i="1" s="1"/>
  <c r="E79" i="1" s="1"/>
  <c r="D80" i="1" l="1" a="1"/>
  <c r="D80" i="1" s="1"/>
  <c r="E80" i="1" s="1"/>
  <c r="D81" i="1" l="1" a="1"/>
  <c r="D81" i="1" s="1"/>
  <c r="E81" i="1" s="1"/>
  <c r="D82" i="1" l="1" a="1"/>
  <c r="D82" i="1" s="1"/>
  <c r="E82" i="1" s="1"/>
  <c r="D83" i="1" l="1" a="1"/>
  <c r="D83" i="1" s="1"/>
  <c r="E83" i="1" s="1"/>
  <c r="D84" i="1" l="1" a="1"/>
  <c r="D84" i="1" s="1"/>
  <c r="E84" i="1" s="1"/>
  <c r="D85" i="1" l="1" a="1"/>
  <c r="D85" i="1" s="1"/>
  <c r="E85" i="1" s="1"/>
  <c r="D86" i="1" l="1" a="1"/>
  <c r="D86" i="1" s="1"/>
  <c r="E86" i="1" s="1"/>
  <c r="D87" i="1" l="1" a="1"/>
  <c r="D87" i="1" s="1"/>
  <c r="E87" i="1" s="1"/>
  <c r="D88" i="1" l="1" a="1"/>
  <c r="D88" i="1" s="1"/>
  <c r="E88" i="1" s="1"/>
  <c r="D89" i="1" l="1" a="1"/>
  <c r="D89" i="1" s="1"/>
  <c r="E89" i="1" s="1"/>
  <c r="D90" i="1" l="1" a="1"/>
  <c r="D90" i="1" s="1"/>
  <c r="E90" i="1" s="1"/>
  <c r="D91" i="1" l="1" a="1"/>
  <c r="D91" i="1" s="1"/>
  <c r="E91" i="1" s="1"/>
  <c r="D92" i="1" l="1" a="1"/>
  <c r="D92" i="1" s="1"/>
  <c r="E92" i="1" s="1"/>
  <c r="D93" i="1" l="1" a="1"/>
  <c r="D93" i="1" s="1"/>
  <c r="E93" i="1" s="1"/>
  <c r="D94" i="1" l="1" a="1"/>
  <c r="D94" i="1" s="1"/>
  <c r="E94" i="1" s="1"/>
  <c r="D95" i="1" l="1" a="1"/>
  <c r="D95" i="1" s="1"/>
  <c r="E95" i="1" s="1"/>
  <c r="D96" i="1" l="1" a="1"/>
  <c r="D96" i="1" s="1"/>
  <c r="E96" i="1" s="1"/>
  <c r="D97" i="1" l="1" a="1"/>
  <c r="D97" i="1" s="1"/>
  <c r="E97" i="1" s="1"/>
  <c r="D98" i="1" l="1" a="1"/>
  <c r="D98" i="1" s="1"/>
  <c r="E98" i="1" s="1"/>
  <c r="D99" i="1" l="1" a="1"/>
  <c r="D99" i="1" s="1"/>
  <c r="E99" i="1" s="1"/>
  <c r="D100" i="1" l="1" a="1"/>
  <c r="D100" i="1" s="1"/>
  <c r="E100" i="1" s="1"/>
  <c r="D101" i="1" l="1" a="1"/>
  <c r="D101" i="1" s="1"/>
  <c r="E101" i="1" s="1"/>
  <c r="D102" i="1" l="1" a="1"/>
  <c r="D102" i="1" s="1"/>
  <c r="E102" i="1" s="1"/>
  <c r="D103" i="1" l="1" a="1"/>
  <c r="D103" i="1" s="1"/>
  <c r="E103" i="1" s="1"/>
  <c r="D104" i="1" l="1" a="1"/>
  <c r="D104" i="1" s="1"/>
  <c r="E104" i="1" s="1"/>
  <c r="D105" i="1" l="1" a="1"/>
  <c r="D105" i="1" s="1"/>
  <c r="E105" i="1" s="1"/>
  <c r="D106" i="1" l="1" a="1"/>
  <c r="D106" i="1" s="1"/>
  <c r="E106" i="1" s="1"/>
  <c r="D107" i="1" l="1" a="1"/>
  <c r="D107" i="1" s="1"/>
  <c r="E107" i="1" s="1"/>
  <c r="D108" i="1" l="1" a="1"/>
  <c r="D108" i="1" s="1"/>
  <c r="E108" i="1" s="1"/>
  <c r="D109" i="1" l="1" a="1"/>
  <c r="D109" i="1" s="1"/>
  <c r="E109" i="1" s="1"/>
  <c r="D110" i="1" l="1" a="1"/>
  <c r="D110" i="1" s="1"/>
  <c r="E110" i="1" s="1"/>
  <c r="D111" i="1" l="1" a="1"/>
  <c r="D111" i="1" s="1"/>
  <c r="E111" i="1" s="1"/>
  <c r="D112" i="1" l="1" a="1"/>
  <c r="D112" i="1" s="1"/>
  <c r="E112" i="1" s="1"/>
  <c r="D113" i="1" l="1" a="1"/>
  <c r="D113" i="1" s="1"/>
  <c r="E113" i="1" s="1"/>
  <c r="D114" i="1" l="1" a="1"/>
  <c r="D114" i="1" s="1"/>
  <c r="E114" i="1" s="1"/>
  <c r="D115" i="1" l="1" a="1"/>
  <c r="D115" i="1" s="1"/>
  <c r="E115" i="1" s="1"/>
  <c r="D116" i="1" l="1" a="1"/>
  <c r="D116" i="1" s="1"/>
  <c r="E116" i="1" s="1"/>
  <c r="D117" i="1" l="1" a="1"/>
  <c r="D117" i="1" s="1"/>
  <c r="E117" i="1" s="1"/>
  <c r="D118" i="1" l="1" a="1"/>
  <c r="D118" i="1" s="1"/>
  <c r="E118" i="1" s="1"/>
  <c r="D119" i="1" l="1" a="1"/>
  <c r="D119" i="1" s="1"/>
  <c r="E119" i="1" s="1"/>
  <c r="D120" i="1" l="1" a="1"/>
  <c r="D120" i="1" s="1"/>
  <c r="E120" i="1" s="1"/>
  <c r="D121" i="1" l="1" a="1"/>
  <c r="D121" i="1" s="1"/>
  <c r="E121" i="1" s="1"/>
  <c r="D122" i="1" l="1" a="1"/>
  <c r="D122" i="1" s="1"/>
  <c r="E122" i="1" s="1"/>
  <c r="D123" i="1" l="1" a="1"/>
  <c r="D123" i="1" s="1"/>
  <c r="E123" i="1" s="1"/>
  <c r="D124" i="1" l="1" a="1"/>
  <c r="D124" i="1" s="1"/>
  <c r="E124" i="1" s="1"/>
  <c r="D125" i="1" l="1" a="1"/>
  <c r="D125" i="1" s="1"/>
  <c r="E125" i="1" s="1"/>
  <c r="D126" i="1" l="1" a="1"/>
  <c r="D126" i="1" s="1"/>
  <c r="E126" i="1" s="1"/>
  <c r="D127" i="1" l="1" a="1"/>
  <c r="D127" i="1" s="1"/>
  <c r="E127" i="1" s="1"/>
  <c r="D128" i="1" l="1" a="1"/>
  <c r="D128" i="1" s="1"/>
  <c r="E128" i="1" s="1"/>
  <c r="D129" i="1" l="1" a="1"/>
  <c r="D129" i="1" s="1"/>
  <c r="E129" i="1" s="1"/>
  <c r="D130" i="1" l="1" a="1"/>
  <c r="D130" i="1" s="1"/>
  <c r="E130" i="1" s="1"/>
  <c r="D131" i="1" l="1" a="1"/>
  <c r="D131" i="1" s="1"/>
  <c r="E131" i="1" s="1"/>
  <c r="D132" i="1" l="1" a="1"/>
  <c r="D132" i="1" s="1"/>
  <c r="E132" i="1" s="1"/>
  <c r="D133" i="1" l="1" a="1"/>
  <c r="D133" i="1" s="1"/>
  <c r="E133" i="1" s="1"/>
  <c r="D134" i="1" l="1" a="1"/>
  <c r="D134" i="1" s="1"/>
  <c r="E134" i="1" s="1"/>
  <c r="D135" i="1" l="1" a="1"/>
  <c r="D135" i="1" s="1"/>
  <c r="E135" i="1" s="1"/>
  <c r="D136" i="1" l="1" a="1"/>
  <c r="D136" i="1" s="1"/>
  <c r="E136" i="1" s="1"/>
  <c r="D137" i="1" l="1" a="1"/>
  <c r="D137" i="1" s="1"/>
  <c r="E137" i="1" s="1"/>
  <c r="D138" i="1" l="1" a="1"/>
  <c r="D138" i="1" s="1"/>
  <c r="E138" i="1" s="1"/>
  <c r="D139" i="1" l="1" a="1"/>
  <c r="D139" i="1" s="1"/>
  <c r="E139" i="1" s="1"/>
  <c r="D140" i="1" l="1" a="1"/>
  <c r="D140" i="1" s="1"/>
  <c r="E140" i="1" s="1"/>
  <c r="D141" i="1" l="1" a="1"/>
  <c r="D141" i="1" s="1"/>
  <c r="E141" i="1" s="1"/>
  <c r="D142" i="1" l="1" a="1"/>
  <c r="D142" i="1" s="1"/>
  <c r="E142" i="1" s="1"/>
  <c r="D143" i="1" l="1" a="1"/>
  <c r="D143" i="1" s="1"/>
  <c r="E143" i="1" s="1"/>
  <c r="D144" i="1" l="1" a="1"/>
  <c r="D144" i="1" s="1"/>
  <c r="E144" i="1" s="1"/>
  <c r="D145" i="1" l="1" a="1"/>
  <c r="D145" i="1" s="1"/>
  <c r="E145" i="1" s="1"/>
  <c r="D146" i="1" l="1" a="1"/>
  <c r="D146" i="1" s="1"/>
  <c r="E146" i="1" s="1"/>
  <c r="D147" i="1" l="1" a="1"/>
  <c r="D147" i="1" s="1"/>
  <c r="E147" i="1" s="1"/>
  <c r="D148" i="1" l="1" a="1"/>
  <c r="D148" i="1" s="1"/>
  <c r="E148" i="1" s="1"/>
  <c r="D149" i="1" l="1" a="1"/>
  <c r="D149" i="1" s="1"/>
  <c r="E149" i="1" s="1"/>
  <c r="D150" i="1" l="1" a="1"/>
  <c r="D150" i="1" s="1"/>
  <c r="E150" i="1" s="1"/>
  <c r="D151" i="1" l="1" a="1"/>
  <c r="D151" i="1" s="1"/>
  <c r="E151" i="1" s="1"/>
  <c r="D152" i="1" l="1" a="1"/>
  <c r="D152" i="1" s="1"/>
  <c r="E152" i="1" s="1"/>
  <c r="D153" i="1" l="1" a="1"/>
  <c r="D153" i="1" s="1"/>
  <c r="E153" i="1" s="1"/>
  <c r="D154" i="1" l="1" a="1"/>
  <c r="D154" i="1" s="1"/>
  <c r="E154" i="1" s="1"/>
  <c r="D155" i="1" l="1" a="1"/>
  <c r="D155" i="1" s="1"/>
  <c r="E155" i="1" s="1"/>
  <c r="D156" i="1" l="1" a="1"/>
  <c r="D156" i="1" s="1"/>
  <c r="E156" i="1" s="1"/>
  <c r="D157" i="1" l="1" a="1"/>
  <c r="D157" i="1" s="1"/>
  <c r="E157" i="1" s="1"/>
  <c r="D158" i="1" l="1" a="1"/>
  <c r="D158" i="1" s="1"/>
  <c r="E158" i="1" s="1"/>
  <c r="D159" i="1" l="1" a="1"/>
  <c r="D159" i="1" s="1"/>
  <c r="E159" i="1" s="1"/>
  <c r="D160" i="1" l="1" a="1"/>
  <c r="D160" i="1" s="1"/>
  <c r="E160" i="1" s="1"/>
  <c r="D161" i="1" l="1" a="1"/>
  <c r="D161" i="1" s="1"/>
  <c r="E161" i="1" s="1"/>
  <c r="D162" i="1" l="1" a="1"/>
  <c r="D162" i="1" s="1"/>
  <c r="E162" i="1" s="1"/>
  <c r="D163" i="1" l="1" a="1"/>
  <c r="D163" i="1" s="1"/>
  <c r="E163" i="1" s="1"/>
  <c r="D164" i="1" l="1" a="1"/>
  <c r="D164" i="1" s="1"/>
  <c r="E164" i="1" s="1"/>
  <c r="D165" i="1" l="1" a="1"/>
  <c r="D165" i="1" s="1"/>
  <c r="E165" i="1" s="1"/>
  <c r="D166" i="1" l="1" a="1"/>
  <c r="D166" i="1" s="1"/>
  <c r="E166" i="1" s="1"/>
  <c r="D167" i="1" l="1" a="1"/>
  <c r="D167" i="1" s="1"/>
  <c r="E167" i="1" s="1"/>
  <c r="D168" i="1" l="1" a="1"/>
  <c r="D168" i="1" s="1"/>
  <c r="E168" i="1" s="1"/>
  <c r="D169" i="1" l="1" a="1"/>
  <c r="D169" i="1" s="1"/>
  <c r="E169" i="1" s="1"/>
  <c r="D170" i="1" l="1" a="1"/>
  <c r="D170" i="1" s="1"/>
  <c r="E170" i="1" s="1"/>
  <c r="D171" i="1" l="1" a="1"/>
  <c r="D171" i="1" s="1"/>
  <c r="E171" i="1" s="1"/>
  <c r="D172" i="1" l="1" a="1"/>
  <c r="D172" i="1" s="1"/>
  <c r="E172" i="1" s="1"/>
  <c r="D173" i="1" l="1" a="1"/>
  <c r="D173" i="1" s="1"/>
  <c r="E173" i="1" s="1"/>
  <c r="D174" i="1" l="1" a="1"/>
  <c r="D174" i="1" s="1"/>
  <c r="E174" i="1" s="1"/>
  <c r="D175" i="1" l="1" a="1"/>
  <c r="D175" i="1" s="1"/>
  <c r="E175" i="1" s="1"/>
  <c r="D176" i="1" l="1" a="1"/>
  <c r="D176" i="1" s="1"/>
  <c r="E176" i="1" s="1"/>
  <c r="D177" i="1" l="1" a="1"/>
  <c r="D177" i="1" s="1"/>
  <c r="E177" i="1" s="1"/>
  <c r="D178" i="1" l="1" a="1"/>
  <c r="D178" i="1" s="1"/>
  <c r="E178" i="1" s="1"/>
  <c r="D179" i="1" l="1" a="1"/>
  <c r="D179" i="1" s="1"/>
  <c r="E179" i="1" s="1"/>
  <c r="D180" i="1" l="1" a="1"/>
  <c r="D180" i="1" s="1"/>
  <c r="E180" i="1" s="1"/>
  <c r="D181" i="1" l="1" a="1"/>
  <c r="D181" i="1" s="1"/>
  <c r="E181" i="1" s="1"/>
  <c r="D182" i="1" l="1" a="1"/>
  <c r="D182" i="1" s="1"/>
  <c r="E182" i="1" s="1"/>
  <c r="D183" i="1" l="1" a="1"/>
  <c r="D183" i="1" s="1"/>
  <c r="E183" i="1" s="1"/>
  <c r="D184" i="1" l="1" a="1"/>
  <c r="D184" i="1" s="1"/>
  <c r="E184" i="1" s="1"/>
  <c r="D185" i="1" l="1" a="1"/>
  <c r="D185" i="1" s="1"/>
  <c r="E185" i="1" s="1"/>
  <c r="D186" i="1" l="1" a="1"/>
  <c r="D186" i="1" s="1"/>
  <c r="E186" i="1" s="1"/>
  <c r="D187" i="1" l="1" a="1"/>
  <c r="D187" i="1" s="1"/>
  <c r="E187" i="1" s="1"/>
  <c r="D188" i="1" l="1" a="1"/>
  <c r="D188" i="1" s="1"/>
  <c r="E188" i="1" s="1"/>
  <c r="D189" i="1" l="1" a="1"/>
  <c r="D189" i="1" s="1"/>
  <c r="E189" i="1" s="1"/>
  <c r="D190" i="1" l="1" a="1"/>
  <c r="D190" i="1" s="1"/>
  <c r="E190" i="1" s="1"/>
  <c r="D191" i="1" l="1" a="1"/>
  <c r="D191" i="1" s="1"/>
  <c r="E191" i="1" s="1"/>
  <c r="D192" i="1" l="1" a="1"/>
  <c r="D192" i="1" s="1"/>
  <c r="E192" i="1" s="1"/>
  <c r="D193" i="1" l="1" a="1"/>
  <c r="D193" i="1" s="1"/>
  <c r="E193" i="1" s="1"/>
  <c r="D194" i="1" l="1" a="1"/>
  <c r="D194" i="1" s="1"/>
  <c r="E194" i="1" s="1"/>
  <c r="D195" i="1" l="1" a="1"/>
  <c r="D195" i="1" s="1"/>
  <c r="E195" i="1" s="1"/>
  <c r="D196" i="1" l="1" a="1"/>
  <c r="D196" i="1" s="1"/>
  <c r="E196" i="1" s="1"/>
  <c r="D197" i="1" l="1" a="1"/>
  <c r="D197" i="1" s="1"/>
  <c r="E197" i="1" s="1"/>
  <c r="D198" i="1" l="1" a="1"/>
  <c r="D198" i="1" s="1"/>
  <c r="E198" i="1" s="1"/>
  <c r="D199" i="1" l="1" a="1"/>
  <c r="D199" i="1" s="1"/>
  <c r="E199" i="1" s="1"/>
  <c r="D200" i="1" l="1" a="1"/>
  <c r="D200" i="1" s="1"/>
  <c r="E200" i="1" s="1"/>
  <c r="D201" i="1" l="1" a="1"/>
  <c r="D201" i="1" s="1"/>
  <c r="E201" i="1" s="1"/>
  <c r="D202" i="1" l="1" a="1"/>
  <c r="D202" i="1" s="1"/>
  <c r="E202" i="1" s="1"/>
  <c r="D203" i="1" l="1" a="1"/>
  <c r="D203" i="1" s="1"/>
  <c r="E203" i="1" s="1"/>
  <c r="D204" i="1" l="1" a="1"/>
  <c r="D204" i="1" s="1"/>
  <c r="E204" i="1" s="1"/>
  <c r="D205" i="1" l="1" a="1"/>
  <c r="D205" i="1" s="1"/>
  <c r="E205" i="1" s="1"/>
  <c r="D206" i="1" l="1" a="1"/>
  <c r="D206" i="1" s="1"/>
  <c r="E206" i="1" s="1"/>
  <c r="D207" i="1" l="1" a="1"/>
  <c r="D207" i="1" s="1"/>
  <c r="E207" i="1" s="1"/>
  <c r="D208" i="1" l="1" a="1"/>
  <c r="D208" i="1" s="1"/>
  <c r="E208" i="1" s="1"/>
  <c r="D209" i="1" l="1" a="1"/>
  <c r="D209" i="1" s="1"/>
  <c r="E209" i="1" s="1"/>
  <c r="D210" i="1" l="1" a="1"/>
  <c r="D210" i="1" s="1"/>
  <c r="E210" i="1" s="1"/>
  <c r="D211" i="1" l="1" a="1"/>
  <c r="D211" i="1" s="1"/>
  <c r="E211" i="1" s="1"/>
  <c r="D212" i="1" l="1" a="1"/>
  <c r="D212" i="1" s="1"/>
  <c r="E212" i="1" s="1"/>
  <c r="D213" i="1" l="1" a="1"/>
  <c r="D213" i="1" s="1"/>
  <c r="E213" i="1" s="1"/>
  <c r="D214" i="1" l="1" a="1"/>
  <c r="D214" i="1" s="1"/>
  <c r="E214" i="1" s="1"/>
  <c r="D215" i="1" l="1" a="1"/>
  <c r="D215" i="1" s="1"/>
  <c r="E215" i="1" s="1"/>
  <c r="D216" i="1" l="1" a="1"/>
  <c r="D216" i="1" s="1"/>
  <c r="E216" i="1" s="1"/>
  <c r="D217" i="1" l="1" a="1"/>
  <c r="D217" i="1" s="1"/>
  <c r="E217" i="1" s="1"/>
  <c r="D218" i="1" l="1" a="1"/>
  <c r="D218" i="1" s="1"/>
  <c r="E218" i="1" s="1"/>
  <c r="D219" i="1" l="1" a="1"/>
  <c r="D219" i="1" s="1"/>
  <c r="E219" i="1" s="1"/>
  <c r="D220" i="1" l="1" a="1"/>
  <c r="D220" i="1" s="1"/>
  <c r="E220" i="1" s="1"/>
  <c r="D221" i="1" l="1" a="1"/>
  <c r="D221" i="1" s="1"/>
  <c r="E221" i="1" s="1"/>
  <c r="D222" i="1" l="1" a="1"/>
  <c r="D222" i="1" s="1"/>
  <c r="E222" i="1" s="1"/>
  <c r="D223" i="1" l="1" a="1"/>
  <c r="D223" i="1" s="1"/>
  <c r="E223" i="1" s="1"/>
  <c r="D224" i="1" l="1" a="1"/>
  <c r="D224" i="1" s="1"/>
  <c r="E224" i="1" s="1"/>
  <c r="D225" i="1" l="1" a="1"/>
  <c r="D225" i="1" s="1"/>
  <c r="E225" i="1" s="1"/>
  <c r="D226" i="1" l="1" a="1"/>
  <c r="D226" i="1" s="1"/>
  <c r="E226" i="1" s="1"/>
  <c r="D227" i="1" l="1" a="1"/>
  <c r="D227" i="1" s="1"/>
  <c r="E227" i="1" s="1"/>
  <c r="D228" i="1" l="1" a="1"/>
  <c r="D228" i="1" s="1"/>
  <c r="E228" i="1" s="1"/>
  <c r="D229" i="1" l="1" a="1"/>
  <c r="D229" i="1" s="1"/>
  <c r="E229" i="1" s="1"/>
  <c r="D230" i="1" l="1" a="1"/>
  <c r="D230" i="1" s="1"/>
  <c r="E230" i="1" s="1"/>
  <c r="D231" i="1" l="1" a="1"/>
  <c r="D231" i="1" s="1"/>
  <c r="E231" i="1" s="1"/>
  <c r="D232" i="1" l="1" a="1"/>
  <c r="D232" i="1" s="1"/>
  <c r="E232" i="1" s="1"/>
  <c r="D233" i="1" l="1" a="1"/>
  <c r="D233" i="1" s="1"/>
  <c r="E233" i="1" s="1"/>
  <c r="D234" i="1" l="1" a="1"/>
  <c r="D234" i="1" s="1"/>
  <c r="E234" i="1" s="1"/>
  <c r="D235" i="1" l="1" a="1"/>
  <c r="D235" i="1" s="1"/>
  <c r="E235" i="1" s="1"/>
  <c r="D236" i="1" l="1" a="1"/>
  <c r="D236" i="1" s="1"/>
  <c r="E236" i="1" s="1"/>
  <c r="D237" i="1" l="1" a="1"/>
  <c r="D237" i="1" s="1"/>
  <c r="E237" i="1" s="1"/>
  <c r="D238" i="1" l="1" a="1"/>
  <c r="D238" i="1" s="1"/>
  <c r="E238" i="1" s="1"/>
  <c r="D239" i="1" l="1" a="1"/>
  <c r="D239" i="1" s="1"/>
  <c r="E239" i="1" s="1"/>
  <c r="D240" i="1" l="1" a="1"/>
  <c r="D240" i="1" s="1"/>
  <c r="E240" i="1" s="1"/>
  <c r="D241" i="1" l="1" a="1"/>
  <c r="D241" i="1" s="1"/>
  <c r="E241" i="1" s="1"/>
  <c r="D242" i="1" l="1" a="1"/>
  <c r="D242" i="1" s="1"/>
  <c r="E242" i="1" s="1"/>
  <c r="D243" i="1" l="1" a="1"/>
  <c r="D243" i="1" s="1"/>
  <c r="E243" i="1" s="1"/>
  <c r="D244" i="1" l="1" a="1"/>
  <c r="D244" i="1" s="1"/>
  <c r="E244" i="1" s="1"/>
  <c r="D245" i="1" l="1" a="1"/>
  <c r="D245" i="1" s="1"/>
  <c r="E245" i="1" s="1"/>
  <c r="D246" i="1" l="1" a="1"/>
  <c r="D246" i="1" s="1"/>
  <c r="E246" i="1" s="1"/>
  <c r="D247" i="1" l="1" a="1"/>
  <c r="D247" i="1" s="1"/>
  <c r="E247" i="1" s="1"/>
  <c r="D248" i="1" l="1" a="1"/>
  <c r="D248" i="1" s="1"/>
  <c r="E248" i="1" s="1"/>
  <c r="D249" i="1" l="1" a="1"/>
  <c r="D249" i="1" s="1"/>
  <c r="E249" i="1" s="1"/>
  <c r="D250" i="1" l="1" a="1"/>
  <c r="D250" i="1" s="1"/>
  <c r="E250" i="1" s="1"/>
  <c r="D251" i="1" l="1" a="1"/>
  <c r="D251" i="1" s="1"/>
  <c r="E251" i="1" s="1"/>
  <c r="D252" i="1" l="1" a="1"/>
  <c r="D252" i="1" s="1"/>
  <c r="E252" i="1" s="1"/>
  <c r="D253" i="1" l="1" a="1"/>
  <c r="D253" i="1" s="1"/>
  <c r="E253" i="1" s="1"/>
  <c r="D254" i="1" l="1" a="1"/>
  <c r="D254" i="1" s="1"/>
  <c r="E254" i="1" s="1"/>
  <c r="D255" i="1" l="1" a="1"/>
  <c r="D255" i="1" s="1"/>
  <c r="E255" i="1" s="1"/>
  <c r="D256" i="1" l="1" a="1"/>
  <c r="D256" i="1" s="1"/>
  <c r="E256" i="1" s="1"/>
  <c r="D257" i="1" l="1" a="1"/>
  <c r="D257" i="1" s="1"/>
  <c r="E257" i="1" s="1"/>
  <c r="D258" i="1" l="1" a="1"/>
  <c r="D258" i="1" s="1"/>
  <c r="E258" i="1" s="1"/>
  <c r="D259" i="1" l="1" a="1"/>
  <c r="D259" i="1" s="1"/>
  <c r="E259" i="1" s="1"/>
  <c r="D260" i="1" l="1" a="1"/>
  <c r="D260" i="1" s="1"/>
  <c r="E260" i="1" s="1"/>
  <c r="D261" i="1" l="1" a="1"/>
  <c r="D261" i="1" s="1"/>
  <c r="E261" i="1" s="1"/>
  <c r="D262" i="1" l="1" a="1"/>
  <c r="D262" i="1" s="1"/>
  <c r="E262" i="1" s="1"/>
  <c r="D263" i="1" l="1" a="1"/>
  <c r="D263" i="1" s="1"/>
  <c r="E263" i="1" s="1"/>
  <c r="D264" i="1" l="1" a="1"/>
  <c r="D264" i="1" s="1"/>
  <c r="E264" i="1" s="1"/>
  <c r="D265" i="1" l="1" a="1"/>
  <c r="D265" i="1" s="1"/>
  <c r="E265" i="1" s="1"/>
  <c r="D266" i="1" l="1" a="1"/>
  <c r="D266" i="1" s="1"/>
  <c r="E266" i="1" s="1"/>
  <c r="D267" i="1" l="1" a="1"/>
  <c r="D267" i="1" s="1"/>
  <c r="E267" i="1" s="1"/>
  <c r="D268" i="1" l="1" a="1"/>
  <c r="D268" i="1" s="1"/>
  <c r="E268" i="1" s="1"/>
  <c r="D269" i="1" l="1" a="1"/>
  <c r="D269" i="1" s="1"/>
  <c r="E269" i="1" s="1"/>
  <c r="D270" i="1" l="1" a="1"/>
  <c r="D270" i="1" s="1"/>
  <c r="E270" i="1" s="1"/>
  <c r="D271" i="1" l="1" a="1"/>
  <c r="D271" i="1" s="1"/>
  <c r="E271" i="1" s="1"/>
  <c r="D272" i="1" l="1" a="1"/>
  <c r="D272" i="1" s="1"/>
  <c r="E272" i="1" s="1"/>
  <c r="D273" i="1" l="1" a="1"/>
  <c r="D273" i="1" s="1"/>
  <c r="E273" i="1" s="1"/>
  <c r="D274" i="1" l="1" a="1"/>
  <c r="D274" i="1" s="1"/>
  <c r="E274" i="1" s="1"/>
  <c r="D275" i="1" l="1" a="1"/>
  <c r="D275" i="1" s="1"/>
  <c r="E275" i="1" s="1"/>
  <c r="D276" i="1" l="1" a="1"/>
  <c r="D276" i="1" s="1"/>
  <c r="E276" i="1" s="1"/>
  <c r="D277" i="1" l="1" a="1"/>
  <c r="D277" i="1" s="1"/>
  <c r="E277" i="1" s="1"/>
  <c r="D278" i="1" l="1" a="1"/>
  <c r="D278" i="1" s="1"/>
  <c r="E278" i="1" s="1"/>
  <c r="D279" i="1" l="1" a="1"/>
  <c r="D279" i="1" s="1"/>
  <c r="E279" i="1" s="1"/>
  <c r="D280" i="1" l="1" a="1"/>
  <c r="D280" i="1" s="1"/>
  <c r="D281" i="1" s="1" a="1"/>
  <c r="D281" i="1" s="1"/>
  <c r="D282" i="1" l="1" a="1"/>
  <c r="D282" i="1" s="1"/>
  <c r="D283" i="1" l="1" a="1"/>
  <c r="D283" i="1" s="1"/>
  <c r="D284" i="1" l="1" a="1"/>
  <c r="D284" i="1" s="1"/>
  <c r="D285" i="1" l="1" a="1"/>
  <c r="D285" i="1" s="1"/>
  <c r="D286" i="1" l="1" a="1"/>
  <c r="D286" i="1" s="1"/>
  <c r="D287" i="1" l="1" a="1"/>
  <c r="D287" i="1" s="1"/>
  <c r="D288" i="1" l="1" a="1"/>
  <c r="D288" i="1" s="1"/>
  <c r="D289" i="1" l="1" a="1"/>
  <c r="D289" i="1" s="1"/>
  <c r="D290" i="1" l="1" a="1"/>
  <c r="D290" i="1" s="1"/>
  <c r="D291" i="1" l="1" a="1"/>
  <c r="D291" i="1" s="1"/>
  <c r="D292" i="1" l="1" a="1"/>
  <c r="D292" i="1" s="1"/>
  <c r="D293" i="1" l="1" a="1"/>
  <c r="D293" i="1" s="1"/>
  <c r="D294" i="1" l="1" a="1"/>
  <c r="D294" i="1" s="1"/>
  <c r="D295" i="1" l="1" a="1"/>
  <c r="D295" i="1" s="1"/>
  <c r="D296" i="1" l="1" a="1"/>
  <c r="D296" i="1" s="1"/>
  <c r="D297" i="1" l="1" a="1"/>
  <c r="D297" i="1" s="1"/>
  <c r="D298" i="1" l="1" a="1"/>
  <c r="D298" i="1" s="1"/>
  <c r="D299" i="1" l="1" a="1"/>
  <c r="D299" i="1" s="1"/>
  <c r="D300" i="1" l="1" a="1"/>
  <c r="D300" i="1" s="1"/>
  <c r="D301" i="1" l="1" a="1"/>
  <c r="D301" i="1" s="1"/>
  <c r="D302" i="1" l="1" a="1"/>
  <c r="D302" i="1" s="1"/>
  <c r="D303" i="1" l="1" a="1"/>
  <c r="D303" i="1" s="1"/>
  <c r="D304" i="1" l="1" a="1"/>
  <c r="D304" i="1" s="1"/>
  <c r="D305" i="1" l="1" a="1"/>
  <c r="D305" i="1" s="1"/>
  <c r="D306" i="1" l="1" a="1"/>
  <c r="D306" i="1" s="1"/>
  <c r="D307" i="1" l="1" a="1"/>
  <c r="D307" i="1" s="1"/>
  <c r="D308" i="1" l="1" a="1"/>
  <c r="D308" i="1" s="1"/>
  <c r="D309" i="1" l="1" a="1"/>
  <c r="D309" i="1" s="1"/>
  <c r="D310" i="1" l="1" a="1"/>
  <c r="D310" i="1" s="1"/>
  <c r="D311" i="1" l="1" a="1"/>
  <c r="D311" i="1" s="1"/>
  <c r="D312" i="1" l="1" a="1"/>
  <c r="D312" i="1" s="1"/>
  <c r="D313" i="1" l="1" a="1"/>
  <c r="D313" i="1" s="1"/>
  <c r="D314" i="1" l="1" a="1"/>
  <c r="D314" i="1" s="1"/>
  <c r="D315" i="1" l="1" a="1"/>
  <c r="D315" i="1" s="1"/>
  <c r="D316" i="1" l="1" a="1"/>
  <c r="D316" i="1" s="1"/>
  <c r="D317" i="1" l="1" a="1"/>
  <c r="D317" i="1" s="1"/>
  <c r="D318" i="1" l="1" a="1"/>
  <c r="D318" i="1" s="1"/>
  <c r="D319" i="1" l="1" a="1"/>
  <c r="D319" i="1" s="1"/>
  <c r="D320" i="1" l="1" a="1"/>
  <c r="D320" i="1" s="1"/>
  <c r="D321" i="1" l="1" a="1"/>
  <c r="D321" i="1" s="1"/>
  <c r="D322" i="1" l="1" a="1"/>
  <c r="D322" i="1" s="1"/>
  <c r="D323" i="1" l="1" a="1"/>
  <c r="D323" i="1" s="1"/>
  <c r="D324" i="1" l="1" a="1"/>
  <c r="D324" i="1" s="1"/>
  <c r="D325" i="1" l="1" a="1"/>
  <c r="D325" i="1" s="1"/>
  <c r="D326" i="1" l="1" a="1"/>
  <c r="D326" i="1" s="1"/>
  <c r="D327" i="1" l="1" a="1"/>
  <c r="D327" i="1" s="1"/>
  <c r="D328" i="1" l="1" a="1"/>
  <c r="D328" i="1" s="1"/>
  <c r="D329" i="1" l="1" a="1"/>
  <c r="D329" i="1" s="1"/>
  <c r="D330" i="1" l="1" a="1"/>
  <c r="D330" i="1" s="1"/>
  <c r="D331" i="1" l="1" a="1"/>
  <c r="D331" i="1" s="1"/>
  <c r="D332" i="1" l="1" a="1"/>
  <c r="D332" i="1" s="1"/>
  <c r="D333" i="1" l="1" a="1"/>
  <c r="D333" i="1" s="1"/>
  <c r="D334" i="1" l="1" a="1"/>
  <c r="D334" i="1" s="1"/>
  <c r="D335" i="1" l="1" a="1"/>
  <c r="D335" i="1" s="1"/>
  <c r="D336" i="1" l="1" a="1"/>
  <c r="D336" i="1" s="1"/>
  <c r="D337" i="1" l="1" a="1"/>
  <c r="D337" i="1" s="1"/>
  <c r="D338" i="1" l="1" a="1"/>
  <c r="D338" i="1" s="1"/>
  <c r="D339" i="1" l="1" a="1"/>
  <c r="D339" i="1" s="1"/>
  <c r="D340" i="1" l="1" a="1"/>
  <c r="D340" i="1" s="1"/>
  <c r="D341" i="1" l="1" a="1"/>
  <c r="D341" i="1" s="1"/>
  <c r="D342" i="1" l="1" a="1"/>
  <c r="D342" i="1" s="1"/>
  <c r="D343" i="1" l="1" a="1"/>
  <c r="D343" i="1" s="1"/>
  <c r="D344" i="1" l="1" a="1"/>
  <c r="D344" i="1" s="1"/>
  <c r="D345" i="1" l="1" a="1"/>
  <c r="D345" i="1" s="1"/>
  <c r="D346" i="1" l="1" a="1"/>
  <c r="D346" i="1" s="1"/>
  <c r="D347" i="1" l="1" a="1"/>
  <c r="D347" i="1" s="1"/>
  <c r="D348" i="1" l="1" a="1"/>
  <c r="D348" i="1" s="1"/>
  <c r="D349" i="1" l="1" a="1"/>
  <c r="D349" i="1" s="1"/>
  <c r="D350" i="1" l="1" a="1"/>
  <c r="D350" i="1" s="1"/>
  <c r="D351" i="1" l="1" a="1"/>
  <c r="D351" i="1" s="1"/>
  <c r="D352" i="1" l="1" a="1"/>
  <c r="D352" i="1" s="1"/>
  <c r="D353" i="1" l="1" a="1"/>
  <c r="D353" i="1" s="1"/>
  <c r="D354" i="1" l="1" a="1"/>
  <c r="D354" i="1" s="1"/>
  <c r="D355" i="1" l="1" a="1"/>
  <c r="D355" i="1" s="1"/>
  <c r="D356" i="1" l="1" a="1"/>
  <c r="D356" i="1" s="1"/>
  <c r="D357" i="1" l="1" a="1"/>
  <c r="D357" i="1" s="1"/>
  <c r="D358" i="1" l="1" a="1"/>
  <c r="D358" i="1" s="1"/>
  <c r="D359" i="1" l="1" a="1"/>
  <c r="D359" i="1" s="1"/>
  <c r="D360" i="1" l="1" a="1"/>
  <c r="D360" i="1" s="1"/>
  <c r="D361" i="1" l="1" a="1"/>
  <c r="D361" i="1" s="1"/>
  <c r="D362" i="1" l="1" a="1"/>
  <c r="D362" i="1" s="1"/>
  <c r="D363" i="1" l="1" a="1"/>
  <c r="D363" i="1" s="1"/>
  <c r="D364" i="1" l="1" a="1"/>
  <c r="D364" i="1" s="1"/>
  <c r="D365" i="1" l="1" a="1"/>
  <c r="D365" i="1" s="1"/>
  <c r="D366" i="1" l="1" a="1"/>
  <c r="D366" i="1" s="1"/>
  <c r="D367" i="1" l="1" a="1"/>
  <c r="D367" i="1" s="1"/>
  <c r="D368" i="1" l="1" a="1"/>
  <c r="D368" i="1" s="1"/>
  <c r="D369" i="1" l="1" a="1"/>
  <c r="D369" i="1" s="1"/>
  <c r="D370" i="1" l="1" a="1"/>
  <c r="D370" i="1" s="1"/>
  <c r="D371" i="1" l="1" a="1"/>
  <c r="D371" i="1" s="1"/>
  <c r="D372" i="1" l="1" a="1"/>
  <c r="D372" i="1" s="1"/>
  <c r="D373" i="1" l="1" a="1"/>
  <c r="D373" i="1" s="1"/>
  <c r="D374" i="1" l="1" a="1"/>
  <c r="D374" i="1" s="1"/>
  <c r="D375" i="1" l="1" a="1"/>
  <c r="D375" i="1" s="1"/>
  <c r="D376" i="1" l="1" a="1"/>
  <c r="D376" i="1" s="1"/>
  <c r="D377" i="1" l="1" a="1"/>
  <c r="D377" i="1" s="1"/>
  <c r="D378" i="1" l="1" a="1"/>
  <c r="D378" i="1" s="1"/>
  <c r="D379" i="1" l="1" a="1"/>
  <c r="D379" i="1" s="1"/>
  <c r="D380" i="1" l="1" a="1"/>
  <c r="D380" i="1" s="1"/>
  <c r="D381" i="1" l="1" a="1"/>
  <c r="D381" i="1" s="1"/>
  <c r="D382" i="1" l="1" a="1"/>
  <c r="D382" i="1" s="1"/>
  <c r="D383" i="1" l="1" a="1"/>
  <c r="D383" i="1" s="1"/>
  <c r="D384" i="1" l="1" a="1"/>
  <c r="D384" i="1" s="1"/>
  <c r="D385" i="1" l="1" a="1"/>
  <c r="D385" i="1" s="1"/>
  <c r="D386" i="1" l="1" a="1"/>
  <c r="D386" i="1" s="1"/>
  <c r="D387" i="1" l="1" a="1"/>
  <c r="D387" i="1" s="1"/>
  <c r="D388" i="1" l="1" a="1"/>
  <c r="D388" i="1" s="1"/>
  <c r="D389" i="1" l="1" a="1"/>
  <c r="D389" i="1" s="1"/>
  <c r="D390" i="1" l="1" a="1"/>
  <c r="D390" i="1" s="1"/>
  <c r="D391" i="1" l="1" a="1"/>
  <c r="D391" i="1" s="1"/>
  <c r="D392" i="1" l="1" a="1"/>
  <c r="D392" i="1" s="1"/>
  <c r="D393" i="1" l="1" a="1"/>
  <c r="D393" i="1" s="1"/>
  <c r="D394" i="1" l="1" a="1"/>
  <c r="D394" i="1" s="1"/>
  <c r="D395" i="1" l="1" a="1"/>
  <c r="D395" i="1" s="1"/>
  <c r="D396" i="1" l="1" a="1"/>
  <c r="D396" i="1" s="1"/>
  <c r="D397" i="1" l="1" a="1"/>
  <c r="D397" i="1" s="1"/>
  <c r="D398" i="1" l="1" a="1"/>
  <c r="D398" i="1" s="1"/>
  <c r="D399" i="1" l="1" a="1"/>
  <c r="D399" i="1" s="1"/>
  <c r="D400" i="1" l="1" a="1"/>
  <c r="D400" i="1" s="1"/>
  <c r="D401" i="1" l="1" a="1"/>
  <c r="D401" i="1" s="1"/>
  <c r="D402" i="1" l="1" a="1"/>
  <c r="D402" i="1" s="1"/>
  <c r="D403" i="1" l="1" a="1"/>
  <c r="D403" i="1" s="1"/>
  <c r="D404" i="1" l="1" a="1"/>
  <c r="D404" i="1" s="1"/>
  <c r="D405" i="1" l="1" a="1"/>
  <c r="D405" i="1" s="1"/>
  <c r="D406" i="1" l="1" a="1"/>
  <c r="D406" i="1" s="1"/>
  <c r="D407" i="1" l="1" a="1"/>
  <c r="D407" i="1" s="1"/>
  <c r="D408" i="1" l="1" a="1"/>
  <c r="D408" i="1" s="1"/>
  <c r="D409" i="1" l="1" a="1"/>
  <c r="D409" i="1" s="1"/>
  <c r="D410" i="1" l="1" a="1"/>
  <c r="D410" i="1" s="1"/>
  <c r="D411" i="1" l="1" a="1"/>
  <c r="D411" i="1" s="1"/>
  <c r="D412" i="1" l="1" a="1"/>
  <c r="D412" i="1" s="1"/>
  <c r="D413" i="1" l="1" a="1"/>
  <c r="D413" i="1" s="1"/>
  <c r="D414" i="1" l="1" a="1"/>
  <c r="D414" i="1" s="1"/>
  <c r="D415" i="1" l="1" a="1"/>
  <c r="D415" i="1" s="1"/>
  <c r="D416" i="1" l="1" a="1"/>
  <c r="D416" i="1" s="1"/>
  <c r="D417" i="1" l="1" a="1"/>
  <c r="D417" i="1" s="1"/>
  <c r="D418" i="1" l="1" a="1"/>
  <c r="D418" i="1" s="1"/>
  <c r="D419" i="1" l="1" a="1"/>
  <c r="D419" i="1" s="1"/>
  <c r="D420" i="1" l="1" a="1"/>
  <c r="D420" i="1" s="1"/>
  <c r="D421" i="1" l="1" a="1"/>
  <c r="D421" i="1" s="1"/>
  <c r="D422" i="1" l="1" a="1"/>
  <c r="D422" i="1" s="1"/>
  <c r="D423" i="1" l="1" a="1"/>
  <c r="D423" i="1" s="1"/>
  <c r="D424" i="1" l="1" a="1"/>
  <c r="D424" i="1" s="1"/>
  <c r="D425" i="1" l="1" a="1"/>
  <c r="D425" i="1" s="1"/>
  <c r="D426" i="1" l="1" a="1"/>
  <c r="D426" i="1" s="1"/>
  <c r="D427" i="1" l="1" a="1"/>
  <c r="D427" i="1" s="1"/>
  <c r="D428" i="1" l="1" a="1"/>
  <c r="D428" i="1" s="1"/>
  <c r="D429" i="1" l="1" a="1"/>
  <c r="D429" i="1" s="1"/>
  <c r="D430" i="1" l="1" a="1"/>
  <c r="D430" i="1" s="1"/>
  <c r="D431" i="1" l="1" a="1"/>
  <c r="D431" i="1" s="1"/>
  <c r="D432" i="1" l="1" a="1"/>
  <c r="D432" i="1" s="1"/>
  <c r="D433" i="1" l="1" a="1"/>
  <c r="D433" i="1" s="1"/>
  <c r="D434" i="1" l="1" a="1"/>
  <c r="D434" i="1" s="1"/>
  <c r="D435" i="1" l="1" a="1"/>
  <c r="D4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<sst xmlns="http://schemas.openxmlformats.org/spreadsheetml/2006/main" count="86" uniqueCount="64">
  <si>
    <t>Institution Name</t>
  </si>
  <si>
    <t>Credential ID</t>
  </si>
  <si>
    <t>Next Cursor</t>
  </si>
  <si>
    <t>Balance</t>
  </si>
  <si>
    <t>Mask</t>
  </si>
  <si>
    <t>Name</t>
  </si>
  <si>
    <t>Plaid Account ID</t>
  </si>
  <si>
    <t>Subtype</t>
  </si>
  <si>
    <t>Type</t>
  </si>
  <si>
    <t>Account ID</t>
  </si>
  <si>
    <t>Action</t>
  </si>
  <si>
    <t>Amount</t>
  </si>
  <si>
    <t>Categories</t>
  </si>
  <si>
    <t>ISO Currency Code</t>
  </si>
  <si>
    <t>Merchant Name</t>
  </si>
  <si>
    <t>Payment Channel</t>
  </si>
  <si>
    <t>Pending</t>
  </si>
  <si>
    <t>Transaction ID</t>
  </si>
  <si>
    <t>Account Name</t>
  </si>
  <si>
    <t>Bank</t>
  </si>
  <si>
    <t>Custom Category</t>
  </si>
  <si>
    <t>Operation</t>
  </si>
  <si>
    <t>Row Labels</t>
  </si>
  <si>
    <t>Datetime</t>
  </si>
  <si>
    <t>Custom Categories</t>
  </si>
  <si>
    <t>Month's Total</t>
  </si>
  <si>
    <t>Month</t>
  </si>
  <si>
    <t>Recent</t>
  </si>
  <si>
    <t>Budget</t>
  </si>
  <si>
    <t>Spending Report</t>
  </si>
  <si>
    <t>Budgets</t>
  </si>
  <si>
    <t>Frequency</t>
  </si>
  <si>
    <t>Weekly</t>
  </si>
  <si>
    <t>Daily</t>
  </si>
  <si>
    <t>Bi-Weekly</t>
  </si>
  <si>
    <t>Monthly</t>
  </si>
  <si>
    <t>Quartery</t>
  </si>
  <si>
    <t>Bi-Yearly</t>
  </si>
  <si>
    <t>Yearly</t>
  </si>
  <si>
    <t>Factor</t>
  </si>
  <si>
    <t>6M AVG</t>
  </si>
  <si>
    <t>6M Average</t>
  </si>
  <si>
    <t xml:space="preserve"> Budget</t>
  </si>
  <si>
    <t>Sel Month</t>
  </si>
  <si>
    <t>Montly Spending</t>
  </si>
  <si>
    <t>Total</t>
  </si>
  <si>
    <t>(blank)</t>
  </si>
  <si>
    <t>Column</t>
  </si>
  <si>
    <t>Formula</t>
  </si>
  <si>
    <t>XLOOKUP([@[Account ID]],Accounts[Plaid Account ID],Accounts[Name],"Not Found",0)</t>
  </si>
  <si>
    <t>XLOOKUP([@[Account ID]],Accounts[Plaid Account ID],Accounts[Institution Name],"Not Found",0)</t>
  </si>
  <si>
    <t>IF([@Amount]&lt;0,"credit","debit")</t>
  </si>
  <si>
    <t>IF(
    ISNUMBER(MATCH([@Categories], FILTER(Custom_Cat[Name], LEN(Custom_Cat[Name]) &gt;= 3), 0)),
    INDEX(Custom_Cat[Custom Category], MATCH([@Categories], FILTER(Custom_Cat[Name], LEN(Custom_Cat[Name]) &gt;= 3), 0)),
    IFERROR(
        INDEX(
            Custom_Cat[Custom Category],
            MATCH(
                1,
                (ISNUMBER(SEARCH(LOWER(Custom_Cat[Name]), LOWER([@Name]))))
                * (LEN(Custom_Cat[Name]) &gt;= 3)
                * (
                    (IF(LEFT(Custom_Cat[Amount],1)="&lt;",[@Amount]&lt;VALUE(MID(Custom_Cat[Amount], 2, LEN(Custom_Cat[Amount])-1)),TRUE))
                    * (IF(LEFT(Custom_Cat[Amount],1)="&gt;",[@Amount]&gt;VALUE(MID(Custom_Cat[Amount], 2, LEN(Custom_Cat[Amount])-1)),TRUE))
                ),
                0
            )
        ),
        [@Categories]
    )
)</t>
  </si>
  <si>
    <t>DATE(YEAR([@Datetime]),MONTH([@Datetime]),1)</t>
  </si>
  <si>
    <t>AND([@Datetime]&gt;=EDATE(MAX([Datetime]),-6),[@Datetime]&lt;=TODAY())</t>
  </si>
  <si>
    <t>AVERAGEIFS([Month''s Total],[Recent],TRUE,[Custom Category],[@[Custom Category]])</t>
  </si>
  <si>
    <t>SUMIFS([Amount],[Month],[@Month],[Custom Category],[@[Custom Category]])</t>
  </si>
  <si>
    <t>IF(COUNTIF(Budgets[Custom Category],[@[Custom Category]])=0,[@[6M AVG]],XLOOKUP([@[Custom Category]],Budgets[Custom Category],Budgets[Monthly],0,0))</t>
  </si>
  <si>
    <t>IF([@Month]=Sel_Month,[@Amount],0)</t>
  </si>
  <si>
    <t>Sel_Month</t>
  </si>
  <si>
    <t>Dashboard!$D$2</t>
  </si>
  <si>
    <t>Unique_Months</t>
  </si>
  <si>
    <t>OFFSET(Conf!$D$1, 0, 0, COUNTA(Conf!$D:$D), 1)</t>
  </si>
  <si>
    <t>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</si>
</sst>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$&quot;#,##0"/>
    <numFmt numFmtId="165" formatCode="_-&quot;$&quot;* #,##0_-;\-&quot;$&quot;* #,##0_-;_-&quot;$&quot;* &quot;-&quot;??_-;_-@_-"/>
    <numFmt numFmtId="166" formatCode="yyyy\ mmmm"/>
    <numFmt numFmtId="167" formatCode="yyyy\ /\ m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8" fillId="0" borderId="0" xfId="0" applyFont="1"/>
    <xf numFmtId="164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0" fontId="13" fillId="33" borderId="10" xfId="0" applyFont="1" applyFill="1" applyBorder="1" applyAlignment="1">
      <alignment horizontal="center" wrapText="1"/>
    </xf>
    <xf numFmtId="166" fontId="16" fillId="34" borderId="11" xfId="0" applyNumberFormat="1" applyFont="1" applyFill="1" applyBorder="1"/>
    <xf numFmtId="164" fontId="16" fillId="0" borderId="0" xfId="42" applyNumberFormat="1" applyFont="1"/>
    <xf numFmtId="9" fontId="0" fillId="0" borderId="0" xfId="43" applyFont="1"/>
    <xf numFmtId="0" fontId="0" fillId="0" borderId="0" xfId="0" applyAlignment="1">
      <alignment horizontal="left" indent="1"/>
    </xf>
    <xf numFmtId="0" fontId="0" fillId="0" borderId="0" xfId="0" quotePrefix="1"/>
    <xf numFmtId="0" fontId="0" fillId="0" borderId="0" xfId="0" quotePrefix="1" applyAlignment="1">
      <alignment wrapText="1"/>
    </xf>
    <xf numFmtId="14" fontId="0" fillId="0" borderId="0" xfId="0" quotePrefix="1" applyNumberFormat="1"/>
    <xf numFmtId="165" fontId="0" fillId="0" borderId="0" xfId="42" quotePrefix="1" applyNumberFormat="1" applyFont="1"/>
    <xf numFmtId="165" fontId="0" fillId="0" borderId="0" xfId="42" quotePrefix="1" applyNumberFormat="1" applyFont="1" applyAlignment="1"/>
    <xf numFmtId="167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>
          <bgColor theme="7" tint="0.79998168889431442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i val="0"/>
        <color theme="0"/>
      </font>
      <fill>
        <patternFill>
          <bgColor theme="4" tint="-0.24994659260841701"/>
        </patternFill>
      </fill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&quot;$&quot;* #,##0_-;\-&quot;$&quot;* #,##0_-;_-&quot;$&quot;* &quot;-&quot;??_-;_-@_-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65" formatCode="_-&quot;$&quot;* #,##0_-;\-&quot;$&quot;* #,##0_-;_-&quot;$&quot;* &quot;-&quot;??_-;_-@_-"/>
    </dxf>
    <dxf>
      <numFmt numFmtId="165" formatCode="_-&quot;$&quot;* #,##0_-;\-&quot;$&quot;* #,##0_-;_-&quot;$&quot;* &quot;-&quot;??_-;_-@_-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R Avila" refreshedDate="45439.47231863426" createdVersion="8" refreshedVersion="8" minRefreshableVersion="3" recordCount="1" xr:uid="{5FC5BD91-43B0-466F-80B0-6090B5667A20}">
  <cacheSource type="worksheet">
    <worksheetSource name="Transactions"/>
  </cacheSource>
  <cacheFields count="22">
    <cacheField name="Account ID" numFmtId="0">
      <sharedItems containsNonDate="0" containsString="0" containsBlank="1"/>
    </cacheField>
    <cacheField name="Action" numFmtId="0">
      <sharedItems containsNonDate="0" containsString="0" containsBlank="1"/>
    </cacheField>
    <cacheField name="Amount" numFmtId="0">
      <sharedItems containsNonDate="0" containsString="0" containsBlank="1"/>
    </cacheField>
    <cacheField name="Categories" numFmtId="0">
      <sharedItems containsNonDate="0" containsString="0" containsBlank="1"/>
    </cacheField>
    <cacheField name="Date" numFmtId="0">
      <sharedItems containsNonDate="0" containsString="0" containsBlank="1"/>
    </cacheField>
    <cacheField name="ISO Currency Code" numFmtId="0">
      <sharedItems containsNonDate="0" containsString="0" containsBlank="1"/>
    </cacheField>
    <cacheField name="Merchant Name" numFmtId="0">
      <sharedItems containsNonDate="0" containsString="0" containsBlank="1"/>
    </cacheField>
    <cacheField name="Name" numFmtId="0">
      <sharedItems containsNonDate="0" containsBlank="1" count="304">
        <m/>
        <s v="Online Banking transfer - 8102" u="1"/>
        <s v="Online Banking transfer - 0349" u="1"/>
        <s v="e-Transfer sent Manuel CIBC" u="1"/>
        <s v="e-Transfer sent Mon Petit Univers" u="1"/>
        <s v="e-Transfer sent Paula Amariles" u="1"/>
        <s v="Online transfer received - 5342 AUTOMATOS CONSULTING INC." u="1"/>
        <s v="Online transfer received - 2148 AUTOMATOS CONSULTING INC." u="1"/>
        <s v="Online transfer received - 4899 AUTOMATOS CONSULTING INC." u="1"/>
        <s v="Online transfer received - 8625 AUTOMATOS CONSULTING INC." u="1"/>
        <s v="e-Transfer sent LaPennaco" u="1"/>
        <s v="Online Banking foreign exchange Ref 3WW581121309410" u="1"/>
        <s v="Online transfer received - 3041 AUTOMATOS CONSULTING INC." u="1"/>
        <s v="Online Banking transfer - 4870" u="1"/>
        <s v="Online Banking transfer - 0755" u="1"/>
        <s v="Online transfer received - 3234 AUTOMATOS CONSULTING INC." u="1"/>
        <s v="Online transfer received - 1411 AUTOMATOS CONSULTING INC." u="1"/>
        <s v="Online transfer received - 0616 AUTOMATOS CONSULTING INC." u="1"/>
        <s v="Online Banking transfer - 1618" u="1"/>
        <s v="Online transfer received - 6932 AUTOMATOS CONSULTING INC." u="1"/>
        <s v="Online Banking transfer - 6501" u="1"/>
        <s v="Online transfer received - 2887 AUTOMATOS CONSULTING INC." u="1"/>
        <s v="Online Banking transfer - 2688" u="1"/>
        <s v="Online transfer received - 4351 AUTOMATOS CONSULTING INC." u="1"/>
        <s v="Online transfer received - 4127 AUTOMATOS CONSULTING INC." u="1"/>
        <s v="Online Banking transfer - 1014" u="1"/>
        <s v="Online transfer received - 7277 AUTOMATOS CONSULTING INC." u="1"/>
        <s v="Online Banking transfer - 9900" u="1"/>
        <s v="Online transfer received - 2054 AUTOMATOS CONSULTING INC." u="1"/>
        <s v="Online transfer received - 1611 AUTOMATOS CONSULTING INC." u="1"/>
        <s v="Online transfer received - 2847 AUTOMATOS CONSULTING INC." u="1"/>
        <s v="e-Transfer sent Ispak Chowdrury" u="1"/>
        <s v="Online Banking foreign exchange Ref 3WW071521104430" u="1"/>
        <s v="Online Banking transfer - 4095" u="1"/>
        <s v="Online Banking foreign exchange Ref 3WW891601318070" u="1"/>
        <s v="Online transfer received - 3221 AUTOMATOS CONSULTING INC." u="1"/>
        <s v="Online transfer received - 9162 AUTOMATOS CONSULTING INC." u="1"/>
        <s v="Online transfer received - 4483 AUTOMATOS CONSULTING INC." u="1"/>
        <s v="Online transfer received - 1408 AUTOMATOS CONSULTING INC." u="1"/>
        <s v="Online Banking transfer - 3793" u="1"/>
        <s v="Online transfer received - 6740 AUTOMATOS CONSULTING INC." u="1"/>
        <s v="Online transfer received - 8332 AUTOMATOS CONSULTING INC." u="1"/>
        <s v="Online transfer received - 0365 AUTOMATOS CONSULTING INC." u="1"/>
        <s v="Online transfer received - 5585 AUTOMATOS CONSULTING INC." u="1"/>
        <s v="Online Banking transfer - 5619" u="1"/>
        <s v="Online Banking transfer - 6093" u="1"/>
        <s v="Online transfer received - 8597 AUTOMATOS CONSULTING INC." u="1"/>
        <s v="Online transfer received - 6105 AUTOMATOS CONSULTING INC." u="1"/>
        <s v="Online transfer received - 1258" u="1"/>
        <s v="Online transfer received - 1026 AUTOMATOS CONSULTING INC." u="1"/>
        <s v="e-Transfer - Autodeposit MANUEL RICARDO AVILA RINCON" u="1"/>
        <s v="Online Banking transfer - 2606" u="1"/>
        <s v="Online Banking transfer - 6834" u="1"/>
        <s v="e-Transfer received Newton" u="1"/>
        <s v="Online Banking transfer - 9800" u="1"/>
        <s v="Online transfer received - 9448 AUTOMATOS CONSULTING INC." u="1"/>
        <s v="Online Banking transfer - 9138" u="1"/>
        <s v="Online transfer received - 8990 AUTOMATOS CONSULTING INC." u="1"/>
        <s v="Online transfer received - 1786 AUTOMATOS CONSULTING INC." u="1"/>
        <s v="Online transfer received - 0067 AUTOMATOS CONSULTING INC." u="1"/>
        <s v="Online Banking transfer - 7875" u="1"/>
        <s v="Online transfer received - 9728 AUTOMATOS CONSULTING INC." u="1"/>
        <s v="Online transfer received - 4485 AUTOMATOS CONSULTING INC." u="1"/>
        <s v="Online transfer received - 3007 AUTOMATOS CONSULTING INC." u="1"/>
        <s v="Online transfer received - 8737 AUTOMATOS CONSULTING INC." u="1"/>
        <s v="Online Banking transfer - 5392" u="1"/>
        <s v="Online Banking transfer - 4993" u="1"/>
        <s v="e-Transfer - Autodeposit PAULA ANDREA AMARILES RESTREPO" u="1"/>
        <s v="Online transfer received - 3680 AUTOMATOS CONSULTING INC." u="1"/>
        <s v="Online Banking transfer - 5395" u="1"/>
        <s v="e-Transfer sent Manuel Avila TD" u="1"/>
        <s v="Deposit interest" u="1"/>
        <s v="Online Banking transfer - 6079" u="1"/>
        <s v="Online Banking transfer - 1690" u="1"/>
        <s v="e-Transfer - Autodeposit Diana Lorena Cortes Rodriguez" u="1"/>
        <s v="Online Banking transfer - 4649" u="1"/>
        <s v="Online Banking transfer - 3777" u="1"/>
        <s v="Online Banking transfer - 8989" u="1"/>
        <s v="Online Banking transfer - 0011" u="1"/>
        <s v="Online Banking transfer - 3688" u="1"/>
        <s v="Online Banking foreign exchange Ref 3WW632771354390" u="1"/>
        <s v="Online Banking transfer - 5090" u="1"/>
        <s v="e-Transfer received ANA MARIA AVILA AMAYA" u="1"/>
        <s v="Online Banking transfer - 4485" u="1"/>
        <s v="Online Banking transfer - 5680" u="1"/>
        <s v="Online Banking transfer - 4435" u="1"/>
        <s v="Online Banking transfer - 2083" u="1"/>
        <s v="e-Transfer - Autodeposit PAULA ANDREA AMARILES RESTREPO CAY8sb9R" u="1"/>
        <s v="Online Banking transfer - 2738" u="1"/>
        <s v="e-Transfer - Autodeposit MANUEL RICARDO AVILA RINCON 0cd2f6fe66f64dd0aa925f05884d5a3f" u="1"/>
        <s v="Online Banking transfer - 2432" u="1"/>
        <s v="e-Transfer - Autodeposit Barian CAmhqnQ5" u="1"/>
        <s v="Online Banking transfer - 8644" u="1"/>
        <s v="Online Banking foreign exchange Ref 3WW653411143220" u="1"/>
        <s v="Online Banking transfer - 0154" u="1"/>
        <s v="e-Transfer - Autodeposit PAULA ANDREA AMARILES RESTREPO CAxxC563" u="1"/>
        <s v="e-Transfer - Autodeposit Diana Lorena Cortes Rodriguez CAjjxUg8" u="1"/>
        <s v="Online Banking transfer - 6257" u="1"/>
        <s v="e-Transfer - Autodeposit MANUEL RICARDO AVILA RINCON 866df5c0e6a443668856d0934814b60a" u="1"/>
        <s v="Online Banking transfer - 5187" u="1"/>
        <s v="e-Transfer - Autodeposit Barian CAUP5qeB" u="1"/>
        <s v="Online Banking foreign exchange Ref 3WW730011116110" u="1"/>
        <s v="e-Transfer - Autodeposit Diana Lorena Cortes Rodriguez CAPRWreS" u="1"/>
        <s v="Online Banking transfer - 2728" u="1"/>
        <s v="e-Transfer sent Gineth" u="1"/>
        <s v="Online Banking foreign exchange Ref 3WW940121534520" u="1"/>
        <s v="Online Banking transfer - 0982" u="1"/>
        <s v="e-Transfer - Autodeposit MANUEL RICARDO AVILA RINCON 10079616303949588b53bdb2d84ee2d2" u="1"/>
        <s v="e-Transfer - Autodeposit Diana Lorena Cortes Rodriguez CAfVTsBs" u="1"/>
        <s v="Online Banking transfer - 0080" u="1"/>
        <s v="Online Banking transfer - 9066" u="1"/>
        <s v="e-Transfer - Autodeposit MANUEL RICARDO AVILA RINCON 9db7c125b8754c2194260a0d5da219be" u="1"/>
        <s v="e-Transfer sent MANUEL RICARDO AVILA RINCON GXYSZW" u="1"/>
        <s v="Online transfer received - 0285 AUTOMATOS CONSULTING INC." u="1"/>
        <s v="Online Banking transfer - 4629" u="1"/>
        <s v="e-Transfer - Autodeposit MANUEL RICARDO AVILA RINCON fdb6f95792c54a589301ad2474056ceb" u="1"/>
        <s v="Online Banking transfer - 4731" u="1"/>
        <s v="e-Transfer - Autodeposit MANUEL RICARDO AVILA RINCON ce538d3d597a45e29ccef43baa8fdd0e" u="1"/>
        <s v="e-Transfer - Autodeposit MANUEL RICARDO AVILA RINCON 865e74ad09d14894bf88a52e952d9abd" u="1"/>
        <s v="Online Banking transfer - 1200" u="1"/>
        <s v="Online Banking transfer - 0315" u="1"/>
        <s v="e-Transfer - Autodeposit MANUEL RICARDO AVILA RINCON 8eb3f1cf86714730b60c6d2ce1730172" u="1"/>
        <s v="Online Banking transfer - 5233" u="1"/>
        <s v="e-Transfer - Autodeposit MANUEL RICARDO AVILA RINCON 828b28a5fccf4142b249a0b4f882cf2c" u="1"/>
        <s v="e-Transfer - Autodeposit PAULA ANDREA AMARILES RESTREPO C1AXmQRfsEmn" u="1"/>
        <s v="Online Banking foreign exchange Ref 3WW771732107150" u="1"/>
        <s v="e-Transfer - Autodeposit MANUEL RICARDO AVILA RINCON eaa3ceb1e76c409988d43f1754874929" u="1"/>
        <s v="Online Banking transfer - 6496" u="1"/>
        <s v="e-Transfer - Autodeposit MANUEL RICARDO AVILA RINCON 596ca157048b42dcb206a8d23b06aaa6" u="1"/>
        <s v="Online Banking transfer - 7034" u="1"/>
        <s v="e-Transfer - Autodeposit MANUEL RICARDO AVILA RINCON f03b9bd35860454292419f3195a316bc" u="1"/>
        <s v="Online Banking transfer - 6109" u="1"/>
        <s v="e-Transfer - Autodeposit PAULA ANDREA AMARILES RESTREPO C1AsY8XfTBkh" u="1"/>
        <s v="Online Banking foreign exchange Ref 3WW812401442430" u="1"/>
        <s v="e-Transfer - Autodeposit PAULA ANDREA AMARILES RESTREPO C1A7TDReBgnm" u="1"/>
        <s v="Misc Payment PAYPAL" u="1"/>
        <s v="e-Transfer - Autodeposit PAULA ANDREA AMARILES RESTREPO C1A53JMEBquV" u="1"/>
        <s v="e-Transfer - Autodeposit PAULA ANDREA AMARILES RESTREPO C1Avy9FkM43a" u="1"/>
        <s v="Utility Bill Pmt Enbridge Gas" u="1"/>
        <s v="Online Banking payment - 0118 AMEX REGULAR" u="1"/>
        <s v="e-Transfer - Autodeposit PAULA ANDREA AMARILES RESTREPO C1AXk5zvYCur" u="1"/>
        <s v="Online Banking transfer - 8029" u="1"/>
        <s v="e-Transfer - Autodeposit PAULA ANDREA AMARILES RESTREPO C1AhjycnZYz8" u="1"/>
        <s v="e-Transfer cancel" u="1"/>
        <s v="e-Transfer - Autodeposit Diana Lorena Cortes Rodriguez CADZ6cqj" u="1"/>
        <s v="e-Transfer - Autodeposit Diana Lorena Cortes Rodriguez CAUWec86" u="1"/>
        <s v="e-Transfer received David Alexander Garcia Hernandez CAfbjksk" u="1"/>
        <s v="Online Banking foreign exchange Ref 3WW342761132220" u="1"/>
        <s v="Personal Loan SPL" u="1"/>
        <s v="Online Banking transfer - 8082" u="1"/>
        <s v="Misc Payment Google LLC" u="1"/>
        <s v="e-Transfer - Autodeposit PAULA ANDREA AMARILES RESTREPO C1AC5Xj8dmVa" u="1"/>
        <s v="e-Transfer sent Costumes YCUP3R" u="1"/>
        <s v="Hydro Bill Pmt TORONTO HYDRO" u="1"/>
        <s v="e-Transfer sent Paula Amariles UAG3ZY" u="1"/>
        <s v="Climate Action Incentive CANADA" u="1"/>
        <s v="Misc Payment AMEX BILL PYMT" u="1"/>
        <s v="Insurance BELAIR INS/ASS." u="1"/>
        <s v="Life Insurance Foresters Life" u="1"/>
        <s v="e-Transfer - Autodeposit Ana Maria Avila Amaya C1ANs4zF4x4x" u="1"/>
        <s v="Online Banking foreign exchange Ref 3WW882862139100" u="1"/>
        <s v="Overdraft interest" u="1"/>
        <s v="e-Transfer sent Mina Morshed" u="1"/>
        <s v="Online Banking transfer - 6133" u="1"/>
        <s v="e-Transfer - Autodeposit PAULA ANDREA AMARILES RESTREPO C1AA8phgk9NF" u="1"/>
        <s v="e-Transfer sent Childcraft TKEJWD" u="1"/>
        <s v="e-Transfer - Autodeposit PAULA ANDREA AMARILES RESTREPO C1Ac22cpjPaj" u="1"/>
        <s v="Online transfer sent - 3876 Automatos Consulting" u="1"/>
        <s v="Misc Payment EBAY CANADA LTD" u="1"/>
        <s v="Misc Payment EBAY COMMERCE C" u="1"/>
        <s v="e-Transfer sent PAULA ANDREA AMARILES RESTREPO 278R32" u="1"/>
        <s v="e-Transfer sent Bridgeway 5RVK4S" u="1"/>
        <s v="e-Transfer sent Manuel Avila TD QKE8DT" u="1"/>
        <s v="e-Transfer - Autodeposit David Alexander Garcia Hernandez C1AGNfrBdtnD" u="1"/>
        <s v="e-Transfer - Autodeposit DIANA-LORENA CORTES-RODRIGUEZ C1AgwHkSqHbk" u="1"/>
        <s v="Online Banking transfer - 0802" u="1"/>
        <s v="e-Transfer sent Manuel CIBC ZX426H" u="1"/>
        <s v="Telephone Banking transfer Ref 091863135650660" u="1"/>
        <s v="e-Transfer sent Paula Amariles ZV9JKJ" u="1"/>
        <s v="e-Transfer - Autodeposit PAULA ANDREA AMARILES RESTREPO C1Ax3MvEyCUy" u="1"/>
        <s v="e-Transfer - Autodeposit PAULA ANDREA AMARILES RESTREPO C1AqXRXuHyNB" u="1"/>
        <s v="Online transfer received - 9143 AUTOMATOS CONSULTING INC." u="1"/>
        <s v="Online transfer received - 2633 AUTOMATOS CONSULTING INC." u="1"/>
        <s v="Funds transfer fee TT 1/THE GLOBAL" u="1"/>
        <s v="Funds transfer credit TT 1/THE GLOBAL" u="1"/>
        <s v="e-Transfer - Autodeposit David Alexander Garcia Hernandez C1AdpfCQkAdc" u="1"/>
        <s v="e-Transfer sent MANUEL RICARDO AVILA RINCON MRZYTE" u="1"/>
        <s v="e-Transfer sent Bridgeway GWV7K2" u="1"/>
        <s v="e-Transfer sent Dave BTBECY" u="1"/>
        <s v="e-Transfer - Autodeposit DIANA-LORENA CORTES-RODRIGUEZ C1AWrf2C5XsJ" u="1"/>
        <s v="e-Transfer sent Paula Amariles 8X7NYZ" u="1"/>
        <s v="Online Banking payment - 0336 CITY OF TORONTO" u="1"/>
        <s v="Online transfer received - 1425 AUTOMATOS CONSULTING INC." u="1"/>
        <s v="Online Banking transfer - 5682" u="1"/>
        <s v="e-Transfer sent Manuel Ricardo Avila Rincon GRAWRJ" u="1"/>
        <s v="Online Banking payment - 3127 QUESTRADE" u="1"/>
        <s v="e-Transfer sent David COLOCAR SF5MHE" u="1"/>
        <s v="Online transfer received - 5204 AUTOMATOS CONSULTING INC." u="1"/>
        <s v="e-Transfer - Autodeposit Ana Maria Avila Amaya C1AaVZ2Q6USQ" u="1"/>
        <s v="e-Transfer sent MANUEL RICARDO AVILA RINCON JCY9HZ" u="1"/>
        <s v="e-Transfer - Autodeposit MANUEL RICARDO AVILA RINCON C1AuTjG2u4Ef" u="1"/>
        <s v="Online Banking foreign exchange Ref 3WW773521438230" u="1"/>
        <s v="Online transfer received - 6439 AUTOMATOS CONSULTING INC." u="1"/>
        <s v="Online Banking transfer - 0179" u="1"/>
        <s v="e-Transfer sent Gineth W36CEW" u="1"/>
        <s v="e-Transfer - Autodeposit David Alexander Garcia Hernandez C1Ab2WHFeaFg" u="1"/>
        <s v="e-Transfer sent Dr Mersal 8Y6EBU" u="1"/>
        <s v="e-Transfer - Autodeposit DIANA-LORENA CORTES-RODRIGUEZ C1AR3thjcnF3" u="1"/>
        <s v="e-Transfer sent Bridgeway ULALS8" u="1"/>
        <s v="e-Transfer - Autodeposit PAULA ANDREA AMARILES RESTREPO C1AyRUXy9Kuw" u="1"/>
        <s v="Deposit" u="1"/>
        <s v="Online Banking transfer - 6332" u="1"/>
        <s v="e-Transfer sent Brendan 5P5JXR" u="1"/>
        <s v="Federal Climate Incentive CANADA" u="1"/>
        <s v="Online Banking foreign exchange Ref 3WW020161851260" u="1"/>
        <s v="e-Transfer sent MANUEL RICARDO AVILA RINCON 2VWXWY" u="1"/>
        <s v="Online transfer received - 0432 AUTOMATOS CONSULTING INC." u="1"/>
        <s v="e-Transfer sent Paula Amariles 7LZW59" u="1"/>
        <s v="e-Transfer - Autodeposit David Alexander Garcia Hernandez C1A9Q2gKph7g" u="1"/>
        <s v="e-Transfer sent Bridgeway U5DRE3" u="1"/>
        <s v="e-Transfer - Autodeposit DIANA-LORENA CORTES-RODRIGUEZ C1AEhsxepKnN" u="1"/>
        <s v="Online transfer received - 8925 AUTOMATOS CONSULTING INC." u="1"/>
        <s v="Online Banking transfer - 6378" u="1"/>
        <s v="CHEDRAUI POLANCO MEXICO DF DF 177.00 MXN @ .081000000000" u="1"/>
        <s v="CHEDRAUI POLANCO MEXICO DF DF 2889.38 MXN @ .080900000000" u="1"/>
        <s v="ANAM AICM T1 SALA E CIUDAD DE MEXDF 2484.00 MXN @ .081000000000" u="1"/>
        <s v="UBR* PENDING.UBER.COM AMSTERDAM NH 49.98 MXN @ .080800000000" u="1"/>
        <s v="ENVIAYA 4029357733 ON" u="1"/>
        <s v="Amazon" u="1"/>
        <s v="PHARMAOPORT MEX MEXICO DF DF 136.00 MXN @ .081500000000" u="1"/>
        <s v="UBR* PENDING.UBER.COM AMSTERDAM NH 49.98 MXN @ .081400000000" u="1"/>
        <s v="THE NEW YORK TIMES" u="1"/>
        <s v="EL PALACIO HIERRO POLA CIUDAD DE MEX000 460.80 MXN @ .081100000000" u="1"/>
        <s v="ZTL*BALLENARECORDS CIUDAD DE MEX 3030.00 MXN @ .081100000000" u="1"/>
        <s v="UBR* PENDING.UBER.COM AMSTERDAM NH 59.91 MXN @ .081100000000" u="1"/>
        <s v="Online Banking foreign exchange Ref 3WW730451634460" u="1"/>
        <s v="e-Transfer sent MANUEL RICARDO AVILA RINCON KPGBNJ" u="1"/>
        <s v="Online Banking transfer - 4038" u="1"/>
        <s v="PAYMENT - THANK YOU / PAIEMENT - MERCI" u="1"/>
        <s v="Service Charge MONTHLY FEES" u="1"/>
        <s v="McDonald's" u="1"/>
        <s v="PRESTO FARE/5DK5NJLFVD Scarborough ON" u="1"/>
        <s v="CASHEW AND CLIVE TORONTO ON" u="1"/>
        <s v="Tim Hortons" u="1"/>
        <s v="PRESTO FARE/5DK56LDNGG Scarborough ON" u="1"/>
        <s v="Credit Memo SERVICE FEE REVERSAL" u="1"/>
        <s v="PRESTO FARE/5DKJGH8ZSD Scarborough ON" u="1"/>
        <s v="e-Transfer sent MANUEL RICARDO AVILA RINCON ZUMCK6" u="1"/>
        <s v="Online transfer received - 7922 AUTOMATOS CONSULTING INC." u="1"/>
        <s v="Customer Transfer Dr. PC TO 364269488692" u="1"/>
        <s v="DEPOSIT FREE INTERAC E-TRANSFER" u="1"/>
        <s v="Online transfer received - 3747 AUTOMATOS CONSULTING INC." u="1"/>
        <s v="e-Transfer sent JULIA GINETH AVILA RINCON VQQCX9" u="1"/>
        <s v="e-Transfer sent MANUEL RICARDO AVILA RINCON HTXRPR" u="1"/>
        <s v="A2 HOSTING 4029357733" u="1"/>
        <s v="Online transfer received - 5500 AUTOMATOS CONSULTING INC." u="1"/>
        <s v="e-Transfer sent Manuel Scotia 6FRJDJ" u="1"/>
        <s v="PRESTO FARE/5DM217ZLBP Scarborough ON" u="1"/>
        <s v="e-Transfer - Autodeposit DIANA-LORENA CORTES-RODRIGUEZ C1AeyqcAwAY8" u="1"/>
        <s v="e-Transfer sent BridgewayPM CSX6RS" u="1"/>
        <s v="e-Transfer - Autodeposit PAULA ANDREA AMARILES RESTREPO C1AZcrCh5Cqv" u="1"/>
        <s v="Online transfer received - 9549 AUTOMATOS CONSULTING INC." u="1"/>
        <s v="e-Transfer - Autodeposit David Alexander Garcia Hernandez C1Aj6xNcxRRS" u="1"/>
        <s v="CHATGPT SUBSCRIPTION SAN FRANCISCOCA 20.00 USD @ 1.394500000000" u="1"/>
        <s v="e-Transfer sent Paula Amariles 3WTSU2" u="1"/>
        <s v="e-Transfer - Autodeposit DIANA-LORENA CORTES-RODRIGUEZ C1APqftRzbMZ" u="1"/>
        <s v="Online transfer received - 1589 AUTOMATOS CONSULTING INC." u="1"/>
        <s v="e-Transfer sent PAULA ANDREA AMARILES RESTREPO ZA5Z6C" u="1"/>
        <s v="hostinger.com Larnaka 8.99 USD @ 1.381500000000" u="1"/>
        <s v="Online Banking transfer - 6670" u="1"/>
        <s v="e-Transfer sent Manuel Scotia 3ELQ4B" u="1"/>
        <s v="e-Transfer sent Mina Morshed 6PXZ6B" u="1"/>
        <s v="Online transfer received - 9796 AUTOMATOS CONSULTING INC." u="1"/>
        <s v="e-Transfer sent Manuel CIBC HLHFWC" u="1"/>
        <s v="Online Banking foreign exchange Ref 3WW820721615550" u="1"/>
        <s v="PRESTO FARE/5D7DJHRK9P Scarborough ON" u="1"/>
        <s v="Online transfer received - 3470 AUTOMATOS CONSULTING INC." u="1"/>
        <s v="e-Transfer sent Manuel Scotia Y6YQTD" u="1"/>
        <s v="Online transfer received - 1706 AUTOMATOS CONSULTING INC." u="1"/>
        <s v="e-Transfer sent Jessica Méndez TP4Z55" u="1"/>
        <s v="Customer Transfer Cr. MB-TRANSFER" u="1"/>
        <s v="e-Transfer - Autodeposit David Alexander Garcia Hernandez C1ATTZR9a4V6" u="1"/>
        <s v="Online transfer received - 1708 AUTOMATOS CONSULTING INC." u="1"/>
        <s v="e-Transfer sent Manuel Scotia FLLCQ9" u="1"/>
        <s v="Tax Refund CANADA" u="1"/>
        <s v="PAD CCRA CANADA" u="1"/>
        <s v="Online transfer received - 9772 AUTOMATOS CONSULTING INC." u="1"/>
        <s v="e-Transfer - Autodeposit DIANA-LORENA CORTES-RODRIGUEZ C1AHADpCEhjC" u="1"/>
        <s v="e-Transfer sent Bridgeway RD9WMK" u="1"/>
        <s v="e-Transfer sent Jessica Méndez 5V8BGE" u="1"/>
        <s v="e-Transfer - Autodeposit Ana Maria Avila Amaya C1A8ej3wMDEZ" u="1"/>
        <s v="Online transfer received - 7267" u="1"/>
        <s v="e-Transfer sent Jessica Méndez RLTQVP" u="1"/>
        <s v="Online Banking transfer - 0925" u="1"/>
        <s v="Online Banking payment - 6719 VISA - CIBC" u="1"/>
        <s v="Online transfer received - 5634 AUTOMATOS CONSULTING INC." u="1"/>
        <s v="e-Transfer sent PAULA ANDREA AMARILES RESTREPO 7QD6Y9" u="1"/>
        <s v="Online transfer received - 6689 AUTOMATOS CONSULTING INC." u="1"/>
        <s v="Amazon.ca*8S2IQ66G3 AMAZON.CA ON" u="1"/>
        <s v="e-Transfer sent MANUEL RICARDO AVILA RINCON UWL6YL" u="1"/>
        <s v="Online Banking transfer - 8831" u="1"/>
        <s v="e-Transfer sent Manuel CIBC EC8XRS" u="1"/>
        <s v="Online Banking transfer - 4244" u="1"/>
        <s v="Online transfer received - 5415 AUTOMATOS CONSULTING INC." u="1"/>
      </sharedItems>
    </cacheField>
    <cacheField name="Payment Channel" numFmtId="0">
      <sharedItems containsNonDate="0" containsString="0" containsBlank="1"/>
    </cacheField>
    <cacheField name="Pending" numFmtId="0">
      <sharedItems containsNonDate="0" containsString="0" containsBlank="1"/>
    </cacheField>
    <cacheField name="Transaction ID" numFmtId="0">
      <sharedItems containsNonDate="0" containsString="0" containsBlank="1"/>
    </cacheField>
    <cacheField name="Account Name" numFmtId="0">
      <sharedItems containsNonDate="0" containsString="0" containsBlank="1"/>
    </cacheField>
    <cacheField name="Bank" numFmtId="0">
      <sharedItems containsNonDate="0" containsString="0" containsBlank="1"/>
    </cacheField>
    <cacheField name="Operation" numFmtId="0">
      <sharedItems containsNonDate="0" containsString="0" containsBlank="1"/>
    </cacheField>
    <cacheField name="Custom Category" numFmtId="0">
      <sharedItems containsNonDate="0" containsString="0" containsBlank="1" containsNumber="1" containsInteger="1" minValue="0" maxValue="0" count="2">
        <m/>
        <n v="0" u="1"/>
      </sharedItems>
    </cacheField>
    <cacheField name="Datetime" numFmtId="14">
      <sharedItems containsNonDate="0" containsString="0" containsBlank="1"/>
    </cacheField>
    <cacheField name="Month" numFmtId="14">
      <sharedItems containsNonDate="0" containsString="0" containsBlank="1"/>
    </cacheField>
    <cacheField name="Recent" numFmtId="0">
      <sharedItems containsNonDate="0" containsString="0" containsBlank="1"/>
    </cacheField>
    <cacheField name="6M AVG" numFmtId="165">
      <sharedItems containsNonDate="0" containsString="0" containsBlank="1"/>
    </cacheField>
    <cacheField name="Month's Total" numFmtId="0">
      <sharedItems containsNonDate="0" containsString="0" containsBlank="1"/>
    </cacheField>
    <cacheField name="Budget" numFmtId="0">
      <sharedItems containsNonDate="0" containsString="0" containsBlank="1"/>
    </cacheField>
    <cacheField name="Sel Mon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x v="0"/>
    <m/>
    <m/>
    <m/>
    <m/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E2FF5-7303-48C8-8138-5C333B340DF8}" name="Summary" cacheId="9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>
  <location ref="A4:C7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showAll="0">
      <items count="305">
        <item m="1" x="254"/>
        <item m="1" x="228"/>
        <item m="1" x="298"/>
        <item m="1" x="225"/>
        <item m="1" x="242"/>
        <item m="1" x="263"/>
        <item m="1" x="223"/>
        <item m="1" x="224"/>
        <item m="1" x="155"/>
        <item m="1" x="245"/>
        <item m="1" x="280"/>
        <item m="1" x="249"/>
        <item m="1" x="210"/>
        <item m="1" x="250"/>
        <item m="1" x="71"/>
        <item m="1" x="232"/>
        <item m="1" x="227"/>
        <item m="1" x="290"/>
        <item m="1" x="198"/>
        <item m="1" x="159"/>
        <item m="1" x="91"/>
        <item m="1" x="100"/>
        <item m="1" x="218"/>
        <item m="1" x="205"/>
        <item m="1" x="185"/>
        <item m="1" x="173"/>
        <item m="1" x="262"/>
        <item m="1" x="281"/>
        <item m="1" x="74"/>
        <item m="1" x="144"/>
        <item m="1" x="108"/>
        <item m="1" x="96"/>
        <item m="1" x="102"/>
        <item m="1" x="145"/>
        <item m="1" x="220"/>
        <item m="1" x="258"/>
        <item m="1" x="174"/>
        <item m="1" x="287"/>
        <item m="1" x="265"/>
        <item m="1" x="207"/>
        <item m="1" x="189"/>
        <item m="1" x="50"/>
        <item m="1" x="89"/>
        <item m="1" x="107"/>
        <item m="1" x="128"/>
        <item m="1" x="123"/>
        <item m="1" x="118"/>
        <item m="1" x="98"/>
        <item m="1" x="121"/>
        <item m="1" x="111"/>
        <item m="1" x="200"/>
        <item m="1" x="117"/>
        <item m="1" x="126"/>
        <item m="1" x="130"/>
        <item m="1" x="115"/>
        <item m="1" x="67"/>
        <item m="1" x="136"/>
        <item m="1" x="134"/>
        <item m="1" x="164"/>
        <item m="1" x="166"/>
        <item m="1" x="151"/>
        <item m="1" x="142"/>
        <item m="1" x="180"/>
        <item m="1" x="132"/>
        <item m="1" x="137"/>
        <item m="1" x="179"/>
        <item m="1" x="140"/>
        <item m="1" x="124"/>
        <item m="1" x="209"/>
        <item m="1" x="260"/>
        <item m="1" x="95"/>
        <item m="1" x="87"/>
        <item m="1" x="143"/>
        <item m="1" x="82"/>
        <item m="1" x="146"/>
        <item m="1" x="53"/>
        <item m="1" x="212"/>
        <item m="1" x="171"/>
        <item m="1" x="187"/>
        <item m="1" x="288"/>
        <item m="1" x="219"/>
        <item m="1" x="208"/>
        <item m="1" x="259"/>
        <item m="1" x="165"/>
        <item m="1" x="152"/>
        <item m="1" x="188"/>
        <item m="1" x="196"/>
        <item m="1" x="206"/>
        <item m="1" x="104"/>
        <item m="1" x="204"/>
        <item m="1" x="31"/>
        <item m="1" x="289"/>
        <item m="1" x="292"/>
        <item m="1" x="279"/>
        <item m="1" x="252"/>
        <item m="1" x="10"/>
        <item m="1" x="70"/>
        <item m="1" x="172"/>
        <item m="1" x="3"/>
        <item m="1" x="301"/>
        <item m="1" x="273"/>
        <item m="1" x="176"/>
        <item m="1" x="215"/>
        <item m="1" x="194"/>
        <item m="1" x="112"/>
        <item m="1" x="253"/>
        <item m="1" x="199"/>
        <item m="1" x="236"/>
        <item m="1" x="186"/>
        <item m="1" x="299"/>
        <item m="1" x="247"/>
        <item m="1" x="270"/>
        <item m="1" x="256"/>
        <item m="1" x="283"/>
        <item m="1" x="277"/>
        <item m="1" x="162"/>
        <item m="1" x="271"/>
        <item m="1" x="4"/>
        <item m="1" x="5"/>
        <item m="1" x="264"/>
        <item m="1" x="217"/>
        <item m="1" x="190"/>
        <item m="1" x="154"/>
        <item m="1" x="178"/>
        <item m="1" x="170"/>
        <item m="1" x="296"/>
        <item m="1" x="267"/>
        <item m="1" x="213"/>
        <item m="1" x="184"/>
        <item m="1" x="183"/>
        <item m="1" x="268"/>
        <item m="1" x="153"/>
        <item m="1" x="157"/>
        <item m="1" x="158"/>
        <item m="1" x="240"/>
        <item m="1" x="156"/>
        <item m="1" x="168"/>
        <item m="1" x="169"/>
        <item m="1" x="150"/>
        <item m="1" x="135"/>
        <item m="1" x="214"/>
        <item m="1" x="32"/>
        <item m="1" x="147"/>
        <item m="1" x="11"/>
        <item m="1" x="80"/>
        <item m="1" x="93"/>
        <item m="1" x="101"/>
        <item m="1" x="235"/>
        <item m="1" x="125"/>
        <item m="1" x="201"/>
        <item m="1" x="133"/>
        <item m="1" x="274"/>
        <item m="1" x="160"/>
        <item m="1" x="34"/>
        <item m="1" x="105"/>
        <item m="1" x="139"/>
        <item m="1" x="191"/>
        <item m="1" x="195"/>
        <item m="1" x="294"/>
        <item m="1" x="78"/>
        <item m="1" x="109"/>
        <item m="1" x="94"/>
        <item m="1" x="203"/>
        <item m="1" x="120"/>
        <item m="1" x="2"/>
        <item m="1" x="14"/>
        <item m="1" x="175"/>
        <item m="1" x="293"/>
        <item m="1" x="106"/>
        <item m="1" x="25"/>
        <item m="1" x="119"/>
        <item m="1" x="18"/>
        <item m="1" x="73"/>
        <item m="1" x="86"/>
        <item m="1" x="90"/>
        <item m="1" x="51"/>
        <item m="1" x="22"/>
        <item m="1" x="103"/>
        <item m="1" x="88"/>
        <item m="1" x="79"/>
        <item m="1" x="76"/>
        <item m="1" x="39"/>
        <item m="1" x="237"/>
        <item m="1" x="33"/>
        <item m="1" x="302"/>
        <item m="1" x="85"/>
        <item m="1" x="83"/>
        <item m="1" x="114"/>
        <item m="1" x="75"/>
        <item m="1" x="116"/>
        <item m="1" x="13"/>
        <item m="1" x="66"/>
        <item m="1" x="81"/>
        <item m="1" x="99"/>
        <item m="1" x="122"/>
        <item m="1" x="65"/>
        <item m="1" x="69"/>
        <item m="1" x="44"/>
        <item m="1" x="84"/>
        <item m="1" x="193"/>
        <item m="1" x="72"/>
        <item m="1" x="45"/>
        <item m="1" x="131"/>
        <item m="1" x="163"/>
        <item m="1" x="97"/>
        <item m="1" x="211"/>
        <item m="1" x="222"/>
        <item m="1" x="127"/>
        <item m="1" x="20"/>
        <item m="1" x="269"/>
        <item m="1" x="52"/>
        <item m="1" x="129"/>
        <item m="1" x="60"/>
        <item m="1" x="141"/>
        <item m="1" x="149"/>
        <item m="1" x="1"/>
        <item m="1" x="92"/>
        <item m="1" x="300"/>
        <item m="1" x="77"/>
        <item m="1" x="110"/>
        <item m="1" x="56"/>
        <item m="1" x="54"/>
        <item m="1" x="27"/>
        <item m="1" x="59"/>
        <item m="1" x="113"/>
        <item m="1" x="42"/>
        <item m="1" x="216"/>
        <item m="1" x="17"/>
        <item m="1" x="49"/>
        <item m="1" x="48"/>
        <item m="1" x="38"/>
        <item m="1" x="16"/>
        <item m="1" x="192"/>
        <item m="1" x="266"/>
        <item m="1" x="29"/>
        <item m="1" x="278"/>
        <item m="1" x="282"/>
        <item m="1" x="58"/>
        <item m="1" x="28"/>
        <item m="1" x="7"/>
        <item m="1" x="182"/>
        <item m="1" x="30"/>
        <item m="1" x="21"/>
        <item m="1" x="63"/>
        <item m="1" x="12"/>
        <item m="1" x="35"/>
        <item m="1" x="15"/>
        <item m="1" x="276"/>
        <item m="1" x="68"/>
        <item m="1" x="251"/>
        <item m="1" x="24"/>
        <item m="1" x="23"/>
        <item m="1" x="37"/>
        <item m="1" x="62"/>
        <item m="1" x="8"/>
        <item m="1" x="197"/>
        <item m="1" x="6"/>
        <item m="1" x="303"/>
        <item m="1" x="255"/>
        <item m="1" x="43"/>
        <item m="1" x="295"/>
        <item m="1" x="47"/>
        <item m="1" x="202"/>
        <item m="1" x="297"/>
        <item m="1" x="40"/>
        <item m="1" x="19"/>
        <item m="1" x="291"/>
        <item m="1" x="26"/>
        <item m="1" x="248"/>
        <item m="1" x="41"/>
        <item m="1" x="46"/>
        <item m="1" x="9"/>
        <item m="1" x="64"/>
        <item m="1" x="221"/>
        <item m="1" x="57"/>
        <item m="1" x="181"/>
        <item m="1" x="36"/>
        <item m="1" x="55"/>
        <item m="1" x="261"/>
        <item m="1" x="61"/>
        <item m="1" x="286"/>
        <item m="1" x="272"/>
        <item m="1" x="167"/>
        <item m="1" x="161"/>
        <item m="1" x="285"/>
        <item m="1" x="238"/>
        <item m="1" x="148"/>
        <item m="1" x="229"/>
        <item m="1" x="275"/>
        <item m="1" x="244"/>
        <item m="1" x="241"/>
        <item m="1" x="246"/>
        <item m="1" x="257"/>
        <item m="1" x="239"/>
        <item m="1" x="284"/>
        <item m="1" x="177"/>
        <item m="1" x="231"/>
        <item m="1" x="243"/>
        <item m="1" x="226"/>
        <item m="1" x="230"/>
        <item m="1" x="234"/>
        <item m="1" x="138"/>
        <item m="1" x="23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sd="0" m="1" x="1"/>
        <item x="0"/>
        <item t="default" sd="0"/>
      </items>
    </pivotField>
    <pivotField numFmtId="14" showAll="0"/>
    <pivotField numFmtId="14" showAll="0"/>
    <pivotField showAll="0"/>
    <pivotField dataField="1" showAll="0"/>
    <pivotField showAll="0"/>
    <pivotField dataField="1" showAll="0"/>
    <pivotField showAll="0"/>
  </pivotFields>
  <rowFields count="2">
    <field x="14"/>
    <field x="7"/>
  </rowFields>
  <rowItems count="3">
    <i>
      <x v="1"/>
    </i>
    <i r="1">
      <x v="303"/>
    </i>
    <i t="grand">
      <x/>
    </i>
  </rowItems>
  <colFields count="1">
    <field x="-2"/>
  </colFields>
  <colItems count="2">
    <i>
      <x/>
    </i>
    <i i="1">
      <x v="1"/>
    </i>
  </colItems>
  <dataFields count="2">
    <dataField name="6M Average" fld="18" subtotal="max" baseField="14" baseItem="3" numFmtId="164"/>
    <dataField name=" Budget" fld="20" subtotal="max" baseField="14" baseItem="4" numFmtId="164"/>
  </dataFields>
  <formats count="2"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342AE-9F64-43E9-9C24-D278F10FA61B}" name="Custom_Cat" displayName="Custom_Cat" ref="L2:N3" insertRow="1" totalsRowShown="0">
  <autoFilter ref="L2:N3" xr:uid="{3AA342AE-9F64-43E9-9C24-D278F10FA61B}"/>
  <tableColumns count="3">
    <tableColumn id="2" xr3:uid="{1DE10980-B7CE-4858-9F8C-668E469FEF7B}" name="Name"/>
    <tableColumn id="5" xr3:uid="{87AE3E96-121A-4029-9F8F-CAA20184F5F6}" name="Amount"/>
    <tableColumn id="6" xr3:uid="{D16A0D9C-D130-444A-A9FB-9227E20F4C4E}" name="Custom Categor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6DAEB-14C8-4F77-BCBD-9F35CCD9BA6B}" name="Budgets" displayName="Budgets" ref="G2:J3" insertRow="1" totalsRowShown="0">
  <autoFilter ref="G2:J3" xr:uid="{97B6DAEB-14C8-4F77-BCBD-9F35CCD9BA6B}"/>
  <tableColumns count="4">
    <tableColumn id="2" xr3:uid="{3EC0B0AB-A09B-4166-B91A-F77A3697F501}" name="Custom Category"/>
    <tableColumn id="5" xr3:uid="{29B6E52D-18A5-4228-9BE9-F028F8440B9A}" name="Frequency"/>
    <tableColumn id="1" xr3:uid="{5C3B8725-4D93-4109-A2E9-FADB1B0D406A}" name="Amount" dataDxfId="15" dataCellStyle="Currency"/>
    <tableColumn id="3" xr3:uid="{FF2DA77A-5C08-472C-A461-1685E195818E}" name="Monthly" dataDxfId="14">
      <calculatedColumnFormula>Budgets[[#This Row],[Amount]]*_xlfn.XLOOKUP(Budgets[[#This Row],[Frequency]],Frequency[Frequency],Frequency[Factor],1,0)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CC42E-E872-4757-9A7B-95D0F2C6FCA1}" name="Accounts" displayName="Accounts" ref="A1:I2" insertRow="1" totalsRowShown="0">
  <autoFilter ref="A1:I2" xr:uid="{D30CC42E-E872-4757-9A7B-95D0F2C6FCA1}"/>
  <tableColumns count="9">
    <tableColumn id="1" xr3:uid="{1C1F973D-7421-4E9E-A33C-5EC6AF57D061}" name="Institution Name"/>
    <tableColumn id="2" xr3:uid="{88739272-A437-45B3-AB08-442D6CE6422B}" name="Credential ID"/>
    <tableColumn id="3" xr3:uid="{DA4E3341-0413-4F1B-8A87-24EEF0A2789A}" name="Next Cursor"/>
    <tableColumn id="4" xr3:uid="{ECB3AE42-9C04-4AD7-8114-D0CE777DB9B9}" name="Balance"/>
    <tableColumn id="5" xr3:uid="{5ECD8CD2-CE7E-488B-AD87-C9937FFEE2E0}" name="Mask"/>
    <tableColumn id="6" xr3:uid="{AF743B31-A08D-40F9-89EC-3D5255949E9A}" name="Name"/>
    <tableColumn id="7" xr3:uid="{1C59C5AC-7623-40CD-95A7-98B4BF158C01}" name="Plaid Account ID"/>
    <tableColumn id="8" xr3:uid="{2A4A4452-2CAA-435C-8FCE-D44344540866}" name="Subtype"/>
    <tableColumn id="9" xr3:uid="{874F2CFA-78B9-45D3-9C90-FC93D3E12F49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D1956-10E9-47C2-94E2-17878B56C857}" name="Transactions" displayName="Transactions" ref="A1:U2" insertRow="1" totalsRowShown="0">
  <autoFilter ref="A1:U2" xr:uid="{9C1D1956-10E9-47C2-94E2-17878B56C857}"/>
  <tableColumns count="21">
    <tableColumn id="1" xr3:uid="{51422D36-8608-402D-9556-E21ADF235E19}" name="Account ID"/>
    <tableColumn id="2" xr3:uid="{70D00C6D-82FC-44EA-A188-8DD337183763}" name="Action"/>
    <tableColumn id="3" xr3:uid="{8A8261D0-0207-43EC-8022-AB0EEF2AD790}" name="Amount"/>
    <tableColumn id="4" xr3:uid="{4CA7917F-D21A-40C7-8E8E-D46E718BFB4A}" name="Categories"/>
    <tableColumn id="16" xr3:uid="{27066D41-1BF1-4973-BB0A-2BAA6E9C038E}" name="Datetime" dataDxfId="13"/>
    <tableColumn id="6" xr3:uid="{E52EABFC-6041-4F1E-9E9E-16E710A8C058}" name="ISO Currency Code"/>
    <tableColumn id="7" xr3:uid="{BD48680A-5F96-4A54-B799-B9D32BA9DFA8}" name="Merchant Name"/>
    <tableColumn id="8" xr3:uid="{9863C03B-47E9-4B7F-AD43-12D173B61697}" name="Name"/>
    <tableColumn id="9" xr3:uid="{8809F606-8D59-48E1-9DA3-8D175347E23A}" name="Payment Channel"/>
    <tableColumn id="10" xr3:uid="{E12A8AEC-3150-482F-A321-E8C64CE312E2}" name="Pending"/>
    <tableColumn id="11" xr3:uid="{E99C4E9D-5566-4001-812B-BA0744191FBD}" name="Transaction ID"/>
    <tableColumn id="12" xr3:uid="{F15D2B2F-3ECF-4B44-B153-7021FFA8E60C}" name="Account Name" dataDxfId="12"/>
    <tableColumn id="13" xr3:uid="{8E174EF5-A9D6-42F7-AB5D-D912A144E77B}" name="Bank" dataDxfId="11"/>
    <tableColumn id="15" xr3:uid="{7184C2C1-CC86-4ADF-B1EA-DAA18A3DBCFD}" name="Operation" dataDxfId="10"/>
    <tableColumn id="14" xr3:uid="{63F95195-6109-4F2E-B0D6-A0CB6C7B9505}" name="Custom Category" dataDxfId="9"/>
    <tableColumn id="19" xr3:uid="{B93D5812-027F-4158-855E-DF1B2AC36DA5}" name="Month" dataDxfId="8"/>
    <tableColumn id="17" xr3:uid="{6992B076-C5E4-4386-B486-B5CCF9425AA7}" name="Recent" dataDxfId="7"/>
    <tableColumn id="21" xr3:uid="{FD248E00-CFDF-4194-8637-1627E9D25D38}" name="6M AVG" dataDxfId="6" dataCellStyle="Currency"/>
    <tableColumn id="18" xr3:uid="{FB0F68A0-09BE-4DFC-9D8C-F2F45CE00EC7}" name="Month's Total" dataDxfId="5"/>
    <tableColumn id="20" xr3:uid="{6DF09082-20C1-468F-A4B4-4F5E30F307D9}" name="Budget" dataDxfId="4"/>
    <tableColumn id="23" xr3:uid="{AC57BF83-C480-477C-B5D0-FF43C0E76C8F}" name="Sel Month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E87A8B-9592-49B6-B54F-1919543F54A3}" name="Frequency" displayName="Frequency" ref="A1:B8" totalsRowShown="0">
  <autoFilter ref="A1:B8" xr:uid="{5AE87A8B-9592-49B6-B54F-1919543F54A3}"/>
  <tableColumns count="2">
    <tableColumn id="1" xr3:uid="{D7BA4E04-1AE1-43A9-A966-18DB2247326A}" name="Frequency"/>
    <tableColumn id="2" xr3:uid="{125A5E8B-A376-4599-BB58-76287B58F06B}" name="Factor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F1414F-96E9-4B67-AB39-89A50C1521B4}" name="Formulas" displayName="Formulas" ref="F1:G11" totalsRowShown="0">
  <autoFilter ref="F1:G11" xr:uid="{26F1414F-96E9-4B67-AB39-89A50C1521B4}"/>
  <tableColumns count="2">
    <tableColumn id="1" xr3:uid="{9ECDC0E2-4F0D-4A1D-9482-C61493A1058B}" name="Column"/>
    <tableColumn id="2" xr3:uid="{BDE7DF94-BE05-44B7-8CAD-A90302EDAD03}" name="Formula" dataDxfId="2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C2CB80-DDEC-4192-81E5-97A5665E58A3}" name="Names" displayName="Names" ref="I1:J3" totalsRowShown="0">
  <autoFilter ref="I1:J3" xr:uid="{95C2CB80-DDEC-4192-81E5-97A5665E58A3}"/>
  <tableColumns count="2">
    <tableColumn id="1" xr3:uid="{F6C1AB8E-1DCA-4067-997C-BA19E70D7D62}" name="Name"/>
    <tableColumn id="2" xr3:uid="{511AE662-79B4-4CEB-AAEE-2B5BEEFE5356}" name="Formul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890b82-86e7-4f79-9a57-bf6c14c7714d}">
  <we:reference id="12890b82-86e7-4f79-9a57-bf6c14c7714d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35"/>
  <sheetViews>
    <sheetView tabSelected="1" zoomScale="108" zoomScaleNormal="130" workbookViewId="0">
      <selection activeCell="E5" sqref="E5"/>
    </sheetView>
  </sheetViews>
  <sheetFormatPr defaultRowHeight="15" x14ac:dyDescent="0.25"/>
  <cols>
    <col min="1" max="1" width="13.42578125" bestFit="1" customWidth="1"/>
    <col min="2" max="2" width="11.140625" bestFit="1" customWidth="1"/>
    <col min="3" max="3" width="7.7109375" bestFit="1" customWidth="1"/>
    <col min="4" max="4" width="15.28515625" bestFit="1" customWidth="1"/>
    <col min="5" max="5" width="10.85546875" customWidth="1"/>
    <col min="6" max="6" width="11.5703125" customWidth="1"/>
    <col min="7" max="7" width="26.28515625" customWidth="1"/>
    <col min="8" max="8" width="17.42578125" customWidth="1"/>
    <col min="9" max="9" width="11.5703125" customWidth="1"/>
    <col min="10" max="11" width="10.7109375" bestFit="1" customWidth="1"/>
    <col min="12" max="12" width="21.7109375" customWidth="1"/>
    <col min="13" max="13" width="11.140625" bestFit="1" customWidth="1"/>
    <col min="14" max="14" width="26.5703125" bestFit="1" customWidth="1"/>
    <col min="15" max="15" width="14.5703125" bestFit="1" customWidth="1"/>
    <col min="16" max="16" width="16.7109375" bestFit="1" customWidth="1"/>
    <col min="17" max="17" width="15.7109375" bestFit="1" customWidth="1"/>
    <col min="18" max="18" width="24.5703125" bestFit="1" customWidth="1"/>
    <col min="19" max="19" width="26.42578125" bestFit="1" customWidth="1"/>
    <col min="20" max="20" width="29" bestFit="1" customWidth="1"/>
    <col min="21" max="21" width="35.5703125" bestFit="1" customWidth="1"/>
    <col min="22" max="22" width="11.28515625" bestFit="1" customWidth="1"/>
  </cols>
  <sheetData>
    <row r="1" spans="1:14" ht="21" x14ac:dyDescent="0.35">
      <c r="A1" s="4" t="s">
        <v>29</v>
      </c>
      <c r="G1" s="4" t="s">
        <v>30</v>
      </c>
      <c r="L1" s="4" t="s">
        <v>24</v>
      </c>
    </row>
    <row r="2" spans="1:14" x14ac:dyDescent="0.25">
      <c r="C2" s="9" t="s">
        <v>26</v>
      </c>
      <c r="D2" s="10"/>
      <c r="G2" t="s">
        <v>20</v>
      </c>
      <c r="H2" t="s">
        <v>31</v>
      </c>
      <c r="I2" t="s">
        <v>11</v>
      </c>
      <c r="J2" t="s">
        <v>35</v>
      </c>
      <c r="L2" t="s">
        <v>5</v>
      </c>
      <c r="M2" t="s">
        <v>11</v>
      </c>
      <c r="N2" t="s">
        <v>20</v>
      </c>
    </row>
    <row r="3" spans="1:14" x14ac:dyDescent="0.25">
      <c r="I3" s="6"/>
      <c r="J3" s="7"/>
    </row>
    <row r="4" spans="1:14" ht="30" x14ac:dyDescent="0.25">
      <c r="A4" s="1" t="s">
        <v>22</v>
      </c>
      <c r="B4" s="8" t="s">
        <v>41</v>
      </c>
      <c r="C4" s="8" t="s">
        <v>42</v>
      </c>
      <c r="D4" s="9" t="s">
        <v>44</v>
      </c>
      <c r="E4" s="9" t="s">
        <v>63</v>
      </c>
    </row>
    <row r="5" spans="1:14" x14ac:dyDescent="0.25">
      <c r="A5" s="2" t="s">
        <v>46</v>
      </c>
      <c r="B5" s="5"/>
      <c r="C5" s="5"/>
      <c r="D5" s="11" cm="1">
        <f t="array" ref="D5">_xlfn.IFS(A5="","",A5="Grand Total",SUM(D$4:D4),TRUE,IF(COUNTIF(Transactions[Custom Category],Dashboard!A5)&gt;0,SUMIFS(Transactions[Amount],Transactions[Custom Category],Dashboard!A5,Transactions[Month],Sel_Month),SUMIFS(Transactions[Amount],Transactions[Name],Dashboard!A5,Transactions[Month],Sel_Month)))</f>
        <v>0</v>
      </c>
      <c r="E5" s="12" t="str">
        <f>IF(C5="","",IF(C5=0,0,1-((C5-D5)/C5)))</f>
        <v/>
      </c>
    </row>
    <row r="6" spans="1:14" x14ac:dyDescent="0.25">
      <c r="A6" s="13" t="s">
        <v>46</v>
      </c>
      <c r="B6" s="5"/>
      <c r="C6" s="5"/>
      <c r="D6" s="11" cm="1">
        <f t="array" ref="D6">_xlfn.IFS(A6="","",A6="Grand Total",SUM(D$4:D5),TRUE,IF(COUNTIF(Transactions[Custom Category],Dashboard!A6)&gt;0,SUMIFS(Transactions[Amount],Transactions[Custom Category],Dashboard!A6,Transactions[Month],Sel_Month),SUMIFS(Transactions[Amount],Transactions[Name],Dashboard!A6,Transactions[Month],Sel_Month)))</f>
        <v>0</v>
      </c>
      <c r="E6" s="12" t="str">
        <f t="shared" ref="E6:E69" si="0">IF(C6="","",IF(C6=0,0,1-((C6-D6)/C6)))</f>
        <v/>
      </c>
    </row>
    <row r="7" spans="1:14" x14ac:dyDescent="0.25">
      <c r="A7" s="2" t="s">
        <v>45</v>
      </c>
      <c r="B7" s="5"/>
      <c r="C7" s="5"/>
      <c r="D7" s="11" cm="1">
        <f t="array" ref="D7">_xlfn.IFS(A7="","",A7="Grand Total",SUM(D$4:D6),TRUE,IF(COUNTIF(Transactions[Custom Category],Dashboard!A7)&gt;0,SUMIFS(Transactions[Amount],Transactions[Custom Category],Dashboard!A7,Transactions[Month],Sel_Month),SUMIFS(Transactions[Amount],Transactions[Name],Dashboard!A7,Transactions[Month],Sel_Month)))</f>
        <v>0</v>
      </c>
      <c r="E7" s="12" t="str">
        <f t="shared" si="0"/>
        <v/>
      </c>
    </row>
    <row r="8" spans="1:14" x14ac:dyDescent="0.25">
      <c r="D8" s="11" t="str" cm="1">
        <f t="array" ref="D8">_xlfn.IFS(A8="","",A8="Grand Total",SUM(D$4:D7),TRUE,IF(COUNTIF(Transactions[Custom Category],Dashboard!A8)&gt;0,SUMIFS(Transactions[Amount],Transactions[Custom Category],Dashboard!A8,Transactions[Month],Sel_Month),SUMIFS(Transactions[Amount],Transactions[Name],Dashboard!A8,Transactions[Month],Sel_Month)))</f>
        <v/>
      </c>
      <c r="E8" s="12" t="str">
        <f t="shared" si="0"/>
        <v/>
      </c>
    </row>
    <row r="9" spans="1:14" x14ac:dyDescent="0.25">
      <c r="D9" s="11" t="str" cm="1">
        <f t="array" ref="D9">_xlfn.IFS(A9="","",A9="Grand Total",SUM(D$4:D8),TRUE,IF(COUNTIF(Transactions[Custom Category],Dashboard!A9)&gt;0,SUMIFS(Transactions[Amount],Transactions[Custom Category],Dashboard!A9,Transactions[Month],Sel_Month),SUMIFS(Transactions[Amount],Transactions[Name],Dashboard!A9,Transactions[Month],Sel_Month)))</f>
        <v/>
      </c>
      <c r="E9" s="12" t="str">
        <f t="shared" si="0"/>
        <v/>
      </c>
    </row>
    <row r="10" spans="1:14" x14ac:dyDescent="0.25">
      <c r="D10" s="11" t="str" cm="1">
        <f t="array" ref="D10">_xlfn.IFS(A10="","",A10="Grand Total",SUM(D$4:D9),TRUE,IF(COUNTIF(Transactions[Custom Category],Dashboard!A10)&gt;0,SUMIFS(Transactions[Amount],Transactions[Custom Category],Dashboard!A10,Transactions[Month],Sel_Month),SUMIFS(Transactions[Amount],Transactions[Name],Dashboard!A10,Transactions[Month],Sel_Month)))</f>
        <v/>
      </c>
      <c r="E10" s="12" t="str">
        <f t="shared" si="0"/>
        <v/>
      </c>
    </row>
    <row r="11" spans="1:14" x14ac:dyDescent="0.25">
      <c r="D11" s="11" t="str" cm="1">
        <f t="array" ref="D11">_xlfn.IFS(A11="","",A11="Grand Total",SUM(D$4:D10),TRUE,IF(COUNTIF(Transactions[Custom Category],Dashboard!A11)&gt;0,SUMIFS(Transactions[Amount],Transactions[Custom Category],Dashboard!A11,Transactions[Month],Sel_Month),SUMIFS(Transactions[Amount],Transactions[Name],Dashboard!A11,Transactions[Month],Sel_Month)))</f>
        <v/>
      </c>
      <c r="E11" s="12" t="str">
        <f t="shared" si="0"/>
        <v/>
      </c>
    </row>
    <row r="12" spans="1:14" x14ac:dyDescent="0.25">
      <c r="D12" s="11" t="str" cm="1">
        <f t="array" ref="D12">_xlfn.IFS(A12="","",A12="Grand Total",SUM(D$4:D11),TRUE,IF(COUNTIF(Transactions[Custom Category],Dashboard!A12)&gt;0,SUMIFS(Transactions[Amount],Transactions[Custom Category],Dashboard!A12,Transactions[Month],Sel_Month),SUMIFS(Transactions[Amount],Transactions[Name],Dashboard!A12,Transactions[Month],Sel_Month)))</f>
        <v/>
      </c>
      <c r="E12" s="12" t="str">
        <f t="shared" si="0"/>
        <v/>
      </c>
    </row>
    <row r="13" spans="1:14" x14ac:dyDescent="0.25">
      <c r="D13" s="11" t="str" cm="1">
        <f t="array" ref="D13">_xlfn.IFS(A13="","",A13="Grand Total",SUM(D$4:D12),TRUE,IF(COUNTIF(Transactions[Custom Category],Dashboard!A13)&gt;0,SUMIFS(Transactions[Amount],Transactions[Custom Category],Dashboard!A13,Transactions[Month],Sel_Month),SUMIFS(Transactions[Amount],Transactions[Name],Dashboard!A13,Transactions[Month],Sel_Month)))</f>
        <v/>
      </c>
      <c r="E13" s="12" t="str">
        <f t="shared" si="0"/>
        <v/>
      </c>
    </row>
    <row r="14" spans="1:14" x14ac:dyDescent="0.25">
      <c r="D14" s="11" t="str" cm="1">
        <f t="array" ref="D14">_xlfn.IFS(A14="","",A14="Grand Total",SUM(D$4:D13),TRUE,IF(COUNTIF(Transactions[Custom Category],Dashboard!A14)&gt;0,SUMIFS(Transactions[Amount],Transactions[Custom Category],Dashboard!A14,Transactions[Month],Sel_Month),SUMIFS(Transactions[Amount],Transactions[Name],Dashboard!A14,Transactions[Month],Sel_Month)))</f>
        <v/>
      </c>
      <c r="E14" s="12" t="str">
        <f t="shared" si="0"/>
        <v/>
      </c>
    </row>
    <row r="15" spans="1:14" x14ac:dyDescent="0.25">
      <c r="D15" s="11" t="str" cm="1">
        <f t="array" ref="D15">_xlfn.IFS(A15="","",A15="Grand Total",SUM(D$4:D14),TRUE,IF(COUNTIF(Transactions[Custom Category],Dashboard!A15)&gt;0,SUMIFS(Transactions[Amount],Transactions[Custom Category],Dashboard!A15,Transactions[Month],Sel_Month),SUMIFS(Transactions[Amount],Transactions[Name],Dashboard!A15,Transactions[Month],Sel_Month)))</f>
        <v/>
      </c>
      <c r="E15" s="12" t="str">
        <f t="shared" si="0"/>
        <v/>
      </c>
    </row>
    <row r="16" spans="1:14" x14ac:dyDescent="0.25">
      <c r="D16" s="11" t="str" cm="1">
        <f t="array" ref="D16">_xlfn.IFS(A16="","",A16="Grand Total",SUM(D$4:D15),TRUE,IF(COUNTIF(Transactions[Custom Category],Dashboard!A16)&gt;0,SUMIFS(Transactions[Amount],Transactions[Custom Category],Dashboard!A16,Transactions[Month],Sel_Month),SUMIFS(Transactions[Amount],Transactions[Name],Dashboard!A16,Transactions[Month],Sel_Month)))</f>
        <v/>
      </c>
      <c r="E16" s="12" t="str">
        <f t="shared" si="0"/>
        <v/>
      </c>
    </row>
    <row r="17" spans="4:5" x14ac:dyDescent="0.25">
      <c r="D17" s="11" t="str" cm="1">
        <f t="array" ref="D17">_xlfn.IFS(A17="","",A17="Grand Total",SUM(D$4:D16),TRUE,IF(COUNTIF(Transactions[Custom Category],Dashboard!A17)&gt;0,SUMIFS(Transactions[Amount],Transactions[Custom Category],Dashboard!A17,Transactions[Month],Sel_Month),SUMIFS(Transactions[Amount],Transactions[Name],Dashboard!A17,Transactions[Month],Sel_Month)))</f>
        <v/>
      </c>
      <c r="E17" s="12" t="str">
        <f t="shared" si="0"/>
        <v/>
      </c>
    </row>
    <row r="18" spans="4:5" x14ac:dyDescent="0.25">
      <c r="D18" s="11" t="str" cm="1">
        <f t="array" ref="D18">_xlfn.IFS(A18="","",A18="Grand Total",SUM(D$4:D17),TRUE,IF(COUNTIF(Transactions[Custom Category],Dashboard!A18)&gt;0,SUMIFS(Transactions[Amount],Transactions[Custom Category],Dashboard!A18,Transactions[Month],Sel_Month),SUMIFS(Transactions[Amount],Transactions[Name],Dashboard!A18,Transactions[Month],Sel_Month)))</f>
        <v/>
      </c>
      <c r="E18" s="12" t="str">
        <f t="shared" si="0"/>
        <v/>
      </c>
    </row>
    <row r="19" spans="4:5" x14ac:dyDescent="0.25">
      <c r="D19" s="11" t="str" cm="1">
        <f t="array" ref="D19">_xlfn.IFS(A19="","",A19="Grand Total",SUM(D$4:D18),TRUE,IF(COUNTIF(Transactions[Custom Category],Dashboard!A19)&gt;0,SUMIFS(Transactions[Amount],Transactions[Custom Category],Dashboard!A19,Transactions[Month],Sel_Month),SUMIFS(Transactions[Amount],Transactions[Name],Dashboard!A19,Transactions[Month],Sel_Month)))</f>
        <v/>
      </c>
      <c r="E19" s="12" t="str">
        <f t="shared" si="0"/>
        <v/>
      </c>
    </row>
    <row r="20" spans="4:5" x14ac:dyDescent="0.25">
      <c r="D20" s="11" t="str" cm="1">
        <f t="array" ref="D20">_xlfn.IFS(A20="","",A20="Grand Total",SUM(D$4:D19),TRUE,IF(COUNTIF(Transactions[Custom Category],Dashboard!A20)&gt;0,SUMIFS(Transactions[Amount],Transactions[Custom Category],Dashboard!A20,Transactions[Month],Sel_Month),SUMIFS(Transactions[Amount],Transactions[Name],Dashboard!A20,Transactions[Month],Sel_Month)))</f>
        <v/>
      </c>
      <c r="E20" s="12" t="str">
        <f t="shared" si="0"/>
        <v/>
      </c>
    </row>
    <row r="21" spans="4:5" x14ac:dyDescent="0.25">
      <c r="D21" s="11" t="str" cm="1">
        <f t="array" ref="D21">_xlfn.IFS(A21="","",A21="Grand Total",SUM(D$4:D20),TRUE,IF(COUNTIF(Transactions[Custom Category],Dashboard!A21)&gt;0,SUMIFS(Transactions[Amount],Transactions[Custom Category],Dashboard!A21,Transactions[Month],Sel_Month),SUMIFS(Transactions[Amount],Transactions[Name],Dashboard!A21,Transactions[Month],Sel_Month)))</f>
        <v/>
      </c>
      <c r="E21" s="12" t="str">
        <f t="shared" si="0"/>
        <v/>
      </c>
    </row>
    <row r="22" spans="4:5" x14ac:dyDescent="0.25">
      <c r="D22" s="11" t="str" cm="1">
        <f t="array" ref="D22">_xlfn.IFS(A22="","",A22="Grand Total",SUM(D$4:D21),TRUE,IF(COUNTIF(Transactions[Custom Category],Dashboard!A22)&gt;0,SUMIFS(Transactions[Amount],Transactions[Custom Category],Dashboard!A22,Transactions[Month],Sel_Month),SUMIFS(Transactions[Amount],Transactions[Name],Dashboard!A22,Transactions[Month],Sel_Month)))</f>
        <v/>
      </c>
      <c r="E22" s="12" t="str">
        <f t="shared" si="0"/>
        <v/>
      </c>
    </row>
    <row r="23" spans="4:5" x14ac:dyDescent="0.25">
      <c r="D23" s="11" t="str" cm="1">
        <f t="array" ref="D23">_xlfn.IFS(A23="","",A23="Grand Total",SUM(D$4:D22),TRUE,IF(COUNTIF(Transactions[Custom Category],Dashboard!A23)&gt;0,SUMIFS(Transactions[Amount],Transactions[Custom Category],Dashboard!A23,Transactions[Month],Sel_Month),SUMIFS(Transactions[Amount],Transactions[Name],Dashboard!A23,Transactions[Month],Sel_Month)))</f>
        <v/>
      </c>
      <c r="E23" s="12" t="str">
        <f t="shared" si="0"/>
        <v/>
      </c>
    </row>
    <row r="24" spans="4:5" x14ac:dyDescent="0.25">
      <c r="D24" s="11" t="str" cm="1">
        <f t="array" ref="D24">_xlfn.IFS(A24="","",A24="Grand Total",SUM(D$4:D23),TRUE,IF(COUNTIF(Transactions[Custom Category],Dashboard!A24)&gt;0,SUMIFS(Transactions[Amount],Transactions[Custom Category],Dashboard!A24,Transactions[Month],Sel_Month),SUMIFS(Transactions[Amount],Transactions[Name],Dashboard!A24,Transactions[Month],Sel_Month)))</f>
        <v/>
      </c>
      <c r="E24" s="12" t="str">
        <f t="shared" si="0"/>
        <v/>
      </c>
    </row>
    <row r="25" spans="4:5" x14ac:dyDescent="0.25">
      <c r="D25" s="11" t="str" cm="1">
        <f t="array" ref="D25">_xlfn.IFS(A25="","",A25="Grand Total",SUM(D$4:D24),TRUE,IF(COUNTIF(Transactions[Custom Category],Dashboard!A25)&gt;0,SUMIFS(Transactions[Amount],Transactions[Custom Category],Dashboard!A25,Transactions[Month],Sel_Month),SUMIFS(Transactions[Amount],Transactions[Name],Dashboard!A25,Transactions[Month],Sel_Month)))</f>
        <v/>
      </c>
      <c r="E25" s="12" t="str">
        <f t="shared" si="0"/>
        <v/>
      </c>
    </row>
    <row r="26" spans="4:5" x14ac:dyDescent="0.25">
      <c r="D26" s="11" t="str" cm="1">
        <f t="array" ref="D26">_xlfn.IFS(A26="","",A26="Grand Total",SUM(D$4:D25),TRUE,IF(COUNTIF(Transactions[Custom Category],Dashboard!A26)&gt;0,SUMIFS(Transactions[Amount],Transactions[Custom Category],Dashboard!A26,Transactions[Month],Sel_Month),SUMIFS(Transactions[Amount],Transactions[Name],Dashboard!A26,Transactions[Month],Sel_Month)))</f>
        <v/>
      </c>
      <c r="E26" s="12" t="str">
        <f t="shared" si="0"/>
        <v/>
      </c>
    </row>
    <row r="27" spans="4:5" x14ac:dyDescent="0.25">
      <c r="D27" s="11" t="str" cm="1">
        <f t="array" ref="D27">_xlfn.IFS(A27="","",A27="Grand Total",SUM(D$4:D26),TRUE,IF(COUNTIF(Transactions[Custom Category],Dashboard!A27)&gt;0,SUMIFS(Transactions[Amount],Transactions[Custom Category],Dashboard!A27,Transactions[Month],Sel_Month),SUMIFS(Transactions[Amount],Transactions[Name],Dashboard!A27,Transactions[Month],Sel_Month)))</f>
        <v/>
      </c>
      <c r="E27" s="12" t="str">
        <f t="shared" si="0"/>
        <v/>
      </c>
    </row>
    <row r="28" spans="4:5" x14ac:dyDescent="0.25">
      <c r="D28" s="11" t="str" cm="1">
        <f t="array" ref="D28">_xlfn.IFS(A28="","",A28="Grand Total",SUM(D$4:D27),TRUE,IF(COUNTIF(Transactions[Custom Category],Dashboard!A28)&gt;0,SUMIFS(Transactions[Amount],Transactions[Custom Category],Dashboard!A28,Transactions[Month],Sel_Month),SUMIFS(Transactions[Amount],Transactions[Name],Dashboard!A28,Transactions[Month],Sel_Month)))</f>
        <v/>
      </c>
      <c r="E28" s="12" t="str">
        <f t="shared" si="0"/>
        <v/>
      </c>
    </row>
    <row r="29" spans="4:5" x14ac:dyDescent="0.25">
      <c r="D29" s="11" t="str" cm="1">
        <f t="array" ref="D29">_xlfn.IFS(A29="","",A29="Grand Total",SUM(D$4:D28),TRUE,IF(COUNTIF(Transactions[Custom Category],Dashboard!A29)&gt;0,SUMIFS(Transactions[Amount],Transactions[Custom Category],Dashboard!A29,Transactions[Month],Sel_Month),SUMIFS(Transactions[Amount],Transactions[Name],Dashboard!A29,Transactions[Month],Sel_Month)))</f>
        <v/>
      </c>
      <c r="E29" s="12" t="str">
        <f t="shared" si="0"/>
        <v/>
      </c>
    </row>
    <row r="30" spans="4:5" x14ac:dyDescent="0.25">
      <c r="D30" s="11" t="str" cm="1">
        <f t="array" ref="D30">_xlfn.IFS(A30="","",A30="Grand Total",SUM(D$4:D29),TRUE,IF(COUNTIF(Transactions[Custom Category],Dashboard!A30)&gt;0,SUMIFS(Transactions[Amount],Transactions[Custom Category],Dashboard!A30,Transactions[Month],Sel_Month),SUMIFS(Transactions[Amount],Transactions[Name],Dashboard!A30,Transactions[Month],Sel_Month)))</f>
        <v/>
      </c>
      <c r="E30" s="12" t="str">
        <f t="shared" si="0"/>
        <v/>
      </c>
    </row>
    <row r="31" spans="4:5" x14ac:dyDescent="0.25">
      <c r="D31" s="11" t="str" cm="1">
        <f t="array" ref="D31">_xlfn.IFS(A31="","",A31="Grand Total",SUM(D$4:D30),TRUE,IF(COUNTIF(Transactions[Custom Category],Dashboard!A31)&gt;0,SUMIFS(Transactions[Amount],Transactions[Custom Category],Dashboard!A31,Transactions[Month],Sel_Month),SUMIFS(Transactions[Amount],Transactions[Name],Dashboard!A31,Transactions[Month],Sel_Month)))</f>
        <v/>
      </c>
      <c r="E31" s="12" t="str">
        <f t="shared" si="0"/>
        <v/>
      </c>
    </row>
    <row r="32" spans="4:5" x14ac:dyDescent="0.25">
      <c r="D32" s="11" t="str" cm="1">
        <f t="array" ref="D32">_xlfn.IFS(A32="","",A32="Grand Total",SUM(D$4:D31),TRUE,IF(COUNTIF(Transactions[Custom Category],Dashboard!A32)&gt;0,SUMIFS(Transactions[Amount],Transactions[Custom Category],Dashboard!A32,Transactions[Month],Sel_Month),SUMIFS(Transactions[Amount],Transactions[Name],Dashboard!A32,Transactions[Month],Sel_Month)))</f>
        <v/>
      </c>
      <c r="E32" s="12" t="str">
        <f t="shared" si="0"/>
        <v/>
      </c>
    </row>
    <row r="33" spans="4:5" x14ac:dyDescent="0.25">
      <c r="D33" s="11" t="str" cm="1">
        <f t="array" ref="D33">_xlfn.IFS(A33="","",A33="Grand Total",SUM(D$4:D32),TRUE,IF(COUNTIF(Transactions[Custom Category],Dashboard!A33)&gt;0,SUMIFS(Transactions[Amount],Transactions[Custom Category],Dashboard!A33,Transactions[Month],Sel_Month),SUMIFS(Transactions[Amount],Transactions[Name],Dashboard!A33,Transactions[Month],Sel_Month)))</f>
        <v/>
      </c>
      <c r="E33" s="12" t="str">
        <f t="shared" si="0"/>
        <v/>
      </c>
    </row>
    <row r="34" spans="4:5" x14ac:dyDescent="0.25">
      <c r="D34" s="11" t="str" cm="1">
        <f t="array" ref="D34">_xlfn.IFS(A34="","",A34="Grand Total",SUM(D$4:D33),TRUE,IF(COUNTIF(Transactions[Custom Category],Dashboard!A34)&gt;0,SUMIFS(Transactions[Amount],Transactions[Custom Category],Dashboard!A34,Transactions[Month],Sel_Month),SUMIFS(Transactions[Amount],Transactions[Name],Dashboard!A34,Transactions[Month],Sel_Month)))</f>
        <v/>
      </c>
      <c r="E34" s="12" t="str">
        <f t="shared" si="0"/>
        <v/>
      </c>
    </row>
    <row r="35" spans="4:5" x14ac:dyDescent="0.25">
      <c r="D35" s="11" t="str" cm="1">
        <f t="array" ref="D35">_xlfn.IFS(A35="","",A35="Grand Total",SUM(D$4:D34),TRUE,IF(COUNTIF(Transactions[Custom Category],Dashboard!A35)&gt;0,SUMIFS(Transactions[Amount],Transactions[Custom Category],Dashboard!A35,Transactions[Month],Sel_Month),SUMIFS(Transactions[Amount],Transactions[Name],Dashboard!A35,Transactions[Month],Sel_Month)))</f>
        <v/>
      </c>
      <c r="E35" s="12" t="str">
        <f t="shared" si="0"/>
        <v/>
      </c>
    </row>
    <row r="36" spans="4:5" x14ac:dyDescent="0.25">
      <c r="D36" s="11" t="str" cm="1">
        <f t="array" ref="D36">_xlfn.IFS(A36="","",A36="Total",SUM(D$4:D35),TRUE,IF(COUNTIF(Transactions[Custom Category],Dashboard!A36)&gt;0,SUMIFS(Transactions[Amount],Transactions[Custom Category],Dashboard!A36,Transactions[Month],Sel_Month),SUMIFS(Transactions[Amount],Transactions[Name],Dashboard!A36,Transactions[Month],Sel_Month)))</f>
        <v/>
      </c>
      <c r="E36" s="12" t="str">
        <f t="shared" si="0"/>
        <v/>
      </c>
    </row>
    <row r="37" spans="4:5" x14ac:dyDescent="0.25">
      <c r="D37" s="11" t="str" cm="1">
        <f t="array" ref="D37">_xlfn.IFS(A37="","",A37="Grand Total",SUM(D$4:D36),TRUE,IF(COUNTIF(Transactions[Custom Category],Dashboard!A37)&gt;0,SUMIFS(Transactions[Amount],Transactions[Custom Category],Dashboard!A37,Transactions[Month],Sel_Month),SUMIFS(Transactions[Amount],Transactions[Name],Dashboard!A37,Transactions[Month],Sel_Month)))</f>
        <v/>
      </c>
      <c r="E37" s="12" t="str">
        <f t="shared" si="0"/>
        <v/>
      </c>
    </row>
    <row r="38" spans="4:5" x14ac:dyDescent="0.25">
      <c r="D38" s="11" t="str" cm="1">
        <f t="array" ref="D38">_xlfn.IFS(A38="","",A38="Grand Total",SUM(D$4:D37),TRUE,IF(COUNTIF(Transactions[Custom Category],Dashboard!A38)&gt;0,SUMIFS(Transactions[Amount],Transactions[Custom Category],Dashboard!A38,Transactions[Month],Sel_Month),SUMIFS(Transactions[Amount],Transactions[Name],Dashboard!A38,Transactions[Month],Sel_Month)))</f>
        <v/>
      </c>
      <c r="E38" s="12" t="str">
        <f t="shared" si="0"/>
        <v/>
      </c>
    </row>
    <row r="39" spans="4:5" x14ac:dyDescent="0.25">
      <c r="D39" s="11" t="str" cm="1">
        <f t="array" ref="D39">_xlfn.IFS(A39="","",A39="Grand Total",SUM(D$4:D38),TRUE,IF(COUNTIF(Transactions[Custom Category],Dashboard!A39)&gt;0,SUMIFS(Transactions[Amount],Transactions[Custom Category],Dashboard!A39,Transactions[Month],Sel_Month),SUMIFS(Transactions[Amount],Transactions[Name],Dashboard!A39,Transactions[Month],Sel_Month)))</f>
        <v/>
      </c>
      <c r="E39" s="12" t="str">
        <f t="shared" si="0"/>
        <v/>
      </c>
    </row>
    <row r="40" spans="4:5" x14ac:dyDescent="0.25">
      <c r="D40" s="11" t="str" cm="1">
        <f t="array" ref="D40">_xlfn.IFS(A40="","",A40="Grand Total",SUM(D$4:D39),TRUE,IF(COUNTIF(Transactions[Custom Category],Dashboard!A40)&gt;0,SUMIFS(Transactions[Amount],Transactions[Custom Category],Dashboard!A40,Transactions[Month],Sel_Month),SUMIFS(Transactions[Amount],Transactions[Name],Dashboard!A40,Transactions[Month],Sel_Month)))</f>
        <v/>
      </c>
      <c r="E40" s="12" t="str">
        <f t="shared" si="0"/>
        <v/>
      </c>
    </row>
    <row r="41" spans="4:5" x14ac:dyDescent="0.25">
      <c r="D41" s="11" t="str" cm="1">
        <f t="array" ref="D41">_xlfn.IFS(A41="","",A41="Grand Total",SUM(D$4:D40),TRUE,IF(COUNTIF(Transactions[Custom Category],Dashboard!A41)&gt;0,SUMIFS(Transactions[Amount],Transactions[Custom Category],Dashboard!A41,Transactions[Month],Sel_Month),SUMIFS(Transactions[Amount],Transactions[Name],Dashboard!A41,Transactions[Month],Sel_Month)))</f>
        <v/>
      </c>
      <c r="E41" s="12" t="str">
        <f t="shared" si="0"/>
        <v/>
      </c>
    </row>
    <row r="42" spans="4:5" x14ac:dyDescent="0.25">
      <c r="D42" s="11" t="str" cm="1">
        <f t="array" ref="D42">_xlfn.IFS(A42="","",A42="Grand Total",SUM(D$4:D41),TRUE,IF(COUNTIF(Transactions[Custom Category],Dashboard!A42)&gt;0,SUMIFS(Transactions[Amount],Transactions[Custom Category],Dashboard!A42,Transactions[Month],Sel_Month),SUMIFS(Transactions[Amount],Transactions[Name],Dashboard!A42,Transactions[Month],Sel_Month)))</f>
        <v/>
      </c>
      <c r="E42" s="12" t="str">
        <f t="shared" si="0"/>
        <v/>
      </c>
    </row>
    <row r="43" spans="4:5" x14ac:dyDescent="0.25">
      <c r="D43" s="11" t="str" cm="1">
        <f t="array" ref="D43">_xlfn.IFS(A43="","",A43="Grand Total",SUM(D$4:D42),TRUE,IF(COUNTIF(Transactions[Custom Category],Dashboard!A43)&gt;0,SUMIFS(Transactions[Amount],Transactions[Custom Category],Dashboard!A43,Transactions[Month],Sel_Month),SUMIFS(Transactions[Amount],Transactions[Name],Dashboard!A43,Transactions[Month],Sel_Month)))</f>
        <v/>
      </c>
      <c r="E43" s="12" t="str">
        <f t="shared" si="0"/>
        <v/>
      </c>
    </row>
    <row r="44" spans="4:5" x14ac:dyDescent="0.25">
      <c r="D44" s="11" t="str" cm="1">
        <f t="array" ref="D44">_xlfn.IFS(A44="","",A44="Grand Total",SUM(D$4:D43),TRUE,IF(COUNTIF(Transactions[Custom Category],Dashboard!A44)&gt;0,SUMIFS(Transactions[Amount],Transactions[Custom Category],Dashboard!A44,Transactions[Month],Sel_Month),SUMIFS(Transactions[Amount],Transactions[Name],Dashboard!A44,Transactions[Month],Sel_Month)))</f>
        <v/>
      </c>
      <c r="E44" s="12" t="str">
        <f t="shared" si="0"/>
        <v/>
      </c>
    </row>
    <row r="45" spans="4:5" x14ac:dyDescent="0.25">
      <c r="D45" s="11" t="str" cm="1">
        <f t="array" ref="D45">_xlfn.IFS(A45="","",A45="Grand Total",SUM(D$4:D44),TRUE,IF(COUNTIF(Transactions[Custom Category],Dashboard!A45)&gt;0,SUMIFS(Transactions[Amount],Transactions[Custom Category],Dashboard!A45,Transactions[Month],Sel_Month),SUMIFS(Transactions[Amount],Transactions[Name],Dashboard!A45,Transactions[Month],Sel_Month)))</f>
        <v/>
      </c>
      <c r="E45" s="12" t="str">
        <f t="shared" si="0"/>
        <v/>
      </c>
    </row>
    <row r="46" spans="4:5" x14ac:dyDescent="0.25">
      <c r="D46" s="11" t="str" cm="1">
        <f t="array" ref="D46">_xlfn.IFS(A46="","",A46="Grand Total",SUM(D$4:D45),TRUE,IF(COUNTIF(Transactions[Custom Category],Dashboard!A46)&gt;0,SUMIFS(Transactions[Amount],Transactions[Custom Category],Dashboard!A46,Transactions[Month],Sel_Month),SUMIFS(Transactions[Amount],Transactions[Name],Dashboard!A46,Transactions[Month],Sel_Month)))</f>
        <v/>
      </c>
      <c r="E46" s="12" t="str">
        <f t="shared" si="0"/>
        <v/>
      </c>
    </row>
    <row r="47" spans="4:5" x14ac:dyDescent="0.25">
      <c r="D47" s="11" t="str" cm="1">
        <f t="array" ref="D47">_xlfn.IFS(A47="","",A47="Grand Total",SUM(D$4:D46),TRUE,IF(COUNTIF(Transactions[Custom Category],Dashboard!A47)&gt;0,SUMIFS(Transactions[Amount],Transactions[Custom Category],Dashboard!A47,Transactions[Month],Sel_Month),SUMIFS(Transactions[Amount],Transactions[Name],Dashboard!A47,Transactions[Month],Sel_Month)))</f>
        <v/>
      </c>
      <c r="E47" s="12" t="str">
        <f t="shared" si="0"/>
        <v/>
      </c>
    </row>
    <row r="48" spans="4:5" x14ac:dyDescent="0.25">
      <c r="D48" s="11" t="str" cm="1">
        <f t="array" ref="D48">_xlfn.IFS(A48="","",A48="Grand Total",SUM(D$4:D47),TRUE,IF(COUNTIF(Transactions[Custom Category],Dashboard!A48)&gt;0,SUMIFS(Transactions[Amount],Transactions[Custom Category],Dashboard!A48,Transactions[Month],Sel_Month),SUMIFS(Transactions[Amount],Transactions[Name],Dashboard!A48,Transactions[Month],Sel_Month)))</f>
        <v/>
      </c>
      <c r="E48" s="12" t="str">
        <f t="shared" si="0"/>
        <v/>
      </c>
    </row>
    <row r="49" spans="4:5" x14ac:dyDescent="0.25">
      <c r="D49" s="11" t="str" cm="1">
        <f t="array" ref="D49">_xlfn.IFS(A49="","",A49="Grand Total",SUM(D$4:D48),TRUE,IF(COUNTIF(Transactions[Custom Category],Dashboard!A49)&gt;0,SUMIFS(Transactions[Amount],Transactions[Custom Category],Dashboard!A49,Transactions[Month],Sel_Month),SUMIFS(Transactions[Amount],Transactions[Name],Dashboard!A49,Transactions[Month],Sel_Month)))</f>
        <v/>
      </c>
      <c r="E49" s="12" t="str">
        <f t="shared" si="0"/>
        <v/>
      </c>
    </row>
    <row r="50" spans="4:5" x14ac:dyDescent="0.25">
      <c r="D50" s="11" t="str" cm="1">
        <f t="array" ref="D50">_xlfn.IFS(A50="","",A50="Grand Total",SUM(D$4:D49),TRUE,IF(COUNTIF(Transactions[Custom Category],Dashboard!A50)&gt;0,SUMIFS(Transactions[Amount],Transactions[Custom Category],Dashboard!A50,Transactions[Month],Sel_Month),SUMIFS(Transactions[Amount],Transactions[Name],Dashboard!A50,Transactions[Month],Sel_Month)))</f>
        <v/>
      </c>
      <c r="E50" s="12" t="str">
        <f t="shared" si="0"/>
        <v/>
      </c>
    </row>
    <row r="51" spans="4:5" x14ac:dyDescent="0.25">
      <c r="D51" s="11" t="str" cm="1">
        <f t="array" ref="D51">_xlfn.IFS(A51="","",A51="Grand Total",SUM(D$4:D50),TRUE,IF(COUNTIF(Transactions[Custom Category],Dashboard!A51)&gt;0,SUMIFS(Transactions[Amount],Transactions[Custom Category],Dashboard!A51,Transactions[Month],Sel_Month),SUMIFS(Transactions[Amount],Transactions[Name],Dashboard!A51,Transactions[Month],Sel_Month)))</f>
        <v/>
      </c>
      <c r="E51" s="12" t="str">
        <f t="shared" si="0"/>
        <v/>
      </c>
    </row>
    <row r="52" spans="4:5" x14ac:dyDescent="0.25">
      <c r="D52" s="11" t="str" cm="1">
        <f t="array" ref="D52">_xlfn.IFS(A52="","",A52="Grand Total",SUM(D$4:D51),TRUE,IF(COUNTIF(Transactions[Custom Category],Dashboard!A52)&gt;0,SUMIFS(Transactions[Amount],Transactions[Custom Category],Dashboard!A52,Transactions[Month],Sel_Month),SUMIFS(Transactions[Amount],Transactions[Name],Dashboard!A52,Transactions[Month],Sel_Month)))</f>
        <v/>
      </c>
      <c r="E52" s="12" t="str">
        <f t="shared" si="0"/>
        <v/>
      </c>
    </row>
    <row r="53" spans="4:5" x14ac:dyDescent="0.25">
      <c r="D53" s="11" t="str" cm="1">
        <f t="array" ref="D53">_xlfn.IFS(A53="","",A53="Grand Total",SUM(D$4:D52),TRUE,IF(COUNTIF(Transactions[Custom Category],Dashboard!A53)&gt;0,SUMIFS(Transactions[Amount],Transactions[Custom Category],Dashboard!A53,Transactions[Month],Sel_Month),SUMIFS(Transactions[Amount],Transactions[Name],Dashboard!A53,Transactions[Month],Sel_Month)))</f>
        <v/>
      </c>
      <c r="E53" s="12" t="str">
        <f t="shared" si="0"/>
        <v/>
      </c>
    </row>
    <row r="54" spans="4:5" x14ac:dyDescent="0.25">
      <c r="D54" s="11" t="str" cm="1">
        <f t="array" ref="D54">_xlfn.IFS(A54="","",A54="Grand Total",SUM(D$4:D53),TRUE,IF(COUNTIF(Transactions[Custom Category],Dashboard!A54)&gt;0,SUMIFS(Transactions[Amount],Transactions[Custom Category],Dashboard!A54,Transactions[Month],Sel_Month),SUMIFS(Transactions[Amount],Transactions[Name],Dashboard!A54,Transactions[Month],Sel_Month)))</f>
        <v/>
      </c>
      <c r="E54" s="12" t="str">
        <f t="shared" si="0"/>
        <v/>
      </c>
    </row>
    <row r="55" spans="4:5" x14ac:dyDescent="0.25">
      <c r="D55" s="11" t="str" cm="1">
        <f t="array" ref="D55">_xlfn.IFS(A55="","",A55="Grand Total",SUM(D$4:D54),TRUE,IF(COUNTIF(Transactions[Custom Category],Dashboard!A55)&gt;0,SUMIFS(Transactions[Amount],Transactions[Custom Category],Dashboard!A55,Transactions[Month],Sel_Month),SUMIFS(Transactions[Amount],Transactions[Name],Dashboard!A55,Transactions[Month],Sel_Month)))</f>
        <v/>
      </c>
      <c r="E55" s="12" t="str">
        <f t="shared" si="0"/>
        <v/>
      </c>
    </row>
    <row r="56" spans="4:5" x14ac:dyDescent="0.25">
      <c r="D56" s="11" t="str" cm="1">
        <f t="array" ref="D56">_xlfn.IFS(A56="","",A56="Grand Total",SUM(D$4:D55),TRUE,IF(COUNTIF(Transactions[Custom Category],Dashboard!A56)&gt;0,SUMIFS(Transactions[Amount],Transactions[Custom Category],Dashboard!A56,Transactions[Month],Sel_Month),SUMIFS(Transactions[Amount],Transactions[Name],Dashboard!A56,Transactions[Month],Sel_Month)))</f>
        <v/>
      </c>
      <c r="E56" s="12" t="str">
        <f t="shared" si="0"/>
        <v/>
      </c>
    </row>
    <row r="57" spans="4:5" x14ac:dyDescent="0.25">
      <c r="D57" s="11" t="str" cm="1">
        <f t="array" ref="D57">_xlfn.IFS(A57="","",A57="Grand Total",SUM(D$4:D56),TRUE,IF(COUNTIF(Transactions[Custom Category],Dashboard!A57)&gt;0,SUMIFS(Transactions[Amount],Transactions[Custom Category],Dashboard!A57,Transactions[Month],Sel_Month),SUMIFS(Transactions[Amount],Transactions[Name],Dashboard!A57,Transactions[Month],Sel_Month)))</f>
        <v/>
      </c>
      <c r="E57" s="12" t="str">
        <f t="shared" si="0"/>
        <v/>
      </c>
    </row>
    <row r="58" spans="4:5" x14ac:dyDescent="0.25">
      <c r="D58" s="11" t="str" cm="1">
        <f t="array" ref="D58">_xlfn.IFS(A58="","",A58="Grand Total",SUM(D$4:D57),TRUE,IF(COUNTIF(Transactions[Custom Category],Dashboard!A58)&gt;0,SUMIFS(Transactions[Amount],Transactions[Custom Category],Dashboard!A58,Transactions[Month],Sel_Month),SUMIFS(Transactions[Amount],Transactions[Name],Dashboard!A58,Transactions[Month],Sel_Month)))</f>
        <v/>
      </c>
      <c r="E58" s="12" t="str">
        <f t="shared" si="0"/>
        <v/>
      </c>
    </row>
    <row r="59" spans="4:5" x14ac:dyDescent="0.25">
      <c r="D59" s="11" t="str" cm="1">
        <f t="array" ref="D59">_xlfn.IFS(A59="","",A59="Grand Total",SUM(D$4:D58),TRUE,IF(COUNTIF(Transactions[Custom Category],Dashboard!A59)&gt;0,SUMIFS(Transactions[Amount],Transactions[Custom Category],Dashboard!A59,Transactions[Month],Sel_Month),SUMIFS(Transactions[Amount],Transactions[Name],Dashboard!A59,Transactions[Month],Sel_Month)))</f>
        <v/>
      </c>
      <c r="E59" s="12" t="str">
        <f t="shared" si="0"/>
        <v/>
      </c>
    </row>
    <row r="60" spans="4:5" x14ac:dyDescent="0.25">
      <c r="D60" s="11" t="str" cm="1">
        <f t="array" ref="D60">_xlfn.IFS(A60="","",A60="Grand Total",SUM(D$4:D59),TRUE,IF(COUNTIF(Transactions[Custom Category],Dashboard!A60)&gt;0,SUMIFS(Transactions[Amount],Transactions[Custom Category],Dashboard!A60,Transactions[Month],Sel_Month),SUMIFS(Transactions[Amount],Transactions[Name],Dashboard!A60,Transactions[Month],Sel_Month)))</f>
        <v/>
      </c>
      <c r="E60" s="12" t="str">
        <f t="shared" si="0"/>
        <v/>
      </c>
    </row>
    <row r="61" spans="4:5" x14ac:dyDescent="0.25">
      <c r="D61" s="11" t="str" cm="1">
        <f t="array" ref="D61">_xlfn.IFS(A61="","",A61="Grand Total",SUM(D$4:D60),TRUE,IF(COUNTIF(Transactions[Custom Category],Dashboard!A61)&gt;0,SUMIFS(Transactions[Amount],Transactions[Custom Category],Dashboard!A61,Transactions[Month],Sel_Month),SUMIFS(Transactions[Amount],Transactions[Name],Dashboard!A61,Transactions[Month],Sel_Month)))</f>
        <v/>
      </c>
      <c r="E61" s="12" t="str">
        <f t="shared" si="0"/>
        <v/>
      </c>
    </row>
    <row r="62" spans="4:5" x14ac:dyDescent="0.25">
      <c r="D62" s="11" t="str" cm="1">
        <f t="array" ref="D62">_xlfn.IFS(A62="","",A62="Grand Total",SUM(D$4:D61),TRUE,IF(COUNTIF(Transactions[Custom Category],Dashboard!A62)&gt;0,SUMIFS(Transactions[Amount],Transactions[Custom Category],Dashboard!A62,Transactions[Month],Sel_Month),SUMIFS(Transactions[Amount],Transactions[Name],Dashboard!A62,Transactions[Month],Sel_Month)))</f>
        <v/>
      </c>
      <c r="E62" s="12" t="str">
        <f t="shared" si="0"/>
        <v/>
      </c>
    </row>
    <row r="63" spans="4:5" x14ac:dyDescent="0.25">
      <c r="D63" s="11" t="str" cm="1">
        <f t="array" ref="D63">_xlfn.IFS(A63="","",A63="Grand Total",SUM(D$4:D62),TRUE,IF(COUNTIF(Transactions[Custom Category],Dashboard!A63)&gt;0,SUMIFS(Transactions[Amount],Transactions[Custom Category],Dashboard!A63,Transactions[Month],Sel_Month),SUMIFS(Transactions[Amount],Transactions[Name],Dashboard!A63,Transactions[Month],Sel_Month)))</f>
        <v/>
      </c>
      <c r="E63" s="12" t="str">
        <f t="shared" si="0"/>
        <v/>
      </c>
    </row>
    <row r="64" spans="4:5" x14ac:dyDescent="0.25">
      <c r="D64" s="11" t="str" cm="1">
        <f t="array" ref="D64">_xlfn.IFS(A64="","",A64="Grand Total",SUM(D$4:D63),TRUE,IF(COUNTIF(Transactions[Custom Category],Dashboard!A64)&gt;0,SUMIFS(Transactions[Amount],Transactions[Custom Category],Dashboard!A64,Transactions[Month],Sel_Month),SUMIFS(Transactions[Amount],Transactions[Name],Dashboard!A64,Transactions[Month],Sel_Month)))</f>
        <v/>
      </c>
      <c r="E64" s="12" t="str">
        <f t="shared" si="0"/>
        <v/>
      </c>
    </row>
    <row r="65" spans="4:5" x14ac:dyDescent="0.25">
      <c r="D65" s="11" t="str" cm="1">
        <f t="array" ref="D65">_xlfn.IFS(A65="","",A65="Grand Total",SUM(D$4:D64),TRUE,IF(COUNTIF(Transactions[Custom Category],Dashboard!A65)&gt;0,SUMIFS(Transactions[Amount],Transactions[Custom Category],Dashboard!A65,Transactions[Month],Sel_Month),SUMIFS(Transactions[Amount],Transactions[Name],Dashboard!A65,Transactions[Month],Sel_Month)))</f>
        <v/>
      </c>
      <c r="E65" s="12" t="str">
        <f t="shared" si="0"/>
        <v/>
      </c>
    </row>
    <row r="66" spans="4:5" x14ac:dyDescent="0.25">
      <c r="D66" s="11" t="str" cm="1">
        <f t="array" ref="D66">_xlfn.IFS(A66="","",A66="Grand Total",SUM(D$4:D65),TRUE,IF(COUNTIF(Transactions[Custom Category],Dashboard!A66)&gt;0,SUMIFS(Transactions[Amount],Transactions[Custom Category],Dashboard!A66,Transactions[Month],Sel_Month),SUMIFS(Transactions[Amount],Transactions[Name],Dashboard!A66,Transactions[Month],Sel_Month)))</f>
        <v/>
      </c>
      <c r="E66" s="12" t="str">
        <f t="shared" si="0"/>
        <v/>
      </c>
    </row>
    <row r="67" spans="4:5" x14ac:dyDescent="0.25">
      <c r="D67" s="11" t="str" cm="1">
        <f t="array" ref="D67">_xlfn.IFS(A67="","",A67="Grand Total",SUM(D$4:D66),TRUE,IF(COUNTIF(Transactions[Custom Category],Dashboard!A67)&gt;0,SUMIFS(Transactions[Amount],Transactions[Custom Category],Dashboard!A67,Transactions[Month],Sel_Month),SUMIFS(Transactions[Amount],Transactions[Name],Dashboard!A67,Transactions[Month],Sel_Month)))</f>
        <v/>
      </c>
      <c r="E67" s="12" t="str">
        <f t="shared" si="0"/>
        <v/>
      </c>
    </row>
    <row r="68" spans="4:5" x14ac:dyDescent="0.25">
      <c r="D68" s="11" t="str" cm="1">
        <f t="array" ref="D68">_xlfn.IFS(A68="","",A68="Grand Total",SUM(D$4:D67),TRUE,IF(COUNTIF(Transactions[Custom Category],Dashboard!A68)&gt;0,SUMIFS(Transactions[Amount],Transactions[Custom Category],Dashboard!A68,Transactions[Month],Sel_Month),SUMIFS(Transactions[Amount],Transactions[Name],Dashboard!A68,Transactions[Month],Sel_Month)))</f>
        <v/>
      </c>
      <c r="E68" s="12" t="str">
        <f t="shared" si="0"/>
        <v/>
      </c>
    </row>
    <row r="69" spans="4:5" x14ac:dyDescent="0.25">
      <c r="D69" s="11" t="str" cm="1">
        <f t="array" ref="D69">_xlfn.IFS(A69="","",A69="Grand Total",SUM(D$4:D68),TRUE,IF(COUNTIF(Transactions[Custom Category],Dashboard!A69)&gt;0,SUMIFS(Transactions[Amount],Transactions[Custom Category],Dashboard!A69,Transactions[Month],Sel_Month),SUMIFS(Transactions[Amount],Transactions[Name],Dashboard!A69,Transactions[Month],Sel_Month)))</f>
        <v/>
      </c>
      <c r="E69" s="12" t="str">
        <f t="shared" si="0"/>
        <v/>
      </c>
    </row>
    <row r="70" spans="4:5" x14ac:dyDescent="0.25">
      <c r="D70" s="11" t="str" cm="1">
        <f t="array" ref="D70">_xlfn.IFS(A70="","",A70="Grand Total",SUM(D$4:D69),TRUE,IF(COUNTIF(Transactions[Custom Category],Dashboard!A70)&gt;0,SUMIFS(Transactions[Amount],Transactions[Custom Category],Dashboard!A70,Transactions[Month],Sel_Month),SUMIFS(Transactions[Amount],Transactions[Name],Dashboard!A70,Transactions[Month],Sel_Month)))</f>
        <v/>
      </c>
      <c r="E70" s="12" t="str">
        <f t="shared" ref="E70:E133" si="1">IF(C70="","",IF(C70=0,0,1-((C70-D70)/C70)))</f>
        <v/>
      </c>
    </row>
    <row r="71" spans="4:5" x14ac:dyDescent="0.25">
      <c r="D71" s="11" t="str" cm="1">
        <f t="array" ref="D71">_xlfn.IFS(A71="","",A71="Grand Total",SUM(D$4:D70),TRUE,IF(COUNTIF(Transactions[Custom Category],Dashboard!A71)&gt;0,SUMIFS(Transactions[Amount],Transactions[Custom Category],Dashboard!A71,Transactions[Month],Sel_Month),SUMIFS(Transactions[Amount],Transactions[Name],Dashboard!A71,Transactions[Month],Sel_Month)))</f>
        <v/>
      </c>
      <c r="E71" s="12" t="str">
        <f t="shared" si="1"/>
        <v/>
      </c>
    </row>
    <row r="72" spans="4:5" x14ac:dyDescent="0.25">
      <c r="D72" s="11" t="str" cm="1">
        <f t="array" ref="D72">_xlfn.IFS(A72="","",A72="Grand Total",SUM(D$4:D71),TRUE,IF(COUNTIF(Transactions[Custom Category],Dashboard!A72)&gt;0,SUMIFS(Transactions[Amount],Transactions[Custom Category],Dashboard!A72,Transactions[Month],Sel_Month),SUMIFS(Transactions[Amount],Transactions[Name],Dashboard!A72,Transactions[Month],Sel_Month)))</f>
        <v/>
      </c>
      <c r="E72" s="12" t="str">
        <f t="shared" si="1"/>
        <v/>
      </c>
    </row>
    <row r="73" spans="4:5" x14ac:dyDescent="0.25">
      <c r="D73" s="11" t="str" cm="1">
        <f t="array" ref="D73">_xlfn.IFS(A73="","",A73="Grand Total",SUM(D$4:D72),TRUE,IF(COUNTIF(Transactions[Custom Category],Dashboard!A73)&gt;0,SUMIFS(Transactions[Amount],Transactions[Custom Category],Dashboard!A73,Transactions[Month],Sel_Month),SUMIFS(Transactions[Amount],Transactions[Name],Dashboard!A73,Transactions[Month],Sel_Month)))</f>
        <v/>
      </c>
      <c r="E73" s="12" t="str">
        <f t="shared" si="1"/>
        <v/>
      </c>
    </row>
    <row r="74" spans="4:5" x14ac:dyDescent="0.25">
      <c r="D74" s="11" t="str" cm="1">
        <f t="array" ref="D74">_xlfn.IFS(A74="","",A74="Grand Total",SUM(D$4:D73),TRUE,IF(COUNTIF(Transactions[Custom Category],Dashboard!A74)&gt;0,SUMIFS(Transactions[Amount],Transactions[Custom Category],Dashboard!A74,Transactions[Month],Sel_Month),SUMIFS(Transactions[Amount],Transactions[Name],Dashboard!A74,Transactions[Month],Sel_Month)))</f>
        <v/>
      </c>
      <c r="E74" s="12" t="str">
        <f t="shared" si="1"/>
        <v/>
      </c>
    </row>
    <row r="75" spans="4:5" x14ac:dyDescent="0.25">
      <c r="D75" s="11" t="str" cm="1">
        <f t="array" ref="D75">_xlfn.IFS(A75="","",A75="Grand Total",SUM(D$4:D74),TRUE,IF(COUNTIF(Transactions[Custom Category],Dashboard!A75)&gt;0,SUMIFS(Transactions[Amount],Transactions[Custom Category],Dashboard!A75,Transactions[Month],Sel_Month),SUMIFS(Transactions[Amount],Transactions[Name],Dashboard!A75,Transactions[Month],Sel_Month)))</f>
        <v/>
      </c>
      <c r="E75" s="12" t="str">
        <f t="shared" si="1"/>
        <v/>
      </c>
    </row>
    <row r="76" spans="4:5" x14ac:dyDescent="0.25">
      <c r="D76" s="11" t="str" cm="1">
        <f t="array" ref="D76">_xlfn.IFS(A76="","",A76="Grand Total",SUM(D$4:D75),TRUE,IF(COUNTIF(Transactions[Custom Category],Dashboard!A76)&gt;0,SUMIFS(Transactions[Amount],Transactions[Custom Category],Dashboard!A76,Transactions[Month],Sel_Month),SUMIFS(Transactions[Amount],Transactions[Name],Dashboard!A76,Transactions[Month],Sel_Month)))</f>
        <v/>
      </c>
      <c r="E76" s="12" t="str">
        <f t="shared" si="1"/>
        <v/>
      </c>
    </row>
    <row r="77" spans="4:5" x14ac:dyDescent="0.25">
      <c r="D77" s="11" t="str" cm="1">
        <f t="array" ref="D77">_xlfn.IFS(A77="","",A77="Grand Total",SUM(D$4:D76),TRUE,IF(COUNTIF(Transactions[Custom Category],Dashboard!A77)&gt;0,SUMIFS(Transactions[Amount],Transactions[Custom Category],Dashboard!A77,Transactions[Month],Sel_Month),SUMIFS(Transactions[Amount],Transactions[Name],Dashboard!A77,Transactions[Month],Sel_Month)))</f>
        <v/>
      </c>
      <c r="E77" s="12" t="str">
        <f t="shared" si="1"/>
        <v/>
      </c>
    </row>
    <row r="78" spans="4:5" x14ac:dyDescent="0.25">
      <c r="D78" s="11" t="str" cm="1">
        <f t="array" ref="D78">_xlfn.IFS(A78="","",A78="Grand Total",SUM(D$4:D77),TRUE,IF(COUNTIF(Transactions[Custom Category],Dashboard!A78)&gt;0,SUMIFS(Transactions[Amount],Transactions[Custom Category],Dashboard!A78,Transactions[Month],Sel_Month),SUMIFS(Transactions[Amount],Transactions[Name],Dashboard!A78,Transactions[Month],Sel_Month)))</f>
        <v/>
      </c>
      <c r="E78" s="12" t="str">
        <f t="shared" si="1"/>
        <v/>
      </c>
    </row>
    <row r="79" spans="4:5" x14ac:dyDescent="0.25">
      <c r="D79" s="11" t="str" cm="1">
        <f t="array" ref="D79">_xlfn.IFS(A79="","",A79="Grand Total",SUM(D$4:D78),TRUE,IF(COUNTIF(Transactions[Custom Category],Dashboard!A79)&gt;0,SUMIFS(Transactions[Amount],Transactions[Custom Category],Dashboard!A79,Transactions[Month],Sel_Month),SUMIFS(Transactions[Amount],Transactions[Name],Dashboard!A79,Transactions[Month],Sel_Month)))</f>
        <v/>
      </c>
      <c r="E79" s="12" t="str">
        <f t="shared" si="1"/>
        <v/>
      </c>
    </row>
    <row r="80" spans="4:5" x14ac:dyDescent="0.25">
      <c r="D80" s="11" t="str" cm="1">
        <f t="array" ref="D80">_xlfn.IFS(A80="","",A80="Grand Total",SUM(D$4:D79),TRUE,IF(COUNTIF(Transactions[Custom Category],Dashboard!A80)&gt;0,SUMIFS(Transactions[Amount],Transactions[Custom Category],Dashboard!A80,Transactions[Month],Sel_Month),SUMIFS(Transactions[Amount],Transactions[Name],Dashboard!A80,Transactions[Month],Sel_Month)))</f>
        <v/>
      </c>
      <c r="E80" s="12" t="str">
        <f t="shared" si="1"/>
        <v/>
      </c>
    </row>
    <row r="81" spans="4:5" x14ac:dyDescent="0.25">
      <c r="D81" s="11" t="str" cm="1">
        <f t="array" ref="D81">_xlfn.IFS(A81="","",A81="Grand Total",SUM(D$4:D80),TRUE,IF(COUNTIF(Transactions[Custom Category],Dashboard!A81)&gt;0,SUMIFS(Transactions[Amount],Transactions[Custom Category],Dashboard!A81,Transactions[Month],Sel_Month),SUMIFS(Transactions[Amount],Transactions[Name],Dashboard!A81,Transactions[Month],Sel_Month)))</f>
        <v/>
      </c>
      <c r="E81" s="12" t="str">
        <f t="shared" si="1"/>
        <v/>
      </c>
    </row>
    <row r="82" spans="4:5" x14ac:dyDescent="0.25">
      <c r="D82" s="11" t="str" cm="1">
        <f t="array" ref="D82">_xlfn.IFS(A82="","",A82="Grand Total",SUM(D$4:D81),TRUE,IF(COUNTIF(Transactions[Custom Category],Dashboard!A82)&gt;0,SUMIFS(Transactions[Amount],Transactions[Custom Category],Dashboard!A82,Transactions[Month],Sel_Month),SUMIFS(Transactions[Amount],Transactions[Name],Dashboard!A82,Transactions[Month],Sel_Month)))</f>
        <v/>
      </c>
      <c r="E82" s="12" t="str">
        <f t="shared" si="1"/>
        <v/>
      </c>
    </row>
    <row r="83" spans="4:5" x14ac:dyDescent="0.25">
      <c r="D83" s="11" t="str" cm="1">
        <f t="array" ref="D83">_xlfn.IFS(A83="","",A83="Grand Total",SUM(D$4:D82),TRUE,IF(COUNTIF(Transactions[Custom Category],Dashboard!A83)&gt;0,SUMIFS(Transactions[Amount],Transactions[Custom Category],Dashboard!A83,Transactions[Month],Sel_Month),SUMIFS(Transactions[Amount],Transactions[Name],Dashboard!A83,Transactions[Month],Sel_Month)))</f>
        <v/>
      </c>
      <c r="E83" s="12" t="str">
        <f t="shared" si="1"/>
        <v/>
      </c>
    </row>
    <row r="84" spans="4:5" x14ac:dyDescent="0.25">
      <c r="D84" s="11" t="str" cm="1">
        <f t="array" ref="D84">_xlfn.IFS(A84="","",A84="Grand Total",SUM(D$4:D83),TRUE,IF(COUNTIF(Transactions[Custom Category],Dashboard!A84)&gt;0,SUMIFS(Transactions[Amount],Transactions[Custom Category],Dashboard!A84,Transactions[Month],Sel_Month),SUMIFS(Transactions[Amount],Transactions[Name],Dashboard!A84,Transactions[Month],Sel_Month)))</f>
        <v/>
      </c>
      <c r="E84" s="12" t="str">
        <f t="shared" si="1"/>
        <v/>
      </c>
    </row>
    <row r="85" spans="4:5" x14ac:dyDescent="0.25">
      <c r="D85" s="11" t="str" cm="1">
        <f t="array" ref="D85">_xlfn.IFS(A85="","",A85="Grand Total",SUM(D$4:D84),TRUE,IF(COUNTIF(Transactions[Custom Category],Dashboard!A85)&gt;0,SUMIFS(Transactions[Amount],Transactions[Custom Category],Dashboard!A85,Transactions[Month],Sel_Month),SUMIFS(Transactions[Amount],Transactions[Name],Dashboard!A85,Transactions[Month],Sel_Month)))</f>
        <v/>
      </c>
      <c r="E85" s="12" t="str">
        <f t="shared" si="1"/>
        <v/>
      </c>
    </row>
    <row r="86" spans="4:5" x14ac:dyDescent="0.25">
      <c r="D86" s="11" t="str" cm="1">
        <f t="array" ref="D86">_xlfn.IFS(A86="","",A86="Grand Total",SUM(D$4:D85),TRUE,IF(COUNTIF(Transactions[Custom Category],Dashboard!A86)&gt;0,SUMIFS(Transactions[Amount],Transactions[Custom Category],Dashboard!A86,Transactions[Month],Sel_Month),SUMIFS(Transactions[Amount],Transactions[Name],Dashboard!A86,Transactions[Month],Sel_Month)))</f>
        <v/>
      </c>
      <c r="E86" s="12" t="str">
        <f t="shared" si="1"/>
        <v/>
      </c>
    </row>
    <row r="87" spans="4:5" x14ac:dyDescent="0.25">
      <c r="D87" s="11" t="str" cm="1">
        <f t="array" ref="D87">_xlfn.IFS(A87="","",A87="Grand Total",SUM(D$4:D86),TRUE,IF(COUNTIF(Transactions[Custom Category],Dashboard!A87)&gt;0,SUMIFS(Transactions[Amount],Transactions[Custom Category],Dashboard!A87,Transactions[Month],Sel_Month),SUMIFS(Transactions[Amount],Transactions[Name],Dashboard!A87,Transactions[Month],Sel_Month)))</f>
        <v/>
      </c>
      <c r="E87" s="12" t="str">
        <f t="shared" si="1"/>
        <v/>
      </c>
    </row>
    <row r="88" spans="4:5" x14ac:dyDescent="0.25">
      <c r="D88" s="11" t="str" cm="1">
        <f t="array" ref="D88">_xlfn.IFS(A88="","",A88="Grand Total",SUM(D$4:D87),TRUE,IF(COUNTIF(Transactions[Custom Category],Dashboard!A88)&gt;0,SUMIFS(Transactions[Amount],Transactions[Custom Category],Dashboard!A88,Transactions[Month],Sel_Month),SUMIFS(Transactions[Amount],Transactions[Name],Dashboard!A88,Transactions[Month],Sel_Month)))</f>
        <v/>
      </c>
      <c r="E88" s="12" t="str">
        <f t="shared" si="1"/>
        <v/>
      </c>
    </row>
    <row r="89" spans="4:5" x14ac:dyDescent="0.25">
      <c r="D89" s="11" t="str" cm="1">
        <f t="array" ref="D89">_xlfn.IFS(A89="","",A89="Grand Total",SUM(D$4:D88),TRUE,IF(COUNTIF(Transactions[Custom Category],Dashboard!A89)&gt;0,SUMIFS(Transactions[Amount],Transactions[Custom Category],Dashboard!A89,Transactions[Month],Sel_Month),SUMIFS(Transactions[Amount],Transactions[Name],Dashboard!A89,Transactions[Month],Sel_Month)))</f>
        <v/>
      </c>
      <c r="E89" s="12" t="str">
        <f t="shared" si="1"/>
        <v/>
      </c>
    </row>
    <row r="90" spans="4:5" x14ac:dyDescent="0.25">
      <c r="D90" s="11" t="str" cm="1">
        <f t="array" ref="D90">_xlfn.IFS(A90="","",A90="Grand Total",SUM(D$4:D89),TRUE,IF(COUNTIF(Transactions[Custom Category],Dashboard!A90)&gt;0,SUMIFS(Transactions[Amount],Transactions[Custom Category],Dashboard!A90,Transactions[Month],Sel_Month),SUMIFS(Transactions[Amount],Transactions[Name],Dashboard!A90,Transactions[Month],Sel_Month)))</f>
        <v/>
      </c>
      <c r="E90" s="12" t="str">
        <f t="shared" si="1"/>
        <v/>
      </c>
    </row>
    <row r="91" spans="4:5" x14ac:dyDescent="0.25">
      <c r="D91" s="11" t="str" cm="1">
        <f t="array" ref="D91">_xlfn.IFS(A91="","",A91="Grand Total",SUM(D$4:D90),TRUE,IF(COUNTIF(Transactions[Custom Category],Dashboard!A91)&gt;0,SUMIFS(Transactions[Amount],Transactions[Custom Category],Dashboard!A91,Transactions[Month],Sel_Month),SUMIFS(Transactions[Amount],Transactions[Name],Dashboard!A91,Transactions[Month],Sel_Month)))</f>
        <v/>
      </c>
      <c r="E91" s="12" t="str">
        <f t="shared" si="1"/>
        <v/>
      </c>
    </row>
    <row r="92" spans="4:5" x14ac:dyDescent="0.25">
      <c r="D92" s="11" t="str" cm="1">
        <f t="array" ref="D92">_xlfn.IFS(A92="","",A92="Grand Total",SUM(D$4:D91),TRUE,IF(COUNTIF(Transactions[Custom Category],Dashboard!A92)&gt;0,SUMIFS(Transactions[Amount],Transactions[Custom Category],Dashboard!A92,Transactions[Month],Sel_Month),SUMIFS(Transactions[Amount],Transactions[Name],Dashboard!A92,Transactions[Month],Sel_Month)))</f>
        <v/>
      </c>
      <c r="E92" s="12" t="str">
        <f t="shared" si="1"/>
        <v/>
      </c>
    </row>
    <row r="93" spans="4:5" x14ac:dyDescent="0.25">
      <c r="D93" s="11" t="str" cm="1">
        <f t="array" ref="D93">_xlfn.IFS(A93="","",A93="Grand Total",SUM(D$4:D92),TRUE,IF(COUNTIF(Transactions[Custom Category],Dashboard!A93)&gt;0,SUMIFS(Transactions[Amount],Transactions[Custom Category],Dashboard!A93,Transactions[Month],Sel_Month),SUMIFS(Transactions[Amount],Transactions[Name],Dashboard!A93,Transactions[Month],Sel_Month)))</f>
        <v/>
      </c>
      <c r="E93" s="12" t="str">
        <f t="shared" si="1"/>
        <v/>
      </c>
    </row>
    <row r="94" spans="4:5" x14ac:dyDescent="0.25">
      <c r="D94" s="11" t="str" cm="1">
        <f t="array" ref="D94">_xlfn.IFS(A94="","",A94="Grand Total",SUM(D$4:D93),TRUE,IF(COUNTIF(Transactions[Custom Category],Dashboard!A94)&gt;0,SUMIFS(Transactions[Amount],Transactions[Custom Category],Dashboard!A94,Transactions[Month],Sel_Month),SUMIFS(Transactions[Amount],Transactions[Name],Dashboard!A94,Transactions[Month],Sel_Month)))</f>
        <v/>
      </c>
      <c r="E94" s="12" t="str">
        <f t="shared" si="1"/>
        <v/>
      </c>
    </row>
    <row r="95" spans="4:5" x14ac:dyDescent="0.25">
      <c r="D95" s="11" t="str" cm="1">
        <f t="array" ref="D95">_xlfn.IFS(A95="","",A95="Grand Total",SUM(D$4:D94),TRUE,IF(COUNTIF(Transactions[Custom Category],Dashboard!A95)&gt;0,SUMIFS(Transactions[Amount],Transactions[Custom Category],Dashboard!A95,Transactions[Month],Sel_Month),SUMIFS(Transactions[Amount],Transactions[Name],Dashboard!A95,Transactions[Month],Sel_Month)))</f>
        <v/>
      </c>
      <c r="E95" s="12" t="str">
        <f t="shared" si="1"/>
        <v/>
      </c>
    </row>
    <row r="96" spans="4:5" x14ac:dyDescent="0.25">
      <c r="D96" s="11" t="str" cm="1">
        <f t="array" ref="D96">_xlfn.IFS(A96="","",A96="Grand Total",SUM(D$4:D95),TRUE,IF(COUNTIF(Transactions[Custom Category],Dashboard!A96)&gt;0,SUMIFS(Transactions[Amount],Transactions[Custom Category],Dashboard!A96,Transactions[Month],Sel_Month),SUMIFS(Transactions[Amount],Transactions[Name],Dashboard!A96,Transactions[Month],Sel_Month)))</f>
        <v/>
      </c>
      <c r="E96" s="12" t="str">
        <f t="shared" si="1"/>
        <v/>
      </c>
    </row>
    <row r="97" spans="4:5" x14ac:dyDescent="0.25">
      <c r="D97" s="11" t="str" cm="1">
        <f t="array" ref="D97">_xlfn.IFS(A97="","",A97="Grand Total",SUM(D$4:D96),TRUE,IF(COUNTIF(Transactions[Custom Category],Dashboard!A97)&gt;0,SUMIFS(Transactions[Amount],Transactions[Custom Category],Dashboard!A97,Transactions[Month],Sel_Month),SUMIFS(Transactions[Amount],Transactions[Name],Dashboard!A97,Transactions[Month],Sel_Month)))</f>
        <v/>
      </c>
      <c r="E97" s="12" t="str">
        <f t="shared" si="1"/>
        <v/>
      </c>
    </row>
    <row r="98" spans="4:5" x14ac:dyDescent="0.25">
      <c r="D98" s="11" t="str" cm="1">
        <f t="array" ref="D98">_xlfn.IFS(A98="","",A98="Grand Total",SUM(D$4:D97),TRUE,IF(COUNTIF(Transactions[Custom Category],Dashboard!A98)&gt;0,SUMIFS(Transactions[Amount],Transactions[Custom Category],Dashboard!A98,Transactions[Month],Sel_Month),SUMIFS(Transactions[Amount],Transactions[Name],Dashboard!A98,Transactions[Month],Sel_Month)))</f>
        <v/>
      </c>
      <c r="E98" s="12" t="str">
        <f t="shared" si="1"/>
        <v/>
      </c>
    </row>
    <row r="99" spans="4:5" x14ac:dyDescent="0.25">
      <c r="D99" s="11" t="str" cm="1">
        <f t="array" ref="D99">_xlfn.IFS(A99="","",A99="Grand Total",SUM(D$4:D98),TRUE,IF(COUNTIF(Transactions[Custom Category],Dashboard!A99)&gt;0,SUMIFS(Transactions[Amount],Transactions[Custom Category],Dashboard!A99,Transactions[Month],Sel_Month),SUMIFS(Transactions[Amount],Transactions[Name],Dashboard!A99,Transactions[Month],Sel_Month)))</f>
        <v/>
      </c>
      <c r="E99" s="12" t="str">
        <f t="shared" si="1"/>
        <v/>
      </c>
    </row>
    <row r="100" spans="4:5" x14ac:dyDescent="0.25">
      <c r="D100" s="11" t="str" cm="1">
        <f t="array" ref="D100">_xlfn.IFS(A100="","",A100="Grand Total",SUM(D$4:D99),TRUE,IF(COUNTIF(Transactions[Custom Category],Dashboard!A100)&gt;0,SUMIFS(Transactions[Amount],Transactions[Custom Category],Dashboard!A100,Transactions[Month],Sel_Month),SUMIFS(Transactions[Amount],Transactions[Name],Dashboard!A100,Transactions[Month],Sel_Month)))</f>
        <v/>
      </c>
      <c r="E100" s="12" t="str">
        <f t="shared" si="1"/>
        <v/>
      </c>
    </row>
    <row r="101" spans="4:5" x14ac:dyDescent="0.25">
      <c r="D101" s="11" t="str" cm="1">
        <f t="array" ref="D101">_xlfn.IFS(A101="","",A101="Grand Total",SUM(D$4:D100),TRUE,IF(COUNTIF(Transactions[Custom Category],Dashboard!A101)&gt;0,SUMIFS(Transactions[Amount],Transactions[Custom Category],Dashboard!A101,Transactions[Month],Sel_Month),SUMIFS(Transactions[Amount],Transactions[Name],Dashboard!A101,Transactions[Month],Sel_Month)))</f>
        <v/>
      </c>
      <c r="E101" s="12" t="str">
        <f t="shared" si="1"/>
        <v/>
      </c>
    </row>
    <row r="102" spans="4:5" x14ac:dyDescent="0.25">
      <c r="D102" s="11" t="str" cm="1">
        <f t="array" ref="D102">_xlfn.IFS(A102="","",A102="Grand Total",SUM(D$4:D101),TRUE,IF(COUNTIF(Transactions[Custom Category],Dashboard!A102)&gt;0,SUMIFS(Transactions[Amount],Transactions[Custom Category],Dashboard!A102,Transactions[Month],Sel_Month),SUMIFS(Transactions[Amount],Transactions[Name],Dashboard!A102,Transactions[Month],Sel_Month)))</f>
        <v/>
      </c>
      <c r="E102" s="12" t="str">
        <f t="shared" si="1"/>
        <v/>
      </c>
    </row>
    <row r="103" spans="4:5" x14ac:dyDescent="0.25">
      <c r="D103" s="11" t="str" cm="1">
        <f t="array" ref="D103">_xlfn.IFS(A103="","",A103="Grand Total",SUM(D$4:D102),TRUE,IF(COUNTIF(Transactions[Custom Category],Dashboard!A103)&gt;0,SUMIFS(Transactions[Amount],Transactions[Custom Category],Dashboard!A103,Transactions[Month],Sel_Month),SUMIFS(Transactions[Amount],Transactions[Name],Dashboard!A103,Transactions[Month],Sel_Month)))</f>
        <v/>
      </c>
      <c r="E103" s="12" t="str">
        <f t="shared" si="1"/>
        <v/>
      </c>
    </row>
    <row r="104" spans="4:5" x14ac:dyDescent="0.25">
      <c r="D104" s="11" t="str" cm="1">
        <f t="array" ref="D104">_xlfn.IFS(A104="","",A104="Grand Total",SUM(D$4:D103),TRUE,IF(COUNTIF(Transactions[Custom Category],Dashboard!A104)&gt;0,SUMIFS(Transactions[Amount],Transactions[Custom Category],Dashboard!A104,Transactions[Month],Sel_Month),SUMIFS(Transactions[Amount],Transactions[Name],Dashboard!A104,Transactions[Month],Sel_Month)))</f>
        <v/>
      </c>
      <c r="E104" s="12" t="str">
        <f t="shared" si="1"/>
        <v/>
      </c>
    </row>
    <row r="105" spans="4:5" x14ac:dyDescent="0.25">
      <c r="D105" s="11" t="str" cm="1">
        <f t="array" ref="D105">_xlfn.IFS(A105="","",A105="Grand Total",SUM(D$4:D104),TRUE,IF(COUNTIF(Transactions[Custom Category],Dashboard!A105)&gt;0,SUMIFS(Transactions[Amount],Transactions[Custom Category],Dashboard!A105,Transactions[Month],Sel_Month),SUMIFS(Transactions[Amount],Transactions[Name],Dashboard!A105,Transactions[Month],Sel_Month)))</f>
        <v/>
      </c>
      <c r="E105" s="12" t="str">
        <f t="shared" si="1"/>
        <v/>
      </c>
    </row>
    <row r="106" spans="4:5" x14ac:dyDescent="0.25">
      <c r="D106" s="11" t="str" cm="1">
        <f t="array" ref="D106">_xlfn.IFS(A106="","",A106="Grand Total",SUM(D$4:D105),TRUE,IF(COUNTIF(Transactions[Custom Category],Dashboard!A106)&gt;0,SUMIFS(Transactions[Amount],Transactions[Custom Category],Dashboard!A106,Transactions[Month],Sel_Month),SUMIFS(Transactions[Amount],Transactions[Name],Dashboard!A106,Transactions[Month],Sel_Month)))</f>
        <v/>
      </c>
      <c r="E106" s="12" t="str">
        <f t="shared" si="1"/>
        <v/>
      </c>
    </row>
    <row r="107" spans="4:5" x14ac:dyDescent="0.25">
      <c r="D107" s="11" t="str" cm="1">
        <f t="array" ref="D107">_xlfn.IFS(A107="","",A107="Grand Total",SUM(D$4:D106),TRUE,IF(COUNTIF(Transactions[Custom Category],Dashboard!A107)&gt;0,SUMIFS(Transactions[Amount],Transactions[Custom Category],Dashboard!A107,Transactions[Month],Sel_Month),SUMIFS(Transactions[Amount],Transactions[Name],Dashboard!A107,Transactions[Month],Sel_Month)))</f>
        <v/>
      </c>
      <c r="E107" s="12" t="str">
        <f t="shared" si="1"/>
        <v/>
      </c>
    </row>
    <row r="108" spans="4:5" x14ac:dyDescent="0.25">
      <c r="D108" s="11" t="str" cm="1">
        <f t="array" ref="D108">_xlfn.IFS(A108="","",A108="Grand Total",SUM(D$4:D107),TRUE,IF(COUNTIF(Transactions[Custom Category],Dashboard!A108)&gt;0,SUMIFS(Transactions[Amount],Transactions[Custom Category],Dashboard!A108,Transactions[Month],Sel_Month),SUMIFS(Transactions[Amount],Transactions[Name],Dashboard!A108,Transactions[Month],Sel_Month)))</f>
        <v/>
      </c>
      <c r="E108" s="12" t="str">
        <f t="shared" si="1"/>
        <v/>
      </c>
    </row>
    <row r="109" spans="4:5" x14ac:dyDescent="0.25">
      <c r="D109" s="11" t="str" cm="1">
        <f t="array" ref="D109">_xlfn.IFS(A109="","",A109="Grand Total",SUM(D$4:D108),TRUE,IF(COUNTIF(Transactions[Custom Category],Dashboard!A109)&gt;0,SUMIFS(Transactions[Amount],Transactions[Custom Category],Dashboard!A109,Transactions[Month],Sel_Month),SUMIFS(Transactions[Amount],Transactions[Name],Dashboard!A109,Transactions[Month],Sel_Month)))</f>
        <v/>
      </c>
      <c r="E109" s="12" t="str">
        <f t="shared" si="1"/>
        <v/>
      </c>
    </row>
    <row r="110" spans="4:5" x14ac:dyDescent="0.25">
      <c r="D110" s="11" t="str" cm="1">
        <f t="array" ref="D110">_xlfn.IFS(A110="","",A110="Grand Total",SUM(D$4:D109),TRUE,IF(COUNTIF(Transactions[Custom Category],Dashboard!A110)&gt;0,SUMIFS(Transactions[Amount],Transactions[Custom Category],Dashboard!A110,Transactions[Month],Sel_Month),SUMIFS(Transactions[Amount],Transactions[Name],Dashboard!A110,Transactions[Month],Sel_Month)))</f>
        <v/>
      </c>
      <c r="E110" s="12" t="str">
        <f t="shared" si="1"/>
        <v/>
      </c>
    </row>
    <row r="111" spans="4:5" x14ac:dyDescent="0.25">
      <c r="D111" s="11" t="str" cm="1">
        <f t="array" ref="D111">_xlfn.IFS(A111="","",A111="Grand Total",SUM(D$4:D110),TRUE,IF(COUNTIF(Transactions[Custom Category],Dashboard!A111)&gt;0,SUMIFS(Transactions[Amount],Transactions[Custom Category],Dashboard!A111,Transactions[Month],Sel_Month),SUMIFS(Transactions[Amount],Transactions[Name],Dashboard!A111,Transactions[Month],Sel_Month)))</f>
        <v/>
      </c>
      <c r="E111" s="12" t="str">
        <f t="shared" si="1"/>
        <v/>
      </c>
    </row>
    <row r="112" spans="4:5" x14ac:dyDescent="0.25">
      <c r="D112" s="11" t="str" cm="1">
        <f t="array" ref="D112">_xlfn.IFS(A112="","",A112="Grand Total",SUM(D$4:D111),TRUE,IF(COUNTIF(Transactions[Custom Category],Dashboard!A112)&gt;0,SUMIFS(Transactions[Amount],Transactions[Custom Category],Dashboard!A112,Transactions[Month],Sel_Month),SUMIFS(Transactions[Amount],Transactions[Name],Dashboard!A112,Transactions[Month],Sel_Month)))</f>
        <v/>
      </c>
      <c r="E112" s="12" t="str">
        <f t="shared" si="1"/>
        <v/>
      </c>
    </row>
    <row r="113" spans="4:5" x14ac:dyDescent="0.25">
      <c r="D113" s="11" t="str" cm="1">
        <f t="array" ref="D113">_xlfn.IFS(A113="","",A113="Grand Total",SUM(D$4:D112),TRUE,IF(COUNTIF(Transactions[Custom Category],Dashboard!A113)&gt;0,SUMIFS(Transactions[Amount],Transactions[Custom Category],Dashboard!A113,Transactions[Month],Sel_Month),SUMIFS(Transactions[Amount],Transactions[Name],Dashboard!A113,Transactions[Month],Sel_Month)))</f>
        <v/>
      </c>
      <c r="E113" s="12" t="str">
        <f t="shared" si="1"/>
        <v/>
      </c>
    </row>
    <row r="114" spans="4:5" x14ac:dyDescent="0.25">
      <c r="D114" s="11" t="str" cm="1">
        <f t="array" ref="D114">_xlfn.IFS(A114="","",A114="Grand Total",SUM(D$4:D113),TRUE,IF(COUNTIF(Transactions[Custom Category],Dashboard!A114)&gt;0,SUMIFS(Transactions[Amount],Transactions[Custom Category],Dashboard!A114,Transactions[Month],Sel_Month),SUMIFS(Transactions[Amount],Transactions[Name],Dashboard!A114,Transactions[Month],Sel_Month)))</f>
        <v/>
      </c>
      <c r="E114" s="12" t="str">
        <f t="shared" si="1"/>
        <v/>
      </c>
    </row>
    <row r="115" spans="4:5" x14ac:dyDescent="0.25">
      <c r="D115" s="11" t="str" cm="1">
        <f t="array" ref="D115">_xlfn.IFS(A115="","",A115="Grand Total",SUM(D$4:D114),TRUE,IF(COUNTIF(Transactions[Custom Category],Dashboard!A115)&gt;0,SUMIFS(Transactions[Amount],Transactions[Custom Category],Dashboard!A115,Transactions[Month],Sel_Month),SUMIFS(Transactions[Amount],Transactions[Name],Dashboard!A115,Transactions[Month],Sel_Month)))</f>
        <v/>
      </c>
      <c r="E115" s="12" t="str">
        <f t="shared" si="1"/>
        <v/>
      </c>
    </row>
    <row r="116" spans="4:5" x14ac:dyDescent="0.25">
      <c r="D116" s="11" t="str" cm="1">
        <f t="array" ref="D116">_xlfn.IFS(A116="","",A116="Grand Total",SUM(D$4:D115),TRUE,IF(COUNTIF(Transactions[Custom Category],Dashboard!A116)&gt;0,SUMIFS(Transactions[Amount],Transactions[Custom Category],Dashboard!A116,Transactions[Month],Sel_Month),SUMIFS(Transactions[Amount],Transactions[Name],Dashboard!A116,Transactions[Month],Sel_Month)))</f>
        <v/>
      </c>
      <c r="E116" s="12" t="str">
        <f t="shared" si="1"/>
        <v/>
      </c>
    </row>
    <row r="117" spans="4:5" x14ac:dyDescent="0.25">
      <c r="D117" s="11" t="str" cm="1">
        <f t="array" ref="D117">_xlfn.IFS(A117="","",A117="Grand Total",SUM(D$4:D116),TRUE,IF(COUNTIF(Transactions[Custom Category],Dashboard!A117)&gt;0,SUMIFS(Transactions[Amount],Transactions[Custom Category],Dashboard!A117,Transactions[Month],Sel_Month),SUMIFS(Transactions[Amount],Transactions[Name],Dashboard!A117,Transactions[Month],Sel_Month)))</f>
        <v/>
      </c>
      <c r="E117" s="12" t="str">
        <f t="shared" si="1"/>
        <v/>
      </c>
    </row>
    <row r="118" spans="4:5" x14ac:dyDescent="0.25">
      <c r="D118" s="11" t="str" cm="1">
        <f t="array" ref="D118">_xlfn.IFS(A118="","",A118="Grand Total",SUM(D$4:D117),TRUE,IF(COUNTIF(Transactions[Custom Category],Dashboard!A118)&gt;0,SUMIFS(Transactions[Amount],Transactions[Custom Category],Dashboard!A118,Transactions[Month],Sel_Month),SUMIFS(Transactions[Amount],Transactions[Name],Dashboard!A118,Transactions[Month],Sel_Month)))</f>
        <v/>
      </c>
      <c r="E118" s="12" t="str">
        <f t="shared" si="1"/>
        <v/>
      </c>
    </row>
    <row r="119" spans="4:5" x14ac:dyDescent="0.25">
      <c r="D119" s="11" t="str" cm="1">
        <f t="array" ref="D119">_xlfn.IFS(A119="","",A119="Grand Total",SUM(D$4:D118),TRUE,IF(COUNTIF(Transactions[Custom Category],Dashboard!A119)&gt;0,SUMIFS(Transactions[Amount],Transactions[Custom Category],Dashboard!A119,Transactions[Month],Sel_Month),SUMIFS(Transactions[Amount],Transactions[Name],Dashboard!A119,Transactions[Month],Sel_Month)))</f>
        <v/>
      </c>
      <c r="E119" s="12" t="str">
        <f t="shared" si="1"/>
        <v/>
      </c>
    </row>
    <row r="120" spans="4:5" x14ac:dyDescent="0.25">
      <c r="D120" s="11" t="str" cm="1">
        <f t="array" ref="D120">_xlfn.IFS(A120="","",A120="Grand Total",SUM(D$4:D119),TRUE,IF(COUNTIF(Transactions[Custom Category],Dashboard!A120)&gt;0,SUMIFS(Transactions[Amount],Transactions[Custom Category],Dashboard!A120,Transactions[Month],Sel_Month),SUMIFS(Transactions[Amount],Transactions[Name],Dashboard!A120,Transactions[Month],Sel_Month)))</f>
        <v/>
      </c>
      <c r="E120" s="12" t="str">
        <f t="shared" si="1"/>
        <v/>
      </c>
    </row>
    <row r="121" spans="4:5" x14ac:dyDescent="0.25">
      <c r="D121" s="11" t="str" cm="1">
        <f t="array" ref="D121">_xlfn.IFS(A121="","",A121="Grand Total",SUM(D$4:D120),TRUE,IF(COUNTIF(Transactions[Custom Category],Dashboard!A121)&gt;0,SUMIFS(Transactions[Amount],Transactions[Custom Category],Dashboard!A121,Transactions[Month],Sel_Month),SUMIFS(Transactions[Amount],Transactions[Name],Dashboard!A121,Transactions[Month],Sel_Month)))</f>
        <v/>
      </c>
      <c r="E121" s="12" t="str">
        <f t="shared" si="1"/>
        <v/>
      </c>
    </row>
    <row r="122" spans="4:5" x14ac:dyDescent="0.25">
      <c r="D122" s="11" t="str" cm="1">
        <f t="array" ref="D122">_xlfn.IFS(A122="","",A122="Grand Total",SUM(D$4:D121),TRUE,IF(COUNTIF(Transactions[Custom Category],Dashboard!A122)&gt;0,SUMIFS(Transactions[Amount],Transactions[Custom Category],Dashboard!A122,Transactions[Month],Sel_Month),SUMIFS(Transactions[Amount],Transactions[Name],Dashboard!A122,Transactions[Month],Sel_Month)))</f>
        <v/>
      </c>
      <c r="E122" s="12" t="str">
        <f t="shared" si="1"/>
        <v/>
      </c>
    </row>
    <row r="123" spans="4:5" x14ac:dyDescent="0.25">
      <c r="D123" s="11" t="str" cm="1">
        <f t="array" ref="D123">_xlfn.IFS(A123="","",A123="Grand Total",SUM(D$4:D122),TRUE,IF(COUNTIF(Transactions[Custom Category],Dashboard!A123)&gt;0,SUMIFS(Transactions[Amount],Transactions[Custom Category],Dashboard!A123,Transactions[Month],Sel_Month),SUMIFS(Transactions[Amount],Transactions[Name],Dashboard!A123,Transactions[Month],Sel_Month)))</f>
        <v/>
      </c>
      <c r="E123" s="12" t="str">
        <f t="shared" si="1"/>
        <v/>
      </c>
    </row>
    <row r="124" spans="4:5" x14ac:dyDescent="0.25">
      <c r="D124" s="11" t="str" cm="1">
        <f t="array" ref="D124">_xlfn.IFS(A124="","",A124="Grand Total",SUM(D$4:D123),TRUE,IF(COUNTIF(Transactions[Custom Category],Dashboard!A124)&gt;0,SUMIFS(Transactions[Amount],Transactions[Custom Category],Dashboard!A124,Transactions[Month],Sel_Month),SUMIFS(Transactions[Amount],Transactions[Name],Dashboard!A124,Transactions[Month],Sel_Month)))</f>
        <v/>
      </c>
      <c r="E124" s="12" t="str">
        <f t="shared" si="1"/>
        <v/>
      </c>
    </row>
    <row r="125" spans="4:5" x14ac:dyDescent="0.25">
      <c r="D125" s="11" t="str" cm="1">
        <f t="array" ref="D125">_xlfn.IFS(A125="","",A125="Grand Total",SUM(D$4:D124),TRUE,IF(COUNTIF(Transactions[Custom Category],Dashboard!A125)&gt;0,SUMIFS(Transactions[Amount],Transactions[Custom Category],Dashboard!A125,Transactions[Month],Sel_Month),SUMIFS(Transactions[Amount],Transactions[Name],Dashboard!A125,Transactions[Month],Sel_Month)))</f>
        <v/>
      </c>
      <c r="E125" s="12" t="str">
        <f t="shared" si="1"/>
        <v/>
      </c>
    </row>
    <row r="126" spans="4:5" x14ac:dyDescent="0.25">
      <c r="D126" s="11" t="str" cm="1">
        <f t="array" ref="D126">_xlfn.IFS(A126="","",A126="Grand Total",SUM(D$4:D125),TRUE,IF(COUNTIF(Transactions[Custom Category],Dashboard!A126)&gt;0,SUMIFS(Transactions[Amount],Transactions[Custom Category],Dashboard!A126,Transactions[Month],Sel_Month),SUMIFS(Transactions[Amount],Transactions[Name],Dashboard!A126,Transactions[Month],Sel_Month)))</f>
        <v/>
      </c>
      <c r="E126" s="12" t="str">
        <f t="shared" si="1"/>
        <v/>
      </c>
    </row>
    <row r="127" spans="4:5" x14ac:dyDescent="0.25">
      <c r="D127" s="11" t="str" cm="1">
        <f t="array" ref="D127">_xlfn.IFS(A127="","",A127="Grand Total",SUM(D$4:D126),TRUE,IF(COUNTIF(Transactions[Custom Category],Dashboard!A127)&gt;0,SUMIFS(Transactions[Amount],Transactions[Custom Category],Dashboard!A127,Transactions[Month],Sel_Month),SUMIFS(Transactions[Amount],Transactions[Name],Dashboard!A127,Transactions[Month],Sel_Month)))</f>
        <v/>
      </c>
      <c r="E127" s="12" t="str">
        <f t="shared" si="1"/>
        <v/>
      </c>
    </row>
    <row r="128" spans="4:5" x14ac:dyDescent="0.25">
      <c r="D128" s="11" t="str" cm="1">
        <f t="array" ref="D128">_xlfn.IFS(A128="","",A128="Grand Total",SUM(D$4:D127),TRUE,IF(COUNTIF(Transactions[Custom Category],Dashboard!A128)&gt;0,SUMIFS(Transactions[Amount],Transactions[Custom Category],Dashboard!A128,Transactions[Month],Sel_Month),SUMIFS(Transactions[Amount],Transactions[Name],Dashboard!A128,Transactions[Month],Sel_Month)))</f>
        <v/>
      </c>
      <c r="E128" s="12" t="str">
        <f t="shared" si="1"/>
        <v/>
      </c>
    </row>
    <row r="129" spans="4:5" x14ac:dyDescent="0.25">
      <c r="D129" s="11" t="str" cm="1">
        <f t="array" ref="D129">_xlfn.IFS(A129="","",A129="Grand Total",SUM(D$4:D128),TRUE,IF(COUNTIF(Transactions[Custom Category],Dashboard!A129)&gt;0,SUMIFS(Transactions[Amount],Transactions[Custom Category],Dashboard!A129,Transactions[Month],Sel_Month),SUMIFS(Transactions[Amount],Transactions[Name],Dashboard!A129,Transactions[Month],Sel_Month)))</f>
        <v/>
      </c>
      <c r="E129" s="12" t="str">
        <f t="shared" si="1"/>
        <v/>
      </c>
    </row>
    <row r="130" spans="4:5" x14ac:dyDescent="0.25">
      <c r="D130" s="11" t="str" cm="1">
        <f t="array" ref="D130">_xlfn.IFS(A130="","",A130="Grand Total",SUM(D$4:D129),TRUE,IF(COUNTIF(Transactions[Custom Category],Dashboard!A130)&gt;0,SUMIFS(Transactions[Amount],Transactions[Custom Category],Dashboard!A130,Transactions[Month],Sel_Month),SUMIFS(Transactions[Amount],Transactions[Name],Dashboard!A130,Transactions[Month],Sel_Month)))</f>
        <v/>
      </c>
      <c r="E130" s="12" t="str">
        <f t="shared" si="1"/>
        <v/>
      </c>
    </row>
    <row r="131" spans="4:5" x14ac:dyDescent="0.25">
      <c r="D131" s="11" t="str" cm="1">
        <f t="array" ref="D131">_xlfn.IFS(A131="","",A131="Grand Total",SUM(D$4:D130),TRUE,IF(COUNTIF(Transactions[Custom Category],Dashboard!A131)&gt;0,SUMIFS(Transactions[Amount],Transactions[Custom Category],Dashboard!A131,Transactions[Month],Sel_Month),SUMIFS(Transactions[Amount],Transactions[Name],Dashboard!A131,Transactions[Month],Sel_Month)))</f>
        <v/>
      </c>
      <c r="E131" s="12" t="str">
        <f t="shared" si="1"/>
        <v/>
      </c>
    </row>
    <row r="132" spans="4:5" x14ac:dyDescent="0.25">
      <c r="D132" s="11" t="str" cm="1">
        <f t="array" ref="D132">_xlfn.IFS(A132="","",A132="Grand Total",SUM(D$4:D131),TRUE,IF(COUNTIF(Transactions[Custom Category],Dashboard!A132)&gt;0,SUMIFS(Transactions[Amount],Transactions[Custom Category],Dashboard!A132,Transactions[Month],Sel_Month),SUMIFS(Transactions[Amount],Transactions[Name],Dashboard!A132,Transactions[Month],Sel_Month)))</f>
        <v/>
      </c>
      <c r="E132" s="12" t="str">
        <f t="shared" si="1"/>
        <v/>
      </c>
    </row>
    <row r="133" spans="4:5" x14ac:dyDescent="0.25">
      <c r="D133" s="11" t="str" cm="1">
        <f t="array" ref="D133">_xlfn.IFS(A133="","",A133="Grand Total",SUM(D$4:D132),TRUE,IF(COUNTIF(Transactions[Custom Category],Dashboard!A133)&gt;0,SUMIFS(Transactions[Amount],Transactions[Custom Category],Dashboard!A133,Transactions[Month],Sel_Month),SUMIFS(Transactions[Amount],Transactions[Name],Dashboard!A133,Transactions[Month],Sel_Month)))</f>
        <v/>
      </c>
      <c r="E133" s="12" t="str">
        <f t="shared" si="1"/>
        <v/>
      </c>
    </row>
    <row r="134" spans="4:5" x14ac:dyDescent="0.25">
      <c r="D134" s="11" t="str" cm="1">
        <f t="array" ref="D134">_xlfn.IFS(A134="","",A134="Grand Total",SUM(D$4:D133),TRUE,IF(COUNTIF(Transactions[Custom Category],Dashboard!A134)&gt;0,SUMIFS(Transactions[Amount],Transactions[Custom Category],Dashboard!A134,Transactions[Month],Sel_Month),SUMIFS(Transactions[Amount],Transactions[Name],Dashboard!A134,Transactions[Month],Sel_Month)))</f>
        <v/>
      </c>
      <c r="E134" s="12" t="str">
        <f t="shared" ref="E134:E197" si="2">IF(C134="","",IF(C134=0,0,1-((C134-D134)/C134)))</f>
        <v/>
      </c>
    </row>
    <row r="135" spans="4:5" x14ac:dyDescent="0.25">
      <c r="D135" s="11" t="str" cm="1">
        <f t="array" ref="D135">_xlfn.IFS(A135="","",A135="Grand Total",SUM(D$4:D134),TRUE,IF(COUNTIF(Transactions[Custom Category],Dashboard!A135)&gt;0,SUMIFS(Transactions[Amount],Transactions[Custom Category],Dashboard!A135,Transactions[Month],Sel_Month),SUMIFS(Transactions[Amount],Transactions[Name],Dashboard!A135,Transactions[Month],Sel_Month)))</f>
        <v/>
      </c>
      <c r="E135" s="12" t="str">
        <f t="shared" si="2"/>
        <v/>
      </c>
    </row>
    <row r="136" spans="4:5" x14ac:dyDescent="0.25">
      <c r="D136" s="11" t="str" cm="1">
        <f t="array" ref="D136">_xlfn.IFS(A136="","",A136="Grand Total",SUM(D$4:D135),TRUE,IF(COUNTIF(Transactions[Custom Category],Dashboard!A136)&gt;0,SUMIFS(Transactions[Amount],Transactions[Custom Category],Dashboard!A136,Transactions[Month],Sel_Month),SUMIFS(Transactions[Amount],Transactions[Name],Dashboard!A136,Transactions[Month],Sel_Month)))</f>
        <v/>
      </c>
      <c r="E136" s="12" t="str">
        <f t="shared" si="2"/>
        <v/>
      </c>
    </row>
    <row r="137" spans="4:5" x14ac:dyDescent="0.25">
      <c r="D137" s="11" t="str" cm="1">
        <f t="array" ref="D137">_xlfn.IFS(A137="","",A137="Grand Total",SUM(D$4:D136),TRUE,IF(COUNTIF(Transactions[Custom Category],Dashboard!A137)&gt;0,SUMIFS(Transactions[Amount],Transactions[Custom Category],Dashboard!A137,Transactions[Month],Sel_Month),SUMIFS(Transactions[Amount],Transactions[Name],Dashboard!A137,Transactions[Month],Sel_Month)))</f>
        <v/>
      </c>
      <c r="E137" s="12" t="str">
        <f t="shared" si="2"/>
        <v/>
      </c>
    </row>
    <row r="138" spans="4:5" x14ac:dyDescent="0.25">
      <c r="D138" s="11" t="str" cm="1">
        <f t="array" ref="D138">_xlfn.IFS(A138="","",A138="Grand Total",SUM(D$4:D137),TRUE,IF(COUNTIF(Transactions[Custom Category],Dashboard!A138)&gt;0,SUMIFS(Transactions[Amount],Transactions[Custom Category],Dashboard!A138,Transactions[Month],Sel_Month),SUMIFS(Transactions[Amount],Transactions[Name],Dashboard!A138,Transactions[Month],Sel_Month)))</f>
        <v/>
      </c>
      <c r="E138" s="12" t="str">
        <f t="shared" si="2"/>
        <v/>
      </c>
    </row>
    <row r="139" spans="4:5" x14ac:dyDescent="0.25">
      <c r="D139" s="11" t="str" cm="1">
        <f t="array" ref="D139">_xlfn.IFS(A139="","",A139="Grand Total",SUM(D$4:D138),TRUE,IF(COUNTIF(Transactions[Custom Category],Dashboard!A139)&gt;0,SUMIFS(Transactions[Amount],Transactions[Custom Category],Dashboard!A139,Transactions[Month],Sel_Month),SUMIFS(Transactions[Amount],Transactions[Name],Dashboard!A139,Transactions[Month],Sel_Month)))</f>
        <v/>
      </c>
      <c r="E139" s="12" t="str">
        <f t="shared" si="2"/>
        <v/>
      </c>
    </row>
    <row r="140" spans="4:5" x14ac:dyDescent="0.25">
      <c r="D140" s="11" t="str" cm="1">
        <f t="array" ref="D140">_xlfn.IFS(A140="","",A140="Grand Total",SUM(D$4:D139),TRUE,IF(COUNTIF(Transactions[Custom Category],Dashboard!A140)&gt;0,SUMIFS(Transactions[Amount],Transactions[Custom Category],Dashboard!A140,Transactions[Month],Sel_Month),SUMIFS(Transactions[Amount],Transactions[Name],Dashboard!A140,Transactions[Month],Sel_Month)))</f>
        <v/>
      </c>
      <c r="E140" s="12" t="str">
        <f t="shared" si="2"/>
        <v/>
      </c>
    </row>
    <row r="141" spans="4:5" x14ac:dyDescent="0.25">
      <c r="D141" s="11" t="str" cm="1">
        <f t="array" ref="D141">_xlfn.IFS(A141="","",A141="Grand Total",SUM(D$4:D140),TRUE,IF(COUNTIF(Transactions[Custom Category],Dashboard!A141)&gt;0,SUMIFS(Transactions[Amount],Transactions[Custom Category],Dashboard!A141,Transactions[Month],Sel_Month),SUMIFS(Transactions[Amount],Transactions[Name],Dashboard!A141,Transactions[Month],Sel_Month)))</f>
        <v/>
      </c>
      <c r="E141" s="12" t="str">
        <f t="shared" si="2"/>
        <v/>
      </c>
    </row>
    <row r="142" spans="4:5" x14ac:dyDescent="0.25">
      <c r="D142" s="11" t="str" cm="1">
        <f t="array" ref="D142">_xlfn.IFS(A142="","",A142="Grand Total",SUM(D$4:D141),TRUE,IF(COUNTIF(Transactions[Custom Category],Dashboard!A142)&gt;0,SUMIFS(Transactions[Amount],Transactions[Custom Category],Dashboard!A142,Transactions[Month],Sel_Month),SUMIFS(Transactions[Amount],Transactions[Name],Dashboard!A142,Transactions[Month],Sel_Month)))</f>
        <v/>
      </c>
      <c r="E142" s="12" t="str">
        <f t="shared" si="2"/>
        <v/>
      </c>
    </row>
    <row r="143" spans="4:5" x14ac:dyDescent="0.25">
      <c r="D143" s="11" t="str" cm="1">
        <f t="array" ref="D143">_xlfn.IFS(A143="","",A143="Grand Total",SUM(D$4:D142),TRUE,IF(COUNTIF(Transactions[Custom Category],Dashboard!A143)&gt;0,SUMIFS(Transactions[Amount],Transactions[Custom Category],Dashboard!A143,Transactions[Month],Sel_Month),SUMIFS(Transactions[Amount],Transactions[Name],Dashboard!A143,Transactions[Month],Sel_Month)))</f>
        <v/>
      </c>
      <c r="E143" s="12" t="str">
        <f t="shared" si="2"/>
        <v/>
      </c>
    </row>
    <row r="144" spans="4:5" x14ac:dyDescent="0.25">
      <c r="D144" s="11" t="str" cm="1">
        <f t="array" ref="D144">_xlfn.IFS(A144="","",A144="Grand Total",SUM(D$4:D143),TRUE,IF(COUNTIF(Transactions[Custom Category],Dashboard!A144)&gt;0,SUMIFS(Transactions[Amount],Transactions[Custom Category],Dashboard!A144,Transactions[Month],Sel_Month),SUMIFS(Transactions[Amount],Transactions[Name],Dashboard!A144,Transactions[Month],Sel_Month)))</f>
        <v/>
      </c>
      <c r="E144" s="12" t="str">
        <f t="shared" si="2"/>
        <v/>
      </c>
    </row>
    <row r="145" spans="4:5" x14ac:dyDescent="0.25">
      <c r="D145" s="11" t="str" cm="1">
        <f t="array" ref="D145">_xlfn.IFS(A145="","",A145="Grand Total",SUM(D$4:D144),TRUE,IF(COUNTIF(Transactions[Custom Category],Dashboard!A145)&gt;0,SUMIFS(Transactions[Amount],Transactions[Custom Category],Dashboard!A145,Transactions[Month],Sel_Month),SUMIFS(Transactions[Amount],Transactions[Name],Dashboard!A145,Transactions[Month],Sel_Month)))</f>
        <v/>
      </c>
      <c r="E145" s="12" t="str">
        <f t="shared" si="2"/>
        <v/>
      </c>
    </row>
    <row r="146" spans="4:5" x14ac:dyDescent="0.25">
      <c r="D146" s="11" t="str" cm="1">
        <f t="array" ref="D146">_xlfn.IFS(A146="","",A146="Grand Total",SUM(D$4:D145),TRUE,IF(COUNTIF(Transactions[Custom Category],Dashboard!A146)&gt;0,SUMIFS(Transactions[Amount],Transactions[Custom Category],Dashboard!A146,Transactions[Month],Sel_Month),SUMIFS(Transactions[Amount],Transactions[Name],Dashboard!A146,Transactions[Month],Sel_Month)))</f>
        <v/>
      </c>
      <c r="E146" s="12" t="str">
        <f t="shared" si="2"/>
        <v/>
      </c>
    </row>
    <row r="147" spans="4:5" x14ac:dyDescent="0.25">
      <c r="D147" s="11" t="str" cm="1">
        <f t="array" ref="D147">_xlfn.IFS(A147="","",A147="Grand Total",SUM(D$4:D146),TRUE,IF(COUNTIF(Transactions[Custom Category],Dashboard!A147)&gt;0,SUMIFS(Transactions[Amount],Transactions[Custom Category],Dashboard!A147,Transactions[Month],Sel_Month),SUMIFS(Transactions[Amount],Transactions[Name],Dashboard!A147,Transactions[Month],Sel_Month)))</f>
        <v/>
      </c>
      <c r="E147" s="12" t="str">
        <f t="shared" si="2"/>
        <v/>
      </c>
    </row>
    <row r="148" spans="4:5" x14ac:dyDescent="0.25">
      <c r="D148" s="11" t="str" cm="1">
        <f t="array" ref="D148">_xlfn.IFS(A148="","",A148="Grand Total",SUM(D$4:D147),TRUE,IF(COUNTIF(Transactions[Custom Category],Dashboard!A148)&gt;0,SUMIFS(Transactions[Amount],Transactions[Custom Category],Dashboard!A148,Transactions[Month],Sel_Month),SUMIFS(Transactions[Amount],Transactions[Name],Dashboard!A148,Transactions[Month],Sel_Month)))</f>
        <v/>
      </c>
      <c r="E148" s="12" t="str">
        <f t="shared" si="2"/>
        <v/>
      </c>
    </row>
    <row r="149" spans="4:5" x14ac:dyDescent="0.25">
      <c r="D149" s="11" t="str" cm="1">
        <f t="array" ref="D149">_xlfn.IFS(A149="","",A149="Grand Total",SUM(D$4:D148),TRUE,IF(COUNTIF(Transactions[Custom Category],Dashboard!A149)&gt;0,SUMIFS(Transactions[Amount],Transactions[Custom Category],Dashboard!A149,Transactions[Month],Sel_Month),SUMIFS(Transactions[Amount],Transactions[Name],Dashboard!A149,Transactions[Month],Sel_Month)))</f>
        <v/>
      </c>
      <c r="E149" s="12" t="str">
        <f t="shared" si="2"/>
        <v/>
      </c>
    </row>
    <row r="150" spans="4:5" x14ac:dyDescent="0.25">
      <c r="D150" s="11" t="str" cm="1">
        <f t="array" ref="D150">_xlfn.IFS(A150="","",A150="Grand Total",SUM(D$4:D149),TRUE,IF(COUNTIF(Transactions[Custom Category],Dashboard!A150)&gt;0,SUMIFS(Transactions[Amount],Transactions[Custom Category],Dashboard!A150,Transactions[Month],Sel_Month),SUMIFS(Transactions[Amount],Transactions[Name],Dashboard!A150,Transactions[Month],Sel_Month)))</f>
        <v/>
      </c>
      <c r="E150" s="12" t="str">
        <f t="shared" si="2"/>
        <v/>
      </c>
    </row>
    <row r="151" spans="4:5" x14ac:dyDescent="0.25">
      <c r="D151" s="11" t="str" cm="1">
        <f t="array" ref="D151">_xlfn.IFS(A151="","",A151="Grand Total",SUM(D$4:D150),TRUE,IF(COUNTIF(Transactions[Custom Category],Dashboard!A151)&gt;0,SUMIFS(Transactions[Amount],Transactions[Custom Category],Dashboard!A151,Transactions[Month],Sel_Month),SUMIFS(Transactions[Amount],Transactions[Name],Dashboard!A151,Transactions[Month],Sel_Month)))</f>
        <v/>
      </c>
      <c r="E151" s="12" t="str">
        <f t="shared" si="2"/>
        <v/>
      </c>
    </row>
    <row r="152" spans="4:5" x14ac:dyDescent="0.25">
      <c r="D152" s="11" t="str" cm="1">
        <f t="array" ref="D152">_xlfn.IFS(A152="","",A152="Grand Total",SUM(D$4:D151),TRUE,IF(COUNTIF(Transactions[Custom Category],Dashboard!A152)&gt;0,SUMIFS(Transactions[Amount],Transactions[Custom Category],Dashboard!A152,Transactions[Month],Sel_Month),SUMIFS(Transactions[Amount],Transactions[Name],Dashboard!A152,Transactions[Month],Sel_Month)))</f>
        <v/>
      </c>
      <c r="E152" s="12" t="str">
        <f t="shared" si="2"/>
        <v/>
      </c>
    </row>
    <row r="153" spans="4:5" x14ac:dyDescent="0.25">
      <c r="D153" s="11" t="str" cm="1">
        <f t="array" ref="D153">_xlfn.IFS(A153="","",A153="Grand Total",SUM(D$4:D152),TRUE,IF(COUNTIF(Transactions[Custom Category],Dashboard!A153)&gt;0,SUMIFS(Transactions[Amount],Transactions[Custom Category],Dashboard!A153,Transactions[Month],Sel_Month),SUMIFS(Transactions[Amount],Transactions[Name],Dashboard!A153,Transactions[Month],Sel_Month)))</f>
        <v/>
      </c>
      <c r="E153" s="12" t="str">
        <f t="shared" si="2"/>
        <v/>
      </c>
    </row>
    <row r="154" spans="4:5" x14ac:dyDescent="0.25">
      <c r="D154" s="11" t="str" cm="1">
        <f t="array" ref="D154">_xlfn.IFS(A154="","",A154="Grand Total",SUM(D$4:D153),TRUE,IF(COUNTIF(Transactions[Custom Category],Dashboard!A154)&gt;0,SUMIFS(Transactions[Amount],Transactions[Custom Category],Dashboard!A154,Transactions[Month],Sel_Month),SUMIFS(Transactions[Amount],Transactions[Name],Dashboard!A154,Transactions[Month],Sel_Month)))</f>
        <v/>
      </c>
      <c r="E154" s="12" t="str">
        <f t="shared" si="2"/>
        <v/>
      </c>
    </row>
    <row r="155" spans="4:5" x14ac:dyDescent="0.25">
      <c r="D155" s="11" t="str" cm="1">
        <f t="array" ref="D155">_xlfn.IFS(A155="","",A155="Grand Total",SUM(D$4:D154),TRUE,IF(COUNTIF(Transactions[Custom Category],Dashboard!A155)&gt;0,SUMIFS(Transactions[Amount],Transactions[Custom Category],Dashboard!A155,Transactions[Month],Sel_Month),SUMIFS(Transactions[Amount],Transactions[Name],Dashboard!A155,Transactions[Month],Sel_Month)))</f>
        <v/>
      </c>
      <c r="E155" s="12" t="str">
        <f t="shared" si="2"/>
        <v/>
      </c>
    </row>
    <row r="156" spans="4:5" x14ac:dyDescent="0.25">
      <c r="D156" s="11" t="str" cm="1">
        <f t="array" ref="D156">_xlfn.IFS(A156="","",A156="Grand Total",SUM(D$4:D155),TRUE,IF(COUNTIF(Transactions[Custom Category],Dashboard!A156)&gt;0,SUMIFS(Transactions[Amount],Transactions[Custom Category],Dashboard!A156,Transactions[Month],Sel_Month),SUMIFS(Transactions[Amount],Transactions[Name],Dashboard!A156,Transactions[Month],Sel_Month)))</f>
        <v/>
      </c>
      <c r="E156" s="12" t="str">
        <f t="shared" si="2"/>
        <v/>
      </c>
    </row>
    <row r="157" spans="4:5" x14ac:dyDescent="0.25">
      <c r="D157" s="11" t="str" cm="1">
        <f t="array" ref="D157">_xlfn.IFS(A157="","",A157="Grand Total",SUM(D$4:D156),TRUE,IF(COUNTIF(Transactions[Custom Category],Dashboard!A157)&gt;0,SUMIFS(Transactions[Amount],Transactions[Custom Category],Dashboard!A157,Transactions[Month],Sel_Month),SUMIFS(Transactions[Amount],Transactions[Name],Dashboard!A157,Transactions[Month],Sel_Month)))</f>
        <v/>
      </c>
      <c r="E157" s="12" t="str">
        <f t="shared" si="2"/>
        <v/>
      </c>
    </row>
    <row r="158" spans="4:5" x14ac:dyDescent="0.25">
      <c r="D158" s="11" t="str" cm="1">
        <f t="array" ref="D158">_xlfn.IFS(A158="","",A158="Grand Total",SUM(D$4:D157),TRUE,IF(COUNTIF(Transactions[Custom Category],Dashboard!A158)&gt;0,SUMIFS(Transactions[Amount],Transactions[Custom Category],Dashboard!A158,Transactions[Month],Sel_Month),SUMIFS(Transactions[Amount],Transactions[Name],Dashboard!A158,Transactions[Month],Sel_Month)))</f>
        <v/>
      </c>
      <c r="E158" s="12" t="str">
        <f t="shared" si="2"/>
        <v/>
      </c>
    </row>
    <row r="159" spans="4:5" x14ac:dyDescent="0.25">
      <c r="D159" s="11" t="str" cm="1">
        <f t="array" ref="D159">_xlfn.IFS(A159="","",A159="Grand Total",SUM(D$4:D158),TRUE,IF(COUNTIF(Transactions[Custom Category],Dashboard!A159)&gt;0,SUMIFS(Transactions[Amount],Transactions[Custom Category],Dashboard!A159,Transactions[Month],Sel_Month),SUMIFS(Transactions[Amount],Transactions[Name],Dashboard!A159,Transactions[Month],Sel_Month)))</f>
        <v/>
      </c>
      <c r="E159" s="12" t="str">
        <f t="shared" si="2"/>
        <v/>
      </c>
    </row>
    <row r="160" spans="4:5" x14ac:dyDescent="0.25">
      <c r="D160" s="11" t="str" cm="1">
        <f t="array" ref="D160">_xlfn.IFS(A160="","",A160="Grand Total",SUM(D$4:D159),TRUE,IF(COUNTIF(Transactions[Custom Category],Dashboard!A160)&gt;0,SUMIFS(Transactions[Amount],Transactions[Custom Category],Dashboard!A160,Transactions[Month],Sel_Month),SUMIFS(Transactions[Amount],Transactions[Name],Dashboard!A160,Transactions[Month],Sel_Month)))</f>
        <v/>
      </c>
      <c r="E160" s="12" t="str">
        <f t="shared" si="2"/>
        <v/>
      </c>
    </row>
    <row r="161" spans="4:5" x14ac:dyDescent="0.25">
      <c r="D161" s="11" t="str" cm="1">
        <f t="array" ref="D161">_xlfn.IFS(A161="","",A161="Grand Total",SUM(D$4:D160),TRUE,IF(COUNTIF(Transactions[Custom Category],Dashboard!A161)&gt;0,SUMIFS(Transactions[Amount],Transactions[Custom Category],Dashboard!A161,Transactions[Month],Sel_Month),SUMIFS(Transactions[Amount],Transactions[Name],Dashboard!A161,Transactions[Month],Sel_Month)))</f>
        <v/>
      </c>
      <c r="E161" s="12" t="str">
        <f t="shared" si="2"/>
        <v/>
      </c>
    </row>
    <row r="162" spans="4:5" x14ac:dyDescent="0.25">
      <c r="D162" s="11" t="str" cm="1">
        <f t="array" ref="D162">_xlfn.IFS(A162="","",A162="Grand Total",SUM(D$4:D161),TRUE,IF(COUNTIF(Transactions[Custom Category],Dashboard!A162)&gt;0,SUMIFS(Transactions[Amount],Transactions[Custom Category],Dashboard!A162,Transactions[Month],Sel_Month),SUMIFS(Transactions[Amount],Transactions[Name],Dashboard!A162,Transactions[Month],Sel_Month)))</f>
        <v/>
      </c>
      <c r="E162" s="12" t="str">
        <f t="shared" si="2"/>
        <v/>
      </c>
    </row>
    <row r="163" spans="4:5" x14ac:dyDescent="0.25">
      <c r="D163" s="11" t="str" cm="1">
        <f t="array" ref="D163">_xlfn.IFS(A163="","",A163="Grand Total",SUM(D$4:D162),TRUE,IF(COUNTIF(Transactions[Custom Category],Dashboard!A163)&gt;0,SUMIFS(Transactions[Amount],Transactions[Custom Category],Dashboard!A163,Transactions[Month],Sel_Month),SUMIFS(Transactions[Amount],Transactions[Name],Dashboard!A163,Transactions[Month],Sel_Month)))</f>
        <v/>
      </c>
      <c r="E163" s="12" t="str">
        <f t="shared" si="2"/>
        <v/>
      </c>
    </row>
    <row r="164" spans="4:5" x14ac:dyDescent="0.25">
      <c r="D164" s="11" t="str" cm="1">
        <f t="array" ref="D164">_xlfn.IFS(A164="","",A164="Grand Total",SUM(D$4:D163),TRUE,IF(COUNTIF(Transactions[Custom Category],Dashboard!A164)&gt;0,SUMIFS(Transactions[Amount],Transactions[Custom Category],Dashboard!A164,Transactions[Month],Sel_Month),SUMIFS(Transactions[Amount],Transactions[Name],Dashboard!A164,Transactions[Month],Sel_Month)))</f>
        <v/>
      </c>
      <c r="E164" s="12" t="str">
        <f t="shared" si="2"/>
        <v/>
      </c>
    </row>
    <row r="165" spans="4:5" x14ac:dyDescent="0.25">
      <c r="D165" s="11" t="str" cm="1">
        <f t="array" ref="D165">_xlfn.IFS(A165="","",A165="Grand Total",SUM(D$4:D164),TRUE,IF(COUNTIF(Transactions[Custom Category],Dashboard!A165)&gt;0,SUMIFS(Transactions[Amount],Transactions[Custom Category],Dashboard!A165,Transactions[Month],Sel_Month),SUMIFS(Transactions[Amount],Transactions[Name],Dashboard!A165,Transactions[Month],Sel_Month)))</f>
        <v/>
      </c>
      <c r="E165" s="12" t="str">
        <f t="shared" si="2"/>
        <v/>
      </c>
    </row>
    <row r="166" spans="4:5" x14ac:dyDescent="0.25">
      <c r="D166" s="11" t="str" cm="1">
        <f t="array" ref="D166">_xlfn.IFS(A166="","",A166="Grand Total",SUM(D$4:D165),TRUE,IF(COUNTIF(Transactions[Custom Category],Dashboard!A166)&gt;0,SUMIFS(Transactions[Amount],Transactions[Custom Category],Dashboard!A166,Transactions[Month],Sel_Month),SUMIFS(Transactions[Amount],Transactions[Name],Dashboard!A166,Transactions[Month],Sel_Month)))</f>
        <v/>
      </c>
      <c r="E166" s="12" t="str">
        <f t="shared" si="2"/>
        <v/>
      </c>
    </row>
    <row r="167" spans="4:5" x14ac:dyDescent="0.25">
      <c r="D167" s="11" t="str" cm="1">
        <f t="array" ref="D167">_xlfn.IFS(A167="","",A167="Grand Total",SUM(D$4:D166),TRUE,IF(COUNTIF(Transactions[Custom Category],Dashboard!A167)&gt;0,SUMIFS(Transactions[Amount],Transactions[Custom Category],Dashboard!A167,Transactions[Month],Sel_Month),SUMIFS(Transactions[Amount],Transactions[Name],Dashboard!A167,Transactions[Month],Sel_Month)))</f>
        <v/>
      </c>
      <c r="E167" s="12" t="str">
        <f t="shared" si="2"/>
        <v/>
      </c>
    </row>
    <row r="168" spans="4:5" x14ac:dyDescent="0.25">
      <c r="D168" s="11" t="str" cm="1">
        <f t="array" ref="D168">_xlfn.IFS(A168="","",A168="Grand Total",SUM(D$4:D167),TRUE,IF(COUNTIF(Transactions[Custom Category],Dashboard!A168)&gt;0,SUMIFS(Transactions[Amount],Transactions[Custom Category],Dashboard!A168,Transactions[Month],Sel_Month),SUMIFS(Transactions[Amount],Transactions[Name],Dashboard!A168,Transactions[Month],Sel_Month)))</f>
        <v/>
      </c>
      <c r="E168" s="12" t="str">
        <f t="shared" si="2"/>
        <v/>
      </c>
    </row>
    <row r="169" spans="4:5" x14ac:dyDescent="0.25">
      <c r="D169" s="11" t="str" cm="1">
        <f t="array" ref="D169">_xlfn.IFS(A169="","",A169="Grand Total",SUM(D$4:D168),TRUE,IF(COUNTIF(Transactions[Custom Category],Dashboard!A169)&gt;0,SUMIFS(Transactions[Amount],Transactions[Custom Category],Dashboard!A169,Transactions[Month],Sel_Month),SUMIFS(Transactions[Amount],Transactions[Name],Dashboard!A169,Transactions[Month],Sel_Month)))</f>
        <v/>
      </c>
      <c r="E169" s="12" t="str">
        <f t="shared" si="2"/>
        <v/>
      </c>
    </row>
    <row r="170" spans="4:5" x14ac:dyDescent="0.25">
      <c r="D170" s="11" t="str" cm="1">
        <f t="array" ref="D170">_xlfn.IFS(A170="","",A170="Grand Total",SUM(D$4:D169),TRUE,IF(COUNTIF(Transactions[Custom Category],Dashboard!A170)&gt;0,SUMIFS(Transactions[Amount],Transactions[Custom Category],Dashboard!A170,Transactions[Month],Sel_Month),SUMIFS(Transactions[Amount],Transactions[Name],Dashboard!A170,Transactions[Month],Sel_Month)))</f>
        <v/>
      </c>
      <c r="E170" s="12" t="str">
        <f t="shared" si="2"/>
        <v/>
      </c>
    </row>
    <row r="171" spans="4:5" x14ac:dyDescent="0.25">
      <c r="D171" s="11" t="str" cm="1">
        <f t="array" ref="D171">_xlfn.IFS(A171="","",A171="Grand Total",SUM(D$4:D170),TRUE,IF(COUNTIF(Transactions[Custom Category],Dashboard!A171)&gt;0,SUMIFS(Transactions[Amount],Transactions[Custom Category],Dashboard!A171,Transactions[Month],Sel_Month),SUMIFS(Transactions[Amount],Transactions[Name],Dashboard!A171,Transactions[Month],Sel_Month)))</f>
        <v/>
      </c>
      <c r="E171" s="12" t="str">
        <f t="shared" si="2"/>
        <v/>
      </c>
    </row>
    <row r="172" spans="4:5" x14ac:dyDescent="0.25">
      <c r="D172" s="11" t="str" cm="1">
        <f t="array" ref="D172">_xlfn.IFS(A172="","",A172="Grand Total",SUM(D$4:D171),TRUE,IF(COUNTIF(Transactions[Custom Category],Dashboard!A172)&gt;0,SUMIFS(Transactions[Amount],Transactions[Custom Category],Dashboard!A172,Transactions[Month],Sel_Month),SUMIFS(Transactions[Amount],Transactions[Name],Dashboard!A172,Transactions[Month],Sel_Month)))</f>
        <v/>
      </c>
      <c r="E172" s="12" t="str">
        <f t="shared" si="2"/>
        <v/>
      </c>
    </row>
    <row r="173" spans="4:5" x14ac:dyDescent="0.25">
      <c r="D173" s="11" t="str" cm="1">
        <f t="array" ref="D173">_xlfn.IFS(A173="","",A173="Grand Total",SUM(D$4:D172),TRUE,IF(COUNTIF(Transactions[Custom Category],Dashboard!A173)&gt;0,SUMIFS(Transactions[Amount],Transactions[Custom Category],Dashboard!A173,Transactions[Month],Sel_Month),SUMIFS(Transactions[Amount],Transactions[Name],Dashboard!A173,Transactions[Month],Sel_Month)))</f>
        <v/>
      </c>
      <c r="E173" s="12" t="str">
        <f t="shared" si="2"/>
        <v/>
      </c>
    </row>
    <row r="174" spans="4:5" x14ac:dyDescent="0.25">
      <c r="D174" s="11" t="str" cm="1">
        <f t="array" ref="D174">_xlfn.IFS(A174="","",A174="Grand Total",SUM(D$4:D173),TRUE,IF(COUNTIF(Transactions[Custom Category],Dashboard!A174)&gt;0,SUMIFS(Transactions[Amount],Transactions[Custom Category],Dashboard!A174,Transactions[Month],Sel_Month),SUMIFS(Transactions[Amount],Transactions[Name],Dashboard!A174,Transactions[Month],Sel_Month)))</f>
        <v/>
      </c>
      <c r="E174" s="12" t="str">
        <f t="shared" si="2"/>
        <v/>
      </c>
    </row>
    <row r="175" spans="4:5" x14ac:dyDescent="0.25">
      <c r="D175" s="11" t="str" cm="1">
        <f t="array" ref="D175">_xlfn.IFS(A175="","",A175="Grand Total",SUM(D$4:D174),TRUE,IF(COUNTIF(Transactions[Custom Category],Dashboard!A175)&gt;0,SUMIFS(Transactions[Amount],Transactions[Custom Category],Dashboard!A175,Transactions[Month],Sel_Month),SUMIFS(Transactions[Amount],Transactions[Name],Dashboard!A175,Transactions[Month],Sel_Month)))</f>
        <v/>
      </c>
      <c r="E175" s="12" t="str">
        <f t="shared" si="2"/>
        <v/>
      </c>
    </row>
    <row r="176" spans="4:5" x14ac:dyDescent="0.25">
      <c r="D176" s="11" t="str" cm="1">
        <f t="array" ref="D176">_xlfn.IFS(A176="","",A176="Grand Total",SUM(D$4:D175),TRUE,IF(COUNTIF(Transactions[Custom Category],Dashboard!A176)&gt;0,SUMIFS(Transactions[Amount],Transactions[Custom Category],Dashboard!A176,Transactions[Month],Sel_Month),SUMIFS(Transactions[Amount],Transactions[Name],Dashboard!A176,Transactions[Month],Sel_Month)))</f>
        <v/>
      </c>
      <c r="E176" s="12" t="str">
        <f t="shared" si="2"/>
        <v/>
      </c>
    </row>
    <row r="177" spans="4:5" x14ac:dyDescent="0.25">
      <c r="D177" s="11" t="str" cm="1">
        <f t="array" ref="D177">_xlfn.IFS(A177="","",A177="Grand Total",SUM(D$4:D176),TRUE,IF(COUNTIF(Transactions[Custom Category],Dashboard!A177)&gt;0,SUMIFS(Transactions[Amount],Transactions[Custom Category],Dashboard!A177,Transactions[Month],Sel_Month),SUMIFS(Transactions[Amount],Transactions[Name],Dashboard!A177,Transactions[Month],Sel_Month)))</f>
        <v/>
      </c>
      <c r="E177" s="12" t="str">
        <f t="shared" si="2"/>
        <v/>
      </c>
    </row>
    <row r="178" spans="4:5" x14ac:dyDescent="0.25">
      <c r="D178" s="11" t="str" cm="1">
        <f t="array" ref="D178">_xlfn.IFS(A178="","",A178="Grand Total",SUM(D$4:D177),TRUE,IF(COUNTIF(Transactions[Custom Category],Dashboard!A178)&gt;0,SUMIFS(Transactions[Amount],Transactions[Custom Category],Dashboard!A178,Transactions[Month],Sel_Month),SUMIFS(Transactions[Amount],Transactions[Name],Dashboard!A178,Transactions[Month],Sel_Month)))</f>
        <v/>
      </c>
      <c r="E178" s="12" t="str">
        <f t="shared" si="2"/>
        <v/>
      </c>
    </row>
    <row r="179" spans="4:5" x14ac:dyDescent="0.25">
      <c r="D179" s="11" t="str" cm="1">
        <f t="array" ref="D179">_xlfn.IFS(A179="","",A179="Grand Total",SUM(D$4:D178),TRUE,IF(COUNTIF(Transactions[Custom Category],Dashboard!A179)&gt;0,SUMIFS(Transactions[Amount],Transactions[Custom Category],Dashboard!A179,Transactions[Month],Sel_Month),SUMIFS(Transactions[Amount],Transactions[Name],Dashboard!A179,Transactions[Month],Sel_Month)))</f>
        <v/>
      </c>
      <c r="E179" s="12" t="str">
        <f t="shared" si="2"/>
        <v/>
      </c>
    </row>
    <row r="180" spans="4:5" x14ac:dyDescent="0.25">
      <c r="D180" s="11" t="str" cm="1">
        <f t="array" ref="D180">_xlfn.IFS(A180="","",A180="Grand Total",SUM(D$4:D179),TRUE,IF(COUNTIF(Transactions[Custom Category],Dashboard!A180)&gt;0,SUMIFS(Transactions[Amount],Transactions[Custom Category],Dashboard!A180,Transactions[Month],Sel_Month),SUMIFS(Transactions[Amount],Transactions[Name],Dashboard!A180,Transactions[Month],Sel_Month)))</f>
        <v/>
      </c>
      <c r="E180" s="12" t="str">
        <f t="shared" si="2"/>
        <v/>
      </c>
    </row>
    <row r="181" spans="4:5" x14ac:dyDescent="0.25">
      <c r="D181" s="11" t="str" cm="1">
        <f t="array" ref="D181">_xlfn.IFS(A181="","",A181="Grand Total",SUM(D$4:D180),TRUE,IF(COUNTIF(Transactions[Custom Category],Dashboard!A181)&gt;0,SUMIFS(Transactions[Amount],Transactions[Custom Category],Dashboard!A181,Transactions[Month],Sel_Month),SUMIFS(Transactions[Amount],Transactions[Name],Dashboard!A181,Transactions[Month],Sel_Month)))</f>
        <v/>
      </c>
      <c r="E181" s="12" t="str">
        <f t="shared" si="2"/>
        <v/>
      </c>
    </row>
    <row r="182" spans="4:5" x14ac:dyDescent="0.25">
      <c r="D182" s="11" t="str" cm="1">
        <f t="array" ref="D182">_xlfn.IFS(A182="","",A182="Grand Total",SUM(D$4:D181),TRUE,IF(COUNTIF(Transactions[Custom Category],Dashboard!A182)&gt;0,SUMIFS(Transactions[Amount],Transactions[Custom Category],Dashboard!A182,Transactions[Month],Sel_Month),SUMIFS(Transactions[Amount],Transactions[Name],Dashboard!A182,Transactions[Month],Sel_Month)))</f>
        <v/>
      </c>
      <c r="E182" s="12" t="str">
        <f t="shared" si="2"/>
        <v/>
      </c>
    </row>
    <row r="183" spans="4:5" x14ac:dyDescent="0.25">
      <c r="D183" s="11" t="str" cm="1">
        <f t="array" ref="D183">_xlfn.IFS(A183="","",A183="Grand Total",SUM(D$4:D182),TRUE,IF(COUNTIF(Transactions[Custom Category],Dashboard!A183)&gt;0,SUMIFS(Transactions[Amount],Transactions[Custom Category],Dashboard!A183,Transactions[Month],Sel_Month),SUMIFS(Transactions[Amount],Transactions[Name],Dashboard!A183,Transactions[Month],Sel_Month)))</f>
        <v/>
      </c>
      <c r="E183" s="12" t="str">
        <f t="shared" si="2"/>
        <v/>
      </c>
    </row>
    <row r="184" spans="4:5" x14ac:dyDescent="0.25">
      <c r="D184" s="11" t="str" cm="1">
        <f t="array" ref="D184">_xlfn.IFS(A184="","",A184="Grand Total",SUM(D$4:D183),TRUE,IF(COUNTIF(Transactions[Custom Category],Dashboard!A184)&gt;0,SUMIFS(Transactions[Amount],Transactions[Custom Category],Dashboard!A184,Transactions[Month],Sel_Month),SUMIFS(Transactions[Amount],Transactions[Name],Dashboard!A184,Transactions[Month],Sel_Month)))</f>
        <v/>
      </c>
      <c r="E184" s="12" t="str">
        <f t="shared" si="2"/>
        <v/>
      </c>
    </row>
    <row r="185" spans="4:5" x14ac:dyDescent="0.25">
      <c r="D185" s="11" t="str" cm="1">
        <f t="array" ref="D185">_xlfn.IFS(A185="","",A185="Grand Total",SUM(D$4:D184),TRUE,IF(COUNTIF(Transactions[Custom Category],Dashboard!A185)&gt;0,SUMIFS(Transactions[Amount],Transactions[Custom Category],Dashboard!A185,Transactions[Month],Sel_Month),SUMIFS(Transactions[Amount],Transactions[Name],Dashboard!A185,Transactions[Month],Sel_Month)))</f>
        <v/>
      </c>
      <c r="E185" s="12" t="str">
        <f t="shared" si="2"/>
        <v/>
      </c>
    </row>
    <row r="186" spans="4:5" x14ac:dyDescent="0.25">
      <c r="D186" s="11" t="str" cm="1">
        <f t="array" ref="D186">_xlfn.IFS(A186="","",A186="Grand Total",SUM(D$4:D185),TRUE,IF(COUNTIF(Transactions[Custom Category],Dashboard!A186)&gt;0,SUMIFS(Transactions[Amount],Transactions[Custom Category],Dashboard!A186,Transactions[Month],Sel_Month),SUMIFS(Transactions[Amount],Transactions[Name],Dashboard!A186,Transactions[Month],Sel_Month)))</f>
        <v/>
      </c>
      <c r="E186" s="12" t="str">
        <f t="shared" si="2"/>
        <v/>
      </c>
    </row>
    <row r="187" spans="4:5" x14ac:dyDescent="0.25">
      <c r="D187" s="11" t="str" cm="1">
        <f t="array" ref="D187">_xlfn.IFS(A187="","",A187="Grand Total",SUM(D$4:D186),TRUE,IF(COUNTIF(Transactions[Custom Category],Dashboard!A187)&gt;0,SUMIFS(Transactions[Amount],Transactions[Custom Category],Dashboard!A187,Transactions[Month],Sel_Month),SUMIFS(Transactions[Amount],Transactions[Name],Dashboard!A187,Transactions[Month],Sel_Month)))</f>
        <v/>
      </c>
      <c r="E187" s="12" t="str">
        <f t="shared" si="2"/>
        <v/>
      </c>
    </row>
    <row r="188" spans="4:5" x14ac:dyDescent="0.25">
      <c r="D188" s="11" t="str" cm="1">
        <f t="array" ref="D188">_xlfn.IFS(A188="","",A188="Grand Total",SUM(D$4:D187),TRUE,IF(COUNTIF(Transactions[Custom Category],Dashboard!A188)&gt;0,SUMIFS(Transactions[Amount],Transactions[Custom Category],Dashboard!A188,Transactions[Month],Sel_Month),SUMIFS(Transactions[Amount],Transactions[Name],Dashboard!A188,Transactions[Month],Sel_Month)))</f>
        <v/>
      </c>
      <c r="E188" s="12" t="str">
        <f t="shared" si="2"/>
        <v/>
      </c>
    </row>
    <row r="189" spans="4:5" x14ac:dyDescent="0.25">
      <c r="D189" s="11" t="str" cm="1">
        <f t="array" ref="D189">_xlfn.IFS(A189="","",A189="Grand Total",SUM(D$4:D188),TRUE,IF(COUNTIF(Transactions[Custom Category],Dashboard!A189)&gt;0,SUMIFS(Transactions[Amount],Transactions[Custom Category],Dashboard!A189,Transactions[Month],Sel_Month),SUMIFS(Transactions[Amount],Transactions[Name],Dashboard!A189,Transactions[Month],Sel_Month)))</f>
        <v/>
      </c>
      <c r="E189" s="12" t="str">
        <f t="shared" si="2"/>
        <v/>
      </c>
    </row>
    <row r="190" spans="4:5" x14ac:dyDescent="0.25">
      <c r="D190" s="11" t="str" cm="1">
        <f t="array" ref="D190">_xlfn.IFS(A190="","",A190="Grand Total",SUM(D$4:D189),TRUE,IF(COUNTIF(Transactions[Custom Category],Dashboard!A190)&gt;0,SUMIFS(Transactions[Amount],Transactions[Custom Category],Dashboard!A190,Transactions[Month],Sel_Month),SUMIFS(Transactions[Amount],Transactions[Name],Dashboard!A190,Transactions[Month],Sel_Month)))</f>
        <v/>
      </c>
      <c r="E190" s="12" t="str">
        <f t="shared" si="2"/>
        <v/>
      </c>
    </row>
    <row r="191" spans="4:5" x14ac:dyDescent="0.25">
      <c r="D191" s="11" t="str" cm="1">
        <f t="array" ref="D191">_xlfn.IFS(A191="","",A191="Grand Total",SUM(D$4:D190),TRUE,IF(COUNTIF(Transactions[Custom Category],Dashboard!A191)&gt;0,SUMIFS(Transactions[Amount],Transactions[Custom Category],Dashboard!A191,Transactions[Month],Sel_Month),SUMIFS(Transactions[Amount],Transactions[Name],Dashboard!A191,Transactions[Month],Sel_Month)))</f>
        <v/>
      </c>
      <c r="E191" s="12" t="str">
        <f t="shared" si="2"/>
        <v/>
      </c>
    </row>
    <row r="192" spans="4:5" x14ac:dyDescent="0.25">
      <c r="D192" s="11" t="str" cm="1">
        <f t="array" ref="D192">_xlfn.IFS(A192="","",A192="Grand Total",SUM(D$4:D191),TRUE,IF(COUNTIF(Transactions[Custom Category],Dashboard!A192)&gt;0,SUMIFS(Transactions[Amount],Transactions[Custom Category],Dashboard!A192,Transactions[Month],Sel_Month),SUMIFS(Transactions[Amount],Transactions[Name],Dashboard!A192,Transactions[Month],Sel_Month)))</f>
        <v/>
      </c>
      <c r="E192" s="12" t="str">
        <f t="shared" si="2"/>
        <v/>
      </c>
    </row>
    <row r="193" spans="4:5" x14ac:dyDescent="0.25">
      <c r="D193" s="11" t="str" cm="1">
        <f t="array" ref="D193">_xlfn.IFS(A193="","",A193="Grand Total",SUM(D$4:D192),TRUE,IF(COUNTIF(Transactions[Custom Category],Dashboard!A193)&gt;0,SUMIFS(Transactions[Amount],Transactions[Custom Category],Dashboard!A193,Transactions[Month],Sel_Month),SUMIFS(Transactions[Amount],Transactions[Name],Dashboard!A193,Transactions[Month],Sel_Month)))</f>
        <v/>
      </c>
      <c r="E193" s="12" t="str">
        <f t="shared" si="2"/>
        <v/>
      </c>
    </row>
    <row r="194" spans="4:5" x14ac:dyDescent="0.25">
      <c r="D194" s="11" t="str" cm="1">
        <f t="array" ref="D194">_xlfn.IFS(A194="","",A194="Grand Total",SUM(D$4:D193),TRUE,IF(COUNTIF(Transactions[Custom Category],Dashboard!A194)&gt;0,SUMIFS(Transactions[Amount],Transactions[Custom Category],Dashboard!A194,Transactions[Month],Sel_Month),SUMIFS(Transactions[Amount],Transactions[Name],Dashboard!A194,Transactions[Month],Sel_Month)))</f>
        <v/>
      </c>
      <c r="E194" s="12" t="str">
        <f t="shared" si="2"/>
        <v/>
      </c>
    </row>
    <row r="195" spans="4:5" x14ac:dyDescent="0.25">
      <c r="D195" s="11" t="str" cm="1">
        <f t="array" ref="D195">_xlfn.IFS(A195="","",A195="Grand Total",SUM(D$4:D194),TRUE,IF(COUNTIF(Transactions[Custom Category],Dashboard!A195)&gt;0,SUMIFS(Transactions[Amount],Transactions[Custom Category],Dashboard!A195,Transactions[Month],Sel_Month),SUMIFS(Transactions[Amount],Transactions[Name],Dashboard!A195,Transactions[Month],Sel_Month)))</f>
        <v/>
      </c>
      <c r="E195" s="12" t="str">
        <f t="shared" si="2"/>
        <v/>
      </c>
    </row>
    <row r="196" spans="4:5" x14ac:dyDescent="0.25">
      <c r="D196" s="11" t="str" cm="1">
        <f t="array" ref="D196">_xlfn.IFS(A196="","",A196="Grand Total",SUM(D$4:D195),TRUE,IF(COUNTIF(Transactions[Custom Category],Dashboard!A196)&gt;0,SUMIFS(Transactions[Amount],Transactions[Custom Category],Dashboard!A196,Transactions[Month],Sel_Month),SUMIFS(Transactions[Amount],Transactions[Name],Dashboard!A196,Transactions[Month],Sel_Month)))</f>
        <v/>
      </c>
      <c r="E196" s="12" t="str">
        <f t="shared" si="2"/>
        <v/>
      </c>
    </row>
    <row r="197" spans="4:5" x14ac:dyDescent="0.25">
      <c r="D197" s="11" t="str" cm="1">
        <f t="array" ref="D197">_xlfn.IFS(A197="","",A197="Grand Total",SUM(D$4:D196),TRUE,IF(COUNTIF(Transactions[Custom Category],Dashboard!A197)&gt;0,SUMIFS(Transactions[Amount],Transactions[Custom Category],Dashboard!A197,Transactions[Month],Sel_Month),SUMIFS(Transactions[Amount],Transactions[Name],Dashboard!A197,Transactions[Month],Sel_Month)))</f>
        <v/>
      </c>
      <c r="E197" s="12" t="str">
        <f t="shared" si="2"/>
        <v/>
      </c>
    </row>
    <row r="198" spans="4:5" x14ac:dyDescent="0.25">
      <c r="D198" s="11" t="str" cm="1">
        <f t="array" ref="D198">_xlfn.IFS(A198="","",A198="Grand Total",SUM(D$4:D197),TRUE,IF(COUNTIF(Transactions[Custom Category],Dashboard!A198)&gt;0,SUMIFS(Transactions[Amount],Transactions[Custom Category],Dashboard!A198,Transactions[Month],Sel_Month),SUMIFS(Transactions[Amount],Transactions[Name],Dashboard!A198,Transactions[Month],Sel_Month)))</f>
        <v/>
      </c>
      <c r="E198" s="12" t="str">
        <f t="shared" ref="E198:E261" si="3">IF(C198="","",IF(C198=0,0,1-((C198-D198)/C198)))</f>
        <v/>
      </c>
    </row>
    <row r="199" spans="4:5" x14ac:dyDescent="0.25">
      <c r="D199" s="11" t="str" cm="1">
        <f t="array" ref="D199">_xlfn.IFS(A199="","",A199="Grand Total",SUM(D$4:D198),TRUE,IF(COUNTIF(Transactions[Custom Category],Dashboard!A199)&gt;0,SUMIFS(Transactions[Amount],Transactions[Custom Category],Dashboard!A199,Transactions[Month],Sel_Month),SUMIFS(Transactions[Amount],Transactions[Name],Dashboard!A199,Transactions[Month],Sel_Month)))</f>
        <v/>
      </c>
      <c r="E199" s="12" t="str">
        <f t="shared" si="3"/>
        <v/>
      </c>
    </row>
    <row r="200" spans="4:5" x14ac:dyDescent="0.25">
      <c r="D200" s="11" t="str" cm="1">
        <f t="array" ref="D200">_xlfn.IFS(A200="","",A200="Grand Total",SUM(D$4:D199),TRUE,IF(COUNTIF(Transactions[Custom Category],Dashboard!A200)&gt;0,SUMIFS(Transactions[Amount],Transactions[Custom Category],Dashboard!A200,Transactions[Month],Sel_Month),SUMIFS(Transactions[Amount],Transactions[Name],Dashboard!A200,Transactions[Month],Sel_Month)))</f>
        <v/>
      </c>
      <c r="E200" s="12" t="str">
        <f t="shared" si="3"/>
        <v/>
      </c>
    </row>
    <row r="201" spans="4:5" x14ac:dyDescent="0.25">
      <c r="D201" s="11" t="str" cm="1">
        <f t="array" ref="D201">_xlfn.IFS(A201="","",A201="Grand Total",SUM(D$4:D200),TRUE,IF(COUNTIF(Transactions[Custom Category],Dashboard!A201)&gt;0,SUMIFS(Transactions[Amount],Transactions[Custom Category],Dashboard!A201,Transactions[Month],Sel_Month),SUMIFS(Transactions[Amount],Transactions[Name],Dashboard!A201,Transactions[Month],Sel_Month)))</f>
        <v/>
      </c>
      <c r="E201" s="12" t="str">
        <f t="shared" si="3"/>
        <v/>
      </c>
    </row>
    <row r="202" spans="4:5" x14ac:dyDescent="0.25">
      <c r="D202" s="11" t="str" cm="1">
        <f t="array" ref="D202">_xlfn.IFS(A202="","",A202="Grand Total",SUM(D$4:D201),TRUE,IF(COUNTIF(Transactions[Custom Category],Dashboard!A202)&gt;0,SUMIFS(Transactions[Amount],Transactions[Custom Category],Dashboard!A202,Transactions[Month],Sel_Month),SUMIFS(Transactions[Amount],Transactions[Name],Dashboard!A202,Transactions[Month],Sel_Month)))</f>
        <v/>
      </c>
      <c r="E202" s="12" t="str">
        <f t="shared" si="3"/>
        <v/>
      </c>
    </row>
    <row r="203" spans="4:5" x14ac:dyDescent="0.25">
      <c r="D203" s="11" t="str" cm="1">
        <f t="array" ref="D203">_xlfn.IFS(A203="","",A203="Grand Total",SUM(D$4:D202),TRUE,IF(COUNTIF(Transactions[Custom Category],Dashboard!A203)&gt;0,SUMIFS(Transactions[Amount],Transactions[Custom Category],Dashboard!A203,Transactions[Month],Sel_Month),SUMIFS(Transactions[Amount],Transactions[Name],Dashboard!A203,Transactions[Month],Sel_Month)))</f>
        <v/>
      </c>
      <c r="E203" s="12" t="str">
        <f t="shared" si="3"/>
        <v/>
      </c>
    </row>
    <row r="204" spans="4:5" x14ac:dyDescent="0.25">
      <c r="D204" s="11" t="str" cm="1">
        <f t="array" ref="D204">_xlfn.IFS(A204="","",A204="Grand Total",SUM(D$4:D203),TRUE,IF(COUNTIF(Transactions[Custom Category],Dashboard!A204)&gt;0,SUMIFS(Transactions[Amount],Transactions[Custom Category],Dashboard!A204,Transactions[Month],Sel_Month),SUMIFS(Transactions[Amount],Transactions[Name],Dashboard!A204,Transactions[Month],Sel_Month)))</f>
        <v/>
      </c>
      <c r="E204" s="12" t="str">
        <f t="shared" si="3"/>
        <v/>
      </c>
    </row>
    <row r="205" spans="4:5" x14ac:dyDescent="0.25">
      <c r="D205" s="11" t="str" cm="1">
        <f t="array" ref="D205">_xlfn.IFS(A205="","",A205="Grand Total",SUM(D$4:D204),TRUE,IF(COUNTIF(Transactions[Custom Category],Dashboard!A205)&gt;0,SUMIFS(Transactions[Amount],Transactions[Custom Category],Dashboard!A205,Transactions[Month],Sel_Month),SUMIFS(Transactions[Amount],Transactions[Name],Dashboard!A205,Transactions[Month],Sel_Month)))</f>
        <v/>
      </c>
      <c r="E205" s="12" t="str">
        <f t="shared" si="3"/>
        <v/>
      </c>
    </row>
    <row r="206" spans="4:5" x14ac:dyDescent="0.25">
      <c r="D206" s="11" t="str" cm="1">
        <f t="array" ref="D206">_xlfn.IFS(A206="","",A206="Grand Total",SUM(D$4:D205),TRUE,IF(COUNTIF(Transactions[Custom Category],Dashboard!A206)&gt;0,SUMIFS(Transactions[Amount],Transactions[Custom Category],Dashboard!A206,Transactions[Month],Sel_Month),SUMIFS(Transactions[Amount],Transactions[Name],Dashboard!A206,Transactions[Month],Sel_Month)))</f>
        <v/>
      </c>
      <c r="E206" s="12" t="str">
        <f t="shared" si="3"/>
        <v/>
      </c>
    </row>
    <row r="207" spans="4:5" x14ac:dyDescent="0.25">
      <c r="D207" s="11" t="str" cm="1">
        <f t="array" ref="D207">_xlfn.IFS(A207="","",A207="Grand Total",SUM(D$4:D206),TRUE,IF(COUNTIF(Transactions[Custom Category],Dashboard!A207)&gt;0,SUMIFS(Transactions[Amount],Transactions[Custom Category],Dashboard!A207,Transactions[Month],Sel_Month),SUMIFS(Transactions[Amount],Transactions[Name],Dashboard!A207,Transactions[Month],Sel_Month)))</f>
        <v/>
      </c>
      <c r="E207" s="12" t="str">
        <f t="shared" si="3"/>
        <v/>
      </c>
    </row>
    <row r="208" spans="4:5" x14ac:dyDescent="0.25">
      <c r="D208" s="11" t="str" cm="1">
        <f t="array" ref="D208">_xlfn.IFS(A208="","",A208="Grand Total",SUM(D$4:D207),TRUE,IF(COUNTIF(Transactions[Custom Category],Dashboard!A208)&gt;0,SUMIFS(Transactions[Amount],Transactions[Custom Category],Dashboard!A208,Transactions[Month],Sel_Month),SUMIFS(Transactions[Amount],Transactions[Name],Dashboard!A208,Transactions[Month],Sel_Month)))</f>
        <v/>
      </c>
      <c r="E208" s="12" t="str">
        <f t="shared" si="3"/>
        <v/>
      </c>
    </row>
    <row r="209" spans="4:5" x14ac:dyDescent="0.25">
      <c r="D209" s="11" t="str" cm="1">
        <f t="array" ref="D209">_xlfn.IFS(A209="","",A209="Grand Total",SUM(D$4:D208),TRUE,IF(COUNTIF(Transactions[Custom Category],Dashboard!A209)&gt;0,SUMIFS(Transactions[Amount],Transactions[Custom Category],Dashboard!A209,Transactions[Month],Sel_Month),SUMIFS(Transactions[Amount],Transactions[Name],Dashboard!A209,Transactions[Month],Sel_Month)))</f>
        <v/>
      </c>
      <c r="E209" s="12" t="str">
        <f t="shared" si="3"/>
        <v/>
      </c>
    </row>
    <row r="210" spans="4:5" x14ac:dyDescent="0.25">
      <c r="D210" s="11" t="str" cm="1">
        <f t="array" ref="D210">_xlfn.IFS(A210="","",A210="Grand Total",SUM(D$4:D209),TRUE,IF(COUNTIF(Transactions[Custom Category],Dashboard!A210)&gt;0,SUMIFS(Transactions[Amount],Transactions[Custom Category],Dashboard!A210,Transactions[Month],Sel_Month),SUMIFS(Transactions[Amount],Transactions[Name],Dashboard!A210,Transactions[Month],Sel_Month)))</f>
        <v/>
      </c>
      <c r="E210" s="12" t="str">
        <f t="shared" si="3"/>
        <v/>
      </c>
    </row>
    <row r="211" spans="4:5" x14ac:dyDescent="0.25">
      <c r="D211" s="11" t="str" cm="1">
        <f t="array" ref="D211">_xlfn.IFS(A211="","",A211="Grand Total",SUM(D$4:D210),TRUE,IF(COUNTIF(Transactions[Custom Category],Dashboard!A211)&gt;0,SUMIFS(Transactions[Amount],Transactions[Custom Category],Dashboard!A211,Transactions[Month],Sel_Month),SUMIFS(Transactions[Amount],Transactions[Name],Dashboard!A211,Transactions[Month],Sel_Month)))</f>
        <v/>
      </c>
      <c r="E211" s="12" t="str">
        <f t="shared" si="3"/>
        <v/>
      </c>
    </row>
    <row r="212" spans="4:5" x14ac:dyDescent="0.25">
      <c r="D212" s="11" t="str" cm="1">
        <f t="array" ref="D212">_xlfn.IFS(A212="","",A212="Grand Total",SUM(D$4:D211),TRUE,IF(COUNTIF(Transactions[Custom Category],Dashboard!A212)&gt;0,SUMIFS(Transactions[Amount],Transactions[Custom Category],Dashboard!A212,Transactions[Month],Sel_Month),SUMIFS(Transactions[Amount],Transactions[Name],Dashboard!A212,Transactions[Month],Sel_Month)))</f>
        <v/>
      </c>
      <c r="E212" s="12" t="str">
        <f t="shared" si="3"/>
        <v/>
      </c>
    </row>
    <row r="213" spans="4:5" x14ac:dyDescent="0.25">
      <c r="D213" s="11" t="str" cm="1">
        <f t="array" ref="D213">_xlfn.IFS(A213="","",A213="Grand Total",SUM(D$4:D212),TRUE,IF(COUNTIF(Transactions[Custom Category],Dashboard!A213)&gt;0,SUMIFS(Transactions[Amount],Transactions[Custom Category],Dashboard!A213,Transactions[Month],Sel_Month),SUMIFS(Transactions[Amount],Transactions[Name],Dashboard!A213,Transactions[Month],Sel_Month)))</f>
        <v/>
      </c>
      <c r="E213" s="12" t="str">
        <f t="shared" si="3"/>
        <v/>
      </c>
    </row>
    <row r="214" spans="4:5" x14ac:dyDescent="0.25">
      <c r="D214" s="11" t="str" cm="1">
        <f t="array" ref="D214">_xlfn.IFS(A214="","",A214="Grand Total",SUM(D$4:D213),TRUE,IF(COUNTIF(Transactions[Custom Category],Dashboard!A214)&gt;0,SUMIFS(Transactions[Amount],Transactions[Custom Category],Dashboard!A214,Transactions[Month],Sel_Month),SUMIFS(Transactions[Amount],Transactions[Name],Dashboard!A214,Transactions[Month],Sel_Month)))</f>
        <v/>
      </c>
      <c r="E214" s="12" t="str">
        <f t="shared" si="3"/>
        <v/>
      </c>
    </row>
    <row r="215" spans="4:5" x14ac:dyDescent="0.25">
      <c r="D215" s="11" t="str" cm="1">
        <f t="array" ref="D215">_xlfn.IFS(A215="","",A215="Grand Total",SUM(D$4:D214),TRUE,IF(COUNTIF(Transactions[Custom Category],Dashboard!A215)&gt;0,SUMIFS(Transactions[Amount],Transactions[Custom Category],Dashboard!A215,Transactions[Month],Sel_Month),SUMIFS(Transactions[Amount],Transactions[Name],Dashboard!A215,Transactions[Month],Sel_Month)))</f>
        <v/>
      </c>
      <c r="E215" s="12" t="str">
        <f t="shared" si="3"/>
        <v/>
      </c>
    </row>
    <row r="216" spans="4:5" x14ac:dyDescent="0.25">
      <c r="D216" s="11" t="str" cm="1">
        <f t="array" ref="D216">_xlfn.IFS(A216="","",A216="Grand Total",SUM(D$4:D215),TRUE,IF(COUNTIF(Transactions[Custom Category],Dashboard!A216)&gt;0,SUMIFS(Transactions[Amount],Transactions[Custom Category],Dashboard!A216,Transactions[Month],Sel_Month),SUMIFS(Transactions[Amount],Transactions[Name],Dashboard!A216,Transactions[Month],Sel_Month)))</f>
        <v/>
      </c>
      <c r="E216" s="12" t="str">
        <f t="shared" si="3"/>
        <v/>
      </c>
    </row>
    <row r="217" spans="4:5" x14ac:dyDescent="0.25">
      <c r="D217" s="11" t="str" cm="1">
        <f t="array" ref="D217">_xlfn.IFS(A217="","",A217="Grand Total",SUM(D$4:D216),TRUE,IF(COUNTIF(Transactions[Custom Category],Dashboard!A217)&gt;0,SUMIFS(Transactions[Amount],Transactions[Custom Category],Dashboard!A217,Transactions[Month],Sel_Month),SUMIFS(Transactions[Amount],Transactions[Name],Dashboard!A217,Transactions[Month],Sel_Month)))</f>
        <v/>
      </c>
      <c r="E217" s="12" t="str">
        <f t="shared" si="3"/>
        <v/>
      </c>
    </row>
    <row r="218" spans="4:5" x14ac:dyDescent="0.25">
      <c r="D218" s="11" t="str" cm="1">
        <f t="array" ref="D218">_xlfn.IFS(A218="","",A218="Grand Total",SUM(D$4:D217),TRUE,IF(COUNTIF(Transactions[Custom Category],Dashboard!A218)&gt;0,SUMIFS(Transactions[Amount],Transactions[Custom Category],Dashboard!A218,Transactions[Month],Sel_Month),SUMIFS(Transactions[Amount],Transactions[Name],Dashboard!A218,Transactions[Month],Sel_Month)))</f>
        <v/>
      </c>
      <c r="E218" s="12" t="str">
        <f t="shared" si="3"/>
        <v/>
      </c>
    </row>
    <row r="219" spans="4:5" x14ac:dyDescent="0.25">
      <c r="D219" s="11" t="str" cm="1">
        <f t="array" ref="D219">_xlfn.IFS(A219="","",A219="Grand Total",SUM(D$4:D218),TRUE,IF(COUNTIF(Transactions[Custom Category],Dashboard!A219)&gt;0,SUMIFS(Transactions[Amount],Transactions[Custom Category],Dashboard!A219,Transactions[Month],Sel_Month),SUMIFS(Transactions[Amount],Transactions[Name],Dashboard!A219,Transactions[Month],Sel_Month)))</f>
        <v/>
      </c>
      <c r="E219" s="12" t="str">
        <f t="shared" si="3"/>
        <v/>
      </c>
    </row>
    <row r="220" spans="4:5" x14ac:dyDescent="0.25">
      <c r="D220" s="11" t="str" cm="1">
        <f t="array" ref="D220">_xlfn.IFS(A220="","",A220="Grand Total",SUM(D$4:D219),TRUE,IF(COUNTIF(Transactions[Custom Category],Dashboard!A220)&gt;0,SUMIFS(Transactions[Amount],Transactions[Custom Category],Dashboard!A220,Transactions[Month],Sel_Month),SUMIFS(Transactions[Amount],Transactions[Name],Dashboard!A220,Transactions[Month],Sel_Month)))</f>
        <v/>
      </c>
      <c r="E220" s="12" t="str">
        <f t="shared" si="3"/>
        <v/>
      </c>
    </row>
    <row r="221" spans="4:5" x14ac:dyDescent="0.25">
      <c r="D221" s="11" t="str" cm="1">
        <f t="array" ref="D221">_xlfn.IFS(A221="","",A221="Grand Total",SUM(D$4:D220),TRUE,IF(COUNTIF(Transactions[Custom Category],Dashboard!A221)&gt;0,SUMIFS(Transactions[Amount],Transactions[Custom Category],Dashboard!A221,Transactions[Month],Sel_Month),SUMIFS(Transactions[Amount],Transactions[Name],Dashboard!A221,Transactions[Month],Sel_Month)))</f>
        <v/>
      </c>
      <c r="E221" s="12" t="str">
        <f t="shared" si="3"/>
        <v/>
      </c>
    </row>
    <row r="222" spans="4:5" x14ac:dyDescent="0.25">
      <c r="D222" s="11" t="str" cm="1">
        <f t="array" ref="D222">_xlfn.IFS(A222="","",A222="Grand Total",SUM(D$4:D221),TRUE,IF(COUNTIF(Transactions[Custom Category],Dashboard!A222)&gt;0,SUMIFS(Transactions[Amount],Transactions[Custom Category],Dashboard!A222,Transactions[Month],Sel_Month),SUMIFS(Transactions[Amount],Transactions[Name],Dashboard!A222,Transactions[Month],Sel_Month)))</f>
        <v/>
      </c>
      <c r="E222" s="12" t="str">
        <f t="shared" si="3"/>
        <v/>
      </c>
    </row>
    <row r="223" spans="4:5" x14ac:dyDescent="0.25">
      <c r="D223" s="11" t="str" cm="1">
        <f t="array" ref="D223">_xlfn.IFS(A223="","",A223="Grand Total",SUM(D$4:D222),TRUE,IF(COUNTIF(Transactions[Custom Category],Dashboard!A223)&gt;0,SUMIFS(Transactions[Amount],Transactions[Custom Category],Dashboard!A223,Transactions[Month],Sel_Month),SUMIFS(Transactions[Amount],Transactions[Name],Dashboard!A223,Transactions[Month],Sel_Month)))</f>
        <v/>
      </c>
      <c r="E223" s="12" t="str">
        <f t="shared" si="3"/>
        <v/>
      </c>
    </row>
    <row r="224" spans="4:5" x14ac:dyDescent="0.25">
      <c r="D224" s="11" t="str" cm="1">
        <f t="array" ref="D224">_xlfn.IFS(A224="","",A224="Grand Total",SUM(D$4:D223),TRUE,IF(COUNTIF(Transactions[Custom Category],Dashboard!A224)&gt;0,SUMIFS(Transactions[Amount],Transactions[Custom Category],Dashboard!A224,Transactions[Month],Sel_Month),SUMIFS(Transactions[Amount],Transactions[Name],Dashboard!A224,Transactions[Month],Sel_Month)))</f>
        <v/>
      </c>
      <c r="E224" s="12" t="str">
        <f t="shared" si="3"/>
        <v/>
      </c>
    </row>
    <row r="225" spans="4:5" x14ac:dyDescent="0.25">
      <c r="D225" s="11" t="str" cm="1">
        <f t="array" ref="D225">_xlfn.IFS(A225="","",A225="Grand Total",SUM(D$4:D224),TRUE,IF(COUNTIF(Transactions[Custom Category],Dashboard!A225)&gt;0,SUMIFS(Transactions[Amount],Transactions[Custom Category],Dashboard!A225,Transactions[Month],Sel_Month),SUMIFS(Transactions[Amount],Transactions[Name],Dashboard!A225,Transactions[Month],Sel_Month)))</f>
        <v/>
      </c>
      <c r="E225" s="12" t="str">
        <f t="shared" si="3"/>
        <v/>
      </c>
    </row>
    <row r="226" spans="4:5" x14ac:dyDescent="0.25">
      <c r="D226" s="11" t="str" cm="1">
        <f t="array" ref="D226">_xlfn.IFS(A226="","",A226="Grand Total",SUM(D$4:D225),TRUE,IF(COUNTIF(Transactions[Custom Category],Dashboard!A226)&gt;0,SUMIFS(Transactions[Amount],Transactions[Custom Category],Dashboard!A226,Transactions[Month],Sel_Month),SUMIFS(Transactions[Amount],Transactions[Name],Dashboard!A226,Transactions[Month],Sel_Month)))</f>
        <v/>
      </c>
      <c r="E226" s="12" t="str">
        <f t="shared" si="3"/>
        <v/>
      </c>
    </row>
    <row r="227" spans="4:5" x14ac:dyDescent="0.25">
      <c r="D227" s="11" t="str" cm="1">
        <f t="array" ref="D227">_xlfn.IFS(A227="","",A227="Grand Total",SUM(D$4:D226),TRUE,IF(COUNTIF(Transactions[Custom Category],Dashboard!A227)&gt;0,SUMIFS(Transactions[Amount],Transactions[Custom Category],Dashboard!A227,Transactions[Month],Sel_Month),SUMIFS(Transactions[Amount],Transactions[Name],Dashboard!A227,Transactions[Month],Sel_Month)))</f>
        <v/>
      </c>
      <c r="E227" s="12" t="str">
        <f t="shared" si="3"/>
        <v/>
      </c>
    </row>
    <row r="228" spans="4:5" x14ac:dyDescent="0.25">
      <c r="D228" s="11" t="str" cm="1">
        <f t="array" ref="D228">_xlfn.IFS(A228="","",A228="Grand Total",SUM(D$4:D227),TRUE,IF(COUNTIF(Transactions[Custom Category],Dashboard!A228)&gt;0,SUMIFS(Transactions[Amount],Transactions[Custom Category],Dashboard!A228,Transactions[Month],Sel_Month),SUMIFS(Transactions[Amount],Transactions[Name],Dashboard!A228,Transactions[Month],Sel_Month)))</f>
        <v/>
      </c>
      <c r="E228" s="12" t="str">
        <f t="shared" si="3"/>
        <v/>
      </c>
    </row>
    <row r="229" spans="4:5" x14ac:dyDescent="0.25">
      <c r="D229" s="11" t="str" cm="1">
        <f t="array" ref="D229">_xlfn.IFS(A229="","",A229="Grand Total",SUM(D$4:D228),TRUE,IF(COUNTIF(Transactions[Custom Category],Dashboard!A229)&gt;0,SUMIFS(Transactions[Amount],Transactions[Custom Category],Dashboard!A229,Transactions[Month],Sel_Month),SUMIFS(Transactions[Amount],Transactions[Name],Dashboard!A229,Transactions[Month],Sel_Month)))</f>
        <v/>
      </c>
      <c r="E229" s="12" t="str">
        <f t="shared" si="3"/>
        <v/>
      </c>
    </row>
    <row r="230" spans="4:5" x14ac:dyDescent="0.25">
      <c r="D230" s="11" t="str" cm="1">
        <f t="array" ref="D230">_xlfn.IFS(A230="","",A230="Grand Total",SUM(D$4:D229),TRUE,IF(COUNTIF(Transactions[Custom Category],Dashboard!A230)&gt;0,SUMIFS(Transactions[Amount],Transactions[Custom Category],Dashboard!A230,Transactions[Month],Sel_Month),SUMIFS(Transactions[Amount],Transactions[Name],Dashboard!A230,Transactions[Month],Sel_Month)))</f>
        <v/>
      </c>
      <c r="E230" s="12" t="str">
        <f t="shared" si="3"/>
        <v/>
      </c>
    </row>
    <row r="231" spans="4:5" x14ac:dyDescent="0.25">
      <c r="D231" s="11" t="str" cm="1">
        <f t="array" ref="D231">_xlfn.IFS(A231="","",A231="Grand Total",SUM(D$4:D230),TRUE,IF(COUNTIF(Transactions[Custom Category],Dashboard!A231)&gt;0,SUMIFS(Transactions[Amount],Transactions[Custom Category],Dashboard!A231,Transactions[Month],Sel_Month),SUMIFS(Transactions[Amount],Transactions[Name],Dashboard!A231,Transactions[Month],Sel_Month)))</f>
        <v/>
      </c>
      <c r="E231" s="12" t="str">
        <f t="shared" si="3"/>
        <v/>
      </c>
    </row>
    <row r="232" spans="4:5" x14ac:dyDescent="0.25">
      <c r="D232" s="11" t="str" cm="1">
        <f t="array" ref="D232">_xlfn.IFS(A232="","",A232="Grand Total",SUM(D$4:D231),TRUE,IF(COUNTIF(Transactions[Custom Category],Dashboard!A232)&gt;0,SUMIFS(Transactions[Amount],Transactions[Custom Category],Dashboard!A232,Transactions[Month],Sel_Month),SUMIFS(Transactions[Amount],Transactions[Name],Dashboard!A232,Transactions[Month],Sel_Month)))</f>
        <v/>
      </c>
      <c r="E232" s="12" t="str">
        <f t="shared" si="3"/>
        <v/>
      </c>
    </row>
    <row r="233" spans="4:5" x14ac:dyDescent="0.25">
      <c r="D233" s="11" t="str" cm="1">
        <f t="array" ref="D233">_xlfn.IFS(A233="","",A233="Grand Total",SUM(D$4:D232),TRUE,IF(COUNTIF(Transactions[Custom Category],Dashboard!A233)&gt;0,SUMIFS(Transactions[Amount],Transactions[Custom Category],Dashboard!A233,Transactions[Month],Sel_Month),SUMIFS(Transactions[Amount],Transactions[Name],Dashboard!A233,Transactions[Month],Sel_Month)))</f>
        <v/>
      </c>
      <c r="E233" s="12" t="str">
        <f t="shared" si="3"/>
        <v/>
      </c>
    </row>
    <row r="234" spans="4:5" x14ac:dyDescent="0.25">
      <c r="D234" s="11" t="str" cm="1">
        <f t="array" ref="D234">_xlfn.IFS(A234="","",A234="Grand Total",SUM(D$4:D233),TRUE,IF(COUNTIF(Transactions[Custom Category],Dashboard!A234)&gt;0,SUMIFS(Transactions[Amount],Transactions[Custom Category],Dashboard!A234,Transactions[Month],Sel_Month),SUMIFS(Transactions[Amount],Transactions[Name],Dashboard!A234,Transactions[Month],Sel_Month)))</f>
        <v/>
      </c>
      <c r="E234" s="12" t="str">
        <f t="shared" si="3"/>
        <v/>
      </c>
    </row>
    <row r="235" spans="4:5" x14ac:dyDescent="0.25">
      <c r="D235" s="11" t="str" cm="1">
        <f t="array" ref="D235">_xlfn.IFS(A235="","",A235="Grand Total",SUM(D$4:D234),TRUE,IF(COUNTIF(Transactions[Custom Category],Dashboard!A235)&gt;0,SUMIFS(Transactions[Amount],Transactions[Custom Category],Dashboard!A235,Transactions[Month],Sel_Month),SUMIFS(Transactions[Amount],Transactions[Name],Dashboard!A235,Transactions[Month],Sel_Month)))</f>
        <v/>
      </c>
      <c r="E235" s="12" t="str">
        <f t="shared" si="3"/>
        <v/>
      </c>
    </row>
    <row r="236" spans="4:5" x14ac:dyDescent="0.25">
      <c r="D236" s="11" t="str" cm="1">
        <f t="array" ref="D236">_xlfn.IFS(A236="","",A236="Grand Total",SUM(D$4:D235),TRUE,IF(COUNTIF(Transactions[Custom Category],Dashboard!A236)&gt;0,SUMIFS(Transactions[Amount],Transactions[Custom Category],Dashboard!A236,Transactions[Month],Sel_Month),SUMIFS(Transactions[Amount],Transactions[Name],Dashboard!A236,Transactions[Month],Sel_Month)))</f>
        <v/>
      </c>
      <c r="E236" s="12" t="str">
        <f t="shared" si="3"/>
        <v/>
      </c>
    </row>
    <row r="237" spans="4:5" x14ac:dyDescent="0.25">
      <c r="D237" s="11" t="str" cm="1">
        <f t="array" ref="D237">_xlfn.IFS(A237="","",A237="Grand Total",SUM(D$4:D236),TRUE,IF(COUNTIF(Transactions[Custom Category],Dashboard!A237)&gt;0,SUMIFS(Transactions[Amount],Transactions[Custom Category],Dashboard!A237,Transactions[Month],Sel_Month),SUMIFS(Transactions[Amount],Transactions[Name],Dashboard!A237,Transactions[Month],Sel_Month)))</f>
        <v/>
      </c>
      <c r="E237" s="12" t="str">
        <f t="shared" si="3"/>
        <v/>
      </c>
    </row>
    <row r="238" spans="4:5" x14ac:dyDescent="0.25">
      <c r="D238" s="11" t="str" cm="1">
        <f t="array" ref="D238">_xlfn.IFS(A238="","",A238="Grand Total",SUM(D$4:D237),TRUE,IF(COUNTIF(Transactions[Custom Category],Dashboard!A238)&gt;0,SUMIFS(Transactions[Amount],Transactions[Custom Category],Dashboard!A238,Transactions[Month],Sel_Month),SUMIFS(Transactions[Amount],Transactions[Name],Dashboard!A238,Transactions[Month],Sel_Month)))</f>
        <v/>
      </c>
      <c r="E238" s="12" t="str">
        <f t="shared" si="3"/>
        <v/>
      </c>
    </row>
    <row r="239" spans="4:5" x14ac:dyDescent="0.25">
      <c r="D239" s="11" t="str" cm="1">
        <f t="array" ref="D239">_xlfn.IFS(A239="","",A239="Grand Total",SUM(D$4:D238),TRUE,IF(COUNTIF(Transactions[Custom Category],Dashboard!A239)&gt;0,SUMIFS(Transactions[Amount],Transactions[Custom Category],Dashboard!A239,Transactions[Month],Sel_Month),SUMIFS(Transactions[Amount],Transactions[Name],Dashboard!A239,Transactions[Month],Sel_Month)))</f>
        <v/>
      </c>
      <c r="E239" s="12" t="str">
        <f t="shared" si="3"/>
        <v/>
      </c>
    </row>
    <row r="240" spans="4:5" x14ac:dyDescent="0.25">
      <c r="D240" s="11" t="str" cm="1">
        <f t="array" ref="D240">_xlfn.IFS(A240="","",A240="Grand Total",SUM(D$4:D239),TRUE,IF(COUNTIF(Transactions[Custom Category],Dashboard!A240)&gt;0,SUMIFS(Transactions[Amount],Transactions[Custom Category],Dashboard!A240,Transactions[Month],Sel_Month),SUMIFS(Transactions[Amount],Transactions[Name],Dashboard!A240,Transactions[Month],Sel_Month)))</f>
        <v/>
      </c>
      <c r="E240" s="12" t="str">
        <f t="shared" si="3"/>
        <v/>
      </c>
    </row>
    <row r="241" spans="4:5" x14ac:dyDescent="0.25">
      <c r="D241" s="11" t="str" cm="1">
        <f t="array" ref="D241">_xlfn.IFS(A241="","",A241="Grand Total",SUM(D$4:D240),TRUE,IF(COUNTIF(Transactions[Custom Category],Dashboard!A241)&gt;0,SUMIFS(Transactions[Amount],Transactions[Custom Category],Dashboard!A241,Transactions[Month],Sel_Month),SUMIFS(Transactions[Amount],Transactions[Name],Dashboard!A241,Transactions[Month],Sel_Month)))</f>
        <v/>
      </c>
      <c r="E241" s="12" t="str">
        <f t="shared" si="3"/>
        <v/>
      </c>
    </row>
    <row r="242" spans="4:5" x14ac:dyDescent="0.25">
      <c r="D242" s="11" t="str" cm="1">
        <f t="array" ref="D242">_xlfn.IFS(A242="","",A242="Grand Total",SUM(D$4:D241),TRUE,IF(COUNTIF(Transactions[Custom Category],Dashboard!A242)&gt;0,SUMIFS(Transactions[Amount],Transactions[Custom Category],Dashboard!A242,Transactions[Month],Sel_Month),SUMIFS(Transactions[Amount],Transactions[Name],Dashboard!A242,Transactions[Month],Sel_Month)))</f>
        <v/>
      </c>
      <c r="E242" s="12" t="str">
        <f t="shared" si="3"/>
        <v/>
      </c>
    </row>
    <row r="243" spans="4:5" x14ac:dyDescent="0.25">
      <c r="D243" s="11" t="str" cm="1">
        <f t="array" ref="D243">_xlfn.IFS(A243="","",A243="Grand Total",SUM(D$4:D242),TRUE,IF(COUNTIF(Transactions[Custom Category],Dashboard!A243)&gt;0,SUMIFS(Transactions[Amount],Transactions[Custom Category],Dashboard!A243,Transactions[Month],Sel_Month),SUMIFS(Transactions[Amount],Transactions[Name],Dashboard!A243,Transactions[Month],Sel_Month)))</f>
        <v/>
      </c>
      <c r="E243" s="12" t="str">
        <f t="shared" si="3"/>
        <v/>
      </c>
    </row>
    <row r="244" spans="4:5" x14ac:dyDescent="0.25">
      <c r="D244" s="11" t="str" cm="1">
        <f t="array" ref="D244">_xlfn.IFS(A244="","",A244="Grand Total",SUM(D$4:D243),TRUE,IF(COUNTIF(Transactions[Custom Category],Dashboard!A244)&gt;0,SUMIFS(Transactions[Amount],Transactions[Custom Category],Dashboard!A244,Transactions[Month],Sel_Month),SUMIFS(Transactions[Amount],Transactions[Name],Dashboard!A244,Transactions[Month],Sel_Month)))</f>
        <v/>
      </c>
      <c r="E244" s="12" t="str">
        <f t="shared" si="3"/>
        <v/>
      </c>
    </row>
    <row r="245" spans="4:5" x14ac:dyDescent="0.25">
      <c r="D245" s="11" t="str" cm="1">
        <f t="array" ref="D245">_xlfn.IFS(A245="","",A245="Grand Total",SUM(D$4:D244),TRUE,IF(COUNTIF(Transactions[Custom Category],Dashboard!A245)&gt;0,SUMIFS(Transactions[Amount],Transactions[Custom Category],Dashboard!A245,Transactions[Month],Sel_Month),SUMIFS(Transactions[Amount],Transactions[Name],Dashboard!A245,Transactions[Month],Sel_Month)))</f>
        <v/>
      </c>
      <c r="E245" s="12" t="str">
        <f t="shared" si="3"/>
        <v/>
      </c>
    </row>
    <row r="246" spans="4:5" x14ac:dyDescent="0.25">
      <c r="D246" s="11" t="str" cm="1">
        <f t="array" ref="D246">_xlfn.IFS(A246="","",A246="Grand Total",SUM(D$4:D245),TRUE,IF(COUNTIF(Transactions[Custom Category],Dashboard!A246)&gt;0,SUMIFS(Transactions[Amount],Transactions[Custom Category],Dashboard!A246,Transactions[Month],Sel_Month),SUMIFS(Transactions[Amount],Transactions[Name],Dashboard!A246,Transactions[Month],Sel_Month)))</f>
        <v/>
      </c>
      <c r="E246" s="12" t="str">
        <f t="shared" si="3"/>
        <v/>
      </c>
    </row>
    <row r="247" spans="4:5" x14ac:dyDescent="0.25">
      <c r="D247" s="11" t="str" cm="1">
        <f t="array" ref="D247">_xlfn.IFS(A247="","",A247="Grand Total",SUM(D$4:D246),TRUE,IF(COUNTIF(Transactions[Custom Category],Dashboard!A247)&gt;0,SUMIFS(Transactions[Amount],Transactions[Custom Category],Dashboard!A247,Transactions[Month],Sel_Month),SUMIFS(Transactions[Amount],Transactions[Name],Dashboard!A247,Transactions[Month],Sel_Month)))</f>
        <v/>
      </c>
      <c r="E247" s="12" t="str">
        <f t="shared" si="3"/>
        <v/>
      </c>
    </row>
    <row r="248" spans="4:5" x14ac:dyDescent="0.25">
      <c r="D248" s="11" t="str" cm="1">
        <f t="array" ref="D248">_xlfn.IFS(A248="","",A248="Grand Total",SUM(D$4:D247),TRUE,IF(COUNTIF(Transactions[Custom Category],Dashboard!A248)&gt;0,SUMIFS(Transactions[Amount],Transactions[Custom Category],Dashboard!A248,Transactions[Month],Sel_Month),SUMIFS(Transactions[Amount],Transactions[Name],Dashboard!A248,Transactions[Month],Sel_Month)))</f>
        <v/>
      </c>
      <c r="E248" s="12" t="str">
        <f t="shared" si="3"/>
        <v/>
      </c>
    </row>
    <row r="249" spans="4:5" x14ac:dyDescent="0.25">
      <c r="D249" s="11" t="str" cm="1">
        <f t="array" ref="D249">_xlfn.IFS(A249="","",A249="Grand Total",SUM(D$4:D248),TRUE,IF(COUNTIF(Transactions[Custom Category],Dashboard!A249)&gt;0,SUMIFS(Transactions[Amount],Transactions[Custom Category],Dashboard!A249,Transactions[Month],Sel_Month),SUMIFS(Transactions[Amount],Transactions[Name],Dashboard!A249,Transactions[Month],Sel_Month)))</f>
        <v/>
      </c>
      <c r="E249" s="12" t="str">
        <f t="shared" si="3"/>
        <v/>
      </c>
    </row>
    <row r="250" spans="4:5" x14ac:dyDescent="0.25">
      <c r="D250" s="11" t="str" cm="1">
        <f t="array" ref="D250">_xlfn.IFS(A250="","",A250="Grand Total",SUM(D$4:D249),TRUE,IF(COUNTIF(Transactions[Custom Category],Dashboard!A250)&gt;0,SUMIFS(Transactions[Amount],Transactions[Custom Category],Dashboard!A250,Transactions[Month],Sel_Month),SUMIFS(Transactions[Amount],Transactions[Name],Dashboard!A250,Transactions[Month],Sel_Month)))</f>
        <v/>
      </c>
      <c r="E250" s="12" t="str">
        <f t="shared" si="3"/>
        <v/>
      </c>
    </row>
    <row r="251" spans="4:5" x14ac:dyDescent="0.25">
      <c r="D251" s="11" t="str" cm="1">
        <f t="array" ref="D251">_xlfn.IFS(A251="","",A251="Grand Total",SUM(D$4:D250),TRUE,IF(COUNTIF(Transactions[Custom Category],Dashboard!A251)&gt;0,SUMIFS(Transactions[Amount],Transactions[Custom Category],Dashboard!A251,Transactions[Month],Sel_Month),SUMIFS(Transactions[Amount],Transactions[Name],Dashboard!A251,Transactions[Month],Sel_Month)))</f>
        <v/>
      </c>
      <c r="E251" s="12" t="str">
        <f t="shared" si="3"/>
        <v/>
      </c>
    </row>
    <row r="252" spans="4:5" x14ac:dyDescent="0.25">
      <c r="D252" s="11" t="str" cm="1">
        <f t="array" ref="D252">_xlfn.IFS(A252="","",A252="Grand Total",SUM(D$4:D251),TRUE,IF(COUNTIF(Transactions[Custom Category],Dashboard!A252)&gt;0,SUMIFS(Transactions[Amount],Transactions[Custom Category],Dashboard!A252,Transactions[Month],Sel_Month),SUMIFS(Transactions[Amount],Transactions[Name],Dashboard!A252,Transactions[Month],Sel_Month)))</f>
        <v/>
      </c>
      <c r="E252" s="12" t="str">
        <f t="shared" si="3"/>
        <v/>
      </c>
    </row>
    <row r="253" spans="4:5" x14ac:dyDescent="0.25">
      <c r="D253" s="11" t="str" cm="1">
        <f t="array" ref="D253">_xlfn.IFS(A253="","",A253="Grand Total",SUM(D$4:D252),TRUE,IF(COUNTIF(Transactions[Custom Category],Dashboard!A253)&gt;0,SUMIFS(Transactions[Amount],Transactions[Custom Category],Dashboard!A253,Transactions[Month],Sel_Month),SUMIFS(Transactions[Amount],Transactions[Name],Dashboard!A253,Transactions[Month],Sel_Month)))</f>
        <v/>
      </c>
      <c r="E253" s="12" t="str">
        <f t="shared" si="3"/>
        <v/>
      </c>
    </row>
    <row r="254" spans="4:5" x14ac:dyDescent="0.25">
      <c r="D254" s="11" t="str" cm="1">
        <f t="array" ref="D254">_xlfn.IFS(A254="","",A254="Grand Total",SUM(D$4:D253),TRUE,IF(COUNTIF(Transactions[Custom Category],Dashboard!A254)&gt;0,SUMIFS(Transactions[Amount],Transactions[Custom Category],Dashboard!A254,Transactions[Month],Sel_Month),SUMIFS(Transactions[Amount],Transactions[Name],Dashboard!A254,Transactions[Month],Sel_Month)))</f>
        <v/>
      </c>
      <c r="E254" s="12" t="str">
        <f t="shared" si="3"/>
        <v/>
      </c>
    </row>
    <row r="255" spans="4:5" x14ac:dyDescent="0.25">
      <c r="D255" s="11" t="str" cm="1">
        <f t="array" ref="D255">_xlfn.IFS(A255="","",A255="Grand Total",SUM(D$4:D254),TRUE,IF(COUNTIF(Transactions[Custom Category],Dashboard!A255)&gt;0,SUMIFS(Transactions[Amount],Transactions[Custom Category],Dashboard!A255,Transactions[Month],Sel_Month),SUMIFS(Transactions[Amount],Transactions[Name],Dashboard!A255,Transactions[Month],Sel_Month)))</f>
        <v/>
      </c>
      <c r="E255" s="12" t="str">
        <f t="shared" si="3"/>
        <v/>
      </c>
    </row>
    <row r="256" spans="4:5" x14ac:dyDescent="0.25">
      <c r="D256" s="11" t="str" cm="1">
        <f t="array" ref="D256">_xlfn.IFS(A256="","",A256="Grand Total",SUM(D$4:D255),TRUE,IF(COUNTIF(Transactions[Custom Category],Dashboard!A256)&gt;0,SUMIFS(Transactions[Amount],Transactions[Custom Category],Dashboard!A256,Transactions[Month],Sel_Month),SUMIFS(Transactions[Amount],Transactions[Name],Dashboard!A256,Transactions[Month],Sel_Month)))</f>
        <v/>
      </c>
      <c r="E256" s="12" t="str">
        <f t="shared" si="3"/>
        <v/>
      </c>
    </row>
    <row r="257" spans="4:5" x14ac:dyDescent="0.25">
      <c r="D257" s="11" t="str" cm="1">
        <f t="array" ref="D257">_xlfn.IFS(A257="","",A257="Grand Total",SUM(D$4:D256),TRUE,IF(COUNTIF(Transactions[Custom Category],Dashboard!A257)&gt;0,SUMIFS(Transactions[Amount],Transactions[Custom Category],Dashboard!A257,Transactions[Month],Sel_Month),SUMIFS(Transactions[Amount],Transactions[Name],Dashboard!A257,Transactions[Month],Sel_Month)))</f>
        <v/>
      </c>
      <c r="E257" s="12" t="str">
        <f t="shared" si="3"/>
        <v/>
      </c>
    </row>
    <row r="258" spans="4:5" x14ac:dyDescent="0.25">
      <c r="D258" s="11" t="str" cm="1">
        <f t="array" ref="D258">_xlfn.IFS(A258="","",A258="Grand Total",SUM(D$4:D257),TRUE,IF(COUNTIF(Transactions[Custom Category],Dashboard!A258)&gt;0,SUMIFS(Transactions[Amount],Transactions[Custom Category],Dashboard!A258,Transactions[Month],Sel_Month),SUMIFS(Transactions[Amount],Transactions[Name],Dashboard!A258,Transactions[Month],Sel_Month)))</f>
        <v/>
      </c>
      <c r="E258" s="12" t="str">
        <f t="shared" si="3"/>
        <v/>
      </c>
    </row>
    <row r="259" spans="4:5" x14ac:dyDescent="0.25">
      <c r="D259" s="11" t="str" cm="1">
        <f t="array" ref="D259">_xlfn.IFS(A259="","",A259="Grand Total",SUM(D$4:D258),TRUE,IF(COUNTIF(Transactions[Custom Category],Dashboard!A259)&gt;0,SUMIFS(Transactions[Amount],Transactions[Custom Category],Dashboard!A259,Transactions[Month],Sel_Month),SUMIFS(Transactions[Amount],Transactions[Name],Dashboard!A259,Transactions[Month],Sel_Month)))</f>
        <v/>
      </c>
      <c r="E259" s="12" t="str">
        <f t="shared" si="3"/>
        <v/>
      </c>
    </row>
    <row r="260" spans="4:5" x14ac:dyDescent="0.25">
      <c r="D260" s="11" t="str" cm="1">
        <f t="array" ref="D260">_xlfn.IFS(A260="","",A260="Grand Total",SUM(D$4:D259),TRUE,IF(COUNTIF(Transactions[Custom Category],Dashboard!A260)&gt;0,SUMIFS(Transactions[Amount],Transactions[Custom Category],Dashboard!A260,Transactions[Month],Sel_Month),SUMIFS(Transactions[Amount],Transactions[Name],Dashboard!A260,Transactions[Month],Sel_Month)))</f>
        <v/>
      </c>
      <c r="E260" s="12" t="str">
        <f t="shared" si="3"/>
        <v/>
      </c>
    </row>
    <row r="261" spans="4:5" x14ac:dyDescent="0.25">
      <c r="D261" s="11" t="str" cm="1">
        <f t="array" ref="D261">_xlfn.IFS(A261="","",A261="Grand Total",SUM(D$4:D260),TRUE,IF(COUNTIF(Transactions[Custom Category],Dashboard!A261)&gt;0,SUMIFS(Transactions[Amount],Transactions[Custom Category],Dashboard!A261,Transactions[Month],Sel_Month),SUMIFS(Transactions[Amount],Transactions[Name],Dashboard!A261,Transactions[Month],Sel_Month)))</f>
        <v/>
      </c>
      <c r="E261" s="12" t="str">
        <f t="shared" si="3"/>
        <v/>
      </c>
    </row>
    <row r="262" spans="4:5" x14ac:dyDescent="0.25">
      <c r="D262" s="11" t="str" cm="1">
        <f t="array" ref="D262">_xlfn.IFS(A262="","",A262="Grand Total",SUM(D$4:D261),TRUE,IF(COUNTIF(Transactions[Custom Category],Dashboard!A262)&gt;0,SUMIFS(Transactions[Amount],Transactions[Custom Category],Dashboard!A262,Transactions[Month],Sel_Month),SUMIFS(Transactions[Amount],Transactions[Name],Dashboard!A262,Transactions[Month],Sel_Month)))</f>
        <v/>
      </c>
      <c r="E262" s="12" t="str">
        <f t="shared" ref="E262:E325" si="4">IF(C262="","",IF(C262=0,0,1-((C262-D262)/C262)))</f>
        <v/>
      </c>
    </row>
    <row r="263" spans="4:5" x14ac:dyDescent="0.25">
      <c r="D263" s="11" t="str" cm="1">
        <f t="array" ref="D263">_xlfn.IFS(A263="","",A263="Grand Total",SUM(D$4:D262),TRUE,IF(COUNTIF(Transactions[Custom Category],Dashboard!A263)&gt;0,SUMIFS(Transactions[Amount],Transactions[Custom Category],Dashboard!A263,Transactions[Month],Sel_Month),SUMIFS(Transactions[Amount],Transactions[Name],Dashboard!A263,Transactions[Month],Sel_Month)))</f>
        <v/>
      </c>
      <c r="E263" s="12" t="str">
        <f t="shared" si="4"/>
        <v/>
      </c>
    </row>
    <row r="264" spans="4:5" x14ac:dyDescent="0.25">
      <c r="D264" s="11" t="str" cm="1">
        <f t="array" ref="D264">_xlfn.IFS(A264="","",A264="Grand Total",SUM(D$4:D263),TRUE,IF(COUNTIF(Transactions[Custom Category],Dashboard!A264)&gt;0,SUMIFS(Transactions[Amount],Transactions[Custom Category],Dashboard!A264,Transactions[Month],Sel_Month),SUMIFS(Transactions[Amount],Transactions[Name],Dashboard!A264,Transactions[Month],Sel_Month)))</f>
        <v/>
      </c>
      <c r="E264" s="12" t="str">
        <f t="shared" si="4"/>
        <v/>
      </c>
    </row>
    <row r="265" spans="4:5" x14ac:dyDescent="0.25">
      <c r="D265" s="11" t="str" cm="1">
        <f t="array" ref="D265">_xlfn.IFS(A265="","",A265="Grand Total",SUM(D$4:D264),TRUE,IF(COUNTIF(Transactions[Custom Category],Dashboard!A265)&gt;0,SUMIFS(Transactions[Amount],Transactions[Custom Category],Dashboard!A265,Transactions[Month],Sel_Month),SUMIFS(Transactions[Amount],Transactions[Name],Dashboard!A265,Transactions[Month],Sel_Month)))</f>
        <v/>
      </c>
      <c r="E265" s="12" t="str">
        <f t="shared" si="4"/>
        <v/>
      </c>
    </row>
    <row r="266" spans="4:5" x14ac:dyDescent="0.25">
      <c r="D266" s="11" t="str" cm="1">
        <f t="array" ref="D266">_xlfn.IFS(A266="","",A266="Grand Total",SUM(D$4:D265),TRUE,IF(COUNTIF(Transactions[Custom Category],Dashboard!A266)&gt;0,SUMIFS(Transactions[Amount],Transactions[Custom Category],Dashboard!A266,Transactions[Month],Sel_Month),SUMIFS(Transactions[Amount],Transactions[Name],Dashboard!A266,Transactions[Month],Sel_Month)))</f>
        <v/>
      </c>
      <c r="E266" s="12" t="str">
        <f t="shared" si="4"/>
        <v/>
      </c>
    </row>
    <row r="267" spans="4:5" x14ac:dyDescent="0.25">
      <c r="D267" s="11" t="str" cm="1">
        <f t="array" ref="D267">_xlfn.IFS(A267="","",A267="Grand Total",SUM(D$4:D266),TRUE,IF(COUNTIF(Transactions[Custom Category],Dashboard!A267)&gt;0,SUMIFS(Transactions[Amount],Transactions[Custom Category],Dashboard!A267,Transactions[Month],Sel_Month),SUMIFS(Transactions[Amount],Transactions[Name],Dashboard!A267,Transactions[Month],Sel_Month)))</f>
        <v/>
      </c>
      <c r="E267" s="12" t="str">
        <f t="shared" si="4"/>
        <v/>
      </c>
    </row>
    <row r="268" spans="4:5" x14ac:dyDescent="0.25">
      <c r="D268" s="11" t="str" cm="1">
        <f t="array" ref="D268">_xlfn.IFS(A268="","",A268="Grand Total",SUM(D$4:D267),TRUE,IF(COUNTIF(Transactions[Custom Category],Dashboard!A268)&gt;0,SUMIFS(Transactions[Amount],Transactions[Custom Category],Dashboard!A268,Transactions[Month],Sel_Month),SUMIFS(Transactions[Amount],Transactions[Name],Dashboard!A268,Transactions[Month],Sel_Month)))</f>
        <v/>
      </c>
      <c r="E268" s="12" t="str">
        <f t="shared" si="4"/>
        <v/>
      </c>
    </row>
    <row r="269" spans="4:5" x14ac:dyDescent="0.25">
      <c r="D269" s="11" t="str" cm="1">
        <f t="array" ref="D269">_xlfn.IFS(A269="","",A269="Grand Total",SUM(D$4:D268),TRUE,IF(COUNTIF(Transactions[Custom Category],Dashboard!A269)&gt;0,SUMIFS(Transactions[Amount],Transactions[Custom Category],Dashboard!A269,Transactions[Month],Sel_Month),SUMIFS(Transactions[Amount],Transactions[Name],Dashboard!A269,Transactions[Month],Sel_Month)))</f>
        <v/>
      </c>
      <c r="E269" s="12" t="str">
        <f t="shared" si="4"/>
        <v/>
      </c>
    </row>
    <row r="270" spans="4:5" x14ac:dyDescent="0.25">
      <c r="D270" s="11" t="str" cm="1">
        <f t="array" ref="D270">_xlfn.IFS(A270="","",A270="Grand Total",SUM(D$4:D269),TRUE,IF(COUNTIF(Transactions[Custom Category],Dashboard!A270)&gt;0,SUMIFS(Transactions[Amount],Transactions[Custom Category],Dashboard!A270,Transactions[Month],Sel_Month),SUMIFS(Transactions[Amount],Transactions[Name],Dashboard!A270,Transactions[Month],Sel_Month)))</f>
        <v/>
      </c>
      <c r="E270" s="12" t="str">
        <f t="shared" si="4"/>
        <v/>
      </c>
    </row>
    <row r="271" spans="4:5" x14ac:dyDescent="0.25">
      <c r="D271" s="11" t="str" cm="1">
        <f t="array" ref="D271">_xlfn.IFS(A271="","",A271="Grand Total",SUM(D$4:D270),TRUE,IF(COUNTIF(Transactions[Custom Category],Dashboard!A271)&gt;0,SUMIFS(Transactions[Amount],Transactions[Custom Category],Dashboard!A271,Transactions[Month],Sel_Month),SUMIFS(Transactions[Amount],Transactions[Name],Dashboard!A271,Transactions[Month],Sel_Month)))</f>
        <v/>
      </c>
      <c r="E271" s="12" t="str">
        <f t="shared" si="4"/>
        <v/>
      </c>
    </row>
    <row r="272" spans="4:5" x14ac:dyDescent="0.25">
      <c r="D272" s="11" t="str" cm="1">
        <f t="array" ref="D272">_xlfn.IFS(A272="","",A272="Grand Total",SUM(D$4:D271),TRUE,IF(COUNTIF(Transactions[Custom Category],Dashboard!A272)&gt;0,SUMIFS(Transactions[Amount],Transactions[Custom Category],Dashboard!A272,Transactions[Month],Sel_Month),SUMIFS(Transactions[Amount],Transactions[Name],Dashboard!A272,Transactions[Month],Sel_Month)))</f>
        <v/>
      </c>
      <c r="E272" s="12" t="str">
        <f t="shared" si="4"/>
        <v/>
      </c>
    </row>
    <row r="273" spans="4:5" x14ac:dyDescent="0.25">
      <c r="D273" s="11" t="str" cm="1">
        <f t="array" ref="D273">_xlfn.IFS(A273="","",A273="Grand Total",SUM(D$4:D272),TRUE,IF(COUNTIF(Transactions[Custom Category],Dashboard!A273)&gt;0,SUMIFS(Transactions[Amount],Transactions[Custom Category],Dashboard!A273,Transactions[Month],Sel_Month),SUMIFS(Transactions[Amount],Transactions[Name],Dashboard!A273,Transactions[Month],Sel_Month)))</f>
        <v/>
      </c>
      <c r="E273" s="12" t="str">
        <f t="shared" si="4"/>
        <v/>
      </c>
    </row>
    <row r="274" spans="4:5" x14ac:dyDescent="0.25">
      <c r="D274" s="11" t="str" cm="1">
        <f t="array" ref="D274">_xlfn.IFS(A274="","",A274="Grand Total",SUM(D$4:D273),TRUE,IF(COUNTIF(Transactions[Custom Category],Dashboard!A274)&gt;0,SUMIFS(Transactions[Amount],Transactions[Custom Category],Dashboard!A274,Transactions[Month],Sel_Month),SUMIFS(Transactions[Amount],Transactions[Name],Dashboard!A274,Transactions[Month],Sel_Month)))</f>
        <v/>
      </c>
      <c r="E274" s="12" t="str">
        <f t="shared" si="4"/>
        <v/>
      </c>
    </row>
    <row r="275" spans="4:5" x14ac:dyDescent="0.25">
      <c r="D275" s="11" t="str" cm="1">
        <f t="array" ref="D275">_xlfn.IFS(A275="","",A275="Grand Total",SUM(D$4:D274),TRUE,IF(COUNTIF(Transactions[Custom Category],Dashboard!A275)&gt;0,SUMIFS(Transactions[Amount],Transactions[Custom Category],Dashboard!A275,Transactions[Month],Sel_Month),SUMIFS(Transactions[Amount],Transactions[Name],Dashboard!A275,Transactions[Month],Sel_Month)))</f>
        <v/>
      </c>
      <c r="E275" s="12" t="str">
        <f t="shared" si="4"/>
        <v/>
      </c>
    </row>
    <row r="276" spans="4:5" x14ac:dyDescent="0.25">
      <c r="D276" s="11" t="str" cm="1">
        <f t="array" ref="D276">_xlfn.IFS(A276="","",A276="Grand Total",SUM(D$4:D275),TRUE,IF(COUNTIF(Transactions[Custom Category],Dashboard!A276)&gt;0,SUMIFS(Transactions[Amount],Transactions[Custom Category],Dashboard!A276,Transactions[Month],Sel_Month),SUMIFS(Transactions[Amount],Transactions[Name],Dashboard!A276,Transactions[Month],Sel_Month)))</f>
        <v/>
      </c>
      <c r="E276" s="12" t="str">
        <f t="shared" si="4"/>
        <v/>
      </c>
    </row>
    <row r="277" spans="4:5" x14ac:dyDescent="0.25">
      <c r="D277" s="11" t="str" cm="1">
        <f t="array" ref="D277">_xlfn.IFS(A277="","",A277="Grand Total",SUM(D$4:D276),TRUE,IF(COUNTIF(Transactions[Custom Category],Dashboard!A277)&gt;0,SUMIFS(Transactions[Amount],Transactions[Custom Category],Dashboard!A277,Transactions[Month],Sel_Month),SUMIFS(Transactions[Amount],Transactions[Name],Dashboard!A277,Transactions[Month],Sel_Month)))</f>
        <v/>
      </c>
      <c r="E277" s="12" t="str">
        <f t="shared" si="4"/>
        <v/>
      </c>
    </row>
    <row r="278" spans="4:5" x14ac:dyDescent="0.25">
      <c r="D278" s="11" t="str" cm="1">
        <f t="array" ref="D278">_xlfn.IFS(A278="","",A278="Grand Total",SUM(D$4:D277),TRUE,IF(COUNTIF(Transactions[Custom Category],Dashboard!A278)&gt;0,SUMIFS(Transactions[Amount],Transactions[Custom Category],Dashboard!A278,Transactions[Month],Sel_Month),SUMIFS(Transactions[Amount],Transactions[Name],Dashboard!A278,Transactions[Month],Sel_Month)))</f>
        <v/>
      </c>
      <c r="E278" s="12" t="str">
        <f t="shared" si="4"/>
        <v/>
      </c>
    </row>
    <row r="279" spans="4:5" x14ac:dyDescent="0.25">
      <c r="D279" s="11" t="str" cm="1">
        <f t="array" ref="D279">_xlfn.IFS(A279="","",A279="Grand Total",SUM(D$4:D278),TRUE,IF(COUNTIF(Transactions[Custom Category],Dashboard!A279)&gt;0,SUMIFS(Transactions[Amount],Transactions[Custom Category],Dashboard!A279,Transactions[Month],Sel_Month),SUMIFS(Transactions[Amount],Transactions[Name],Dashboard!A279,Transactions[Month],Sel_Month)))</f>
        <v/>
      </c>
      <c r="E279" s="12" t="str">
        <f t="shared" si="4"/>
        <v/>
      </c>
    </row>
    <row r="280" spans="4:5" x14ac:dyDescent="0.25">
      <c r="D280" s="11" t="str" cm="1">
        <f t="array" ref="D280">_xlfn.IFS(A280="","",A280="Grand Total",SUM(D$4:D279),TRUE,IF(COUNTIF(Transactions[Custom Category],Dashboard!A280)&gt;0,SUMIFS(Transactions[Amount],Transactions[Custom Category],Dashboard!A280,Transactions[Month],Sel_Month),SUMIFS(Transactions[Amount],Transactions[Name],Dashboard!A280,Transactions[Month],Sel_Month)))</f>
        <v/>
      </c>
      <c r="E280" s="12" t="str">
        <f t="shared" si="4"/>
        <v/>
      </c>
    </row>
    <row r="281" spans="4:5" x14ac:dyDescent="0.25">
      <c r="D281" s="11" t="str" cm="1">
        <f t="array" ref="D281">_xlfn.IFS(A281="","",A281="Grand Total",SUM(D$4:D280),TRUE,IF(COUNTIF(Transactions[Custom Category],Dashboard!A281)&gt;0,SUMIFS(Transactions[Amount],Transactions[Custom Category],Dashboard!A281,Transactions[Month],Sel_Month),SUMIFS(Transactions[Amount],Transactions[Name],Dashboard!A281,Transactions[Month],Sel_Month)))</f>
        <v/>
      </c>
      <c r="E281" s="12" t="str">
        <f t="shared" si="4"/>
        <v/>
      </c>
    </row>
    <row r="282" spans="4:5" x14ac:dyDescent="0.25">
      <c r="D282" s="11" t="str" cm="1">
        <f t="array" ref="D282">_xlfn.IFS(A282="","",A282="Grand Total",SUM(D$4:D281),TRUE,IF(COUNTIF(Transactions[Custom Category],Dashboard!A282)&gt;0,SUMIFS(Transactions[Amount],Transactions[Custom Category],Dashboard!A282,Transactions[Month],Sel_Month),SUMIFS(Transactions[Amount],Transactions[Name],Dashboard!A282,Transactions[Month],Sel_Month)))</f>
        <v/>
      </c>
      <c r="E282" s="12" t="str">
        <f t="shared" si="4"/>
        <v/>
      </c>
    </row>
    <row r="283" spans="4:5" x14ac:dyDescent="0.25">
      <c r="D283" s="11" t="str" cm="1">
        <f t="array" ref="D283">_xlfn.IFS(A283="","",A283="Grand Total",SUM(D$4:D282),TRUE,IF(COUNTIF(Transactions[Custom Category],Dashboard!A283)&gt;0,SUMIFS(Transactions[Amount],Transactions[Custom Category],Dashboard!A283,Transactions[Month],Sel_Month),SUMIFS(Transactions[Amount],Transactions[Name],Dashboard!A283,Transactions[Month],Sel_Month)))</f>
        <v/>
      </c>
      <c r="E283" s="12" t="str">
        <f t="shared" si="4"/>
        <v/>
      </c>
    </row>
    <row r="284" spans="4:5" x14ac:dyDescent="0.25">
      <c r="D284" s="11" t="str" cm="1">
        <f t="array" ref="D284">_xlfn.IFS(A284="","",A284="Grand Total",SUM(D$4:D283),TRUE,IF(COUNTIF(Transactions[Custom Category],Dashboard!A284)&gt;0,SUMIFS(Transactions[Amount],Transactions[Custom Category],Dashboard!A284,Transactions[Month],Sel_Month),SUMIFS(Transactions[Amount],Transactions[Name],Dashboard!A284,Transactions[Month],Sel_Month)))</f>
        <v/>
      </c>
      <c r="E284" s="12" t="str">
        <f t="shared" si="4"/>
        <v/>
      </c>
    </row>
    <row r="285" spans="4:5" x14ac:dyDescent="0.25">
      <c r="D285" s="11" t="str" cm="1">
        <f t="array" ref="D285">_xlfn.IFS(A285="","",A285="Grand Total",SUM(D$4:D284),TRUE,IF(COUNTIF(Transactions[Custom Category],Dashboard!A285)&gt;0,SUMIFS(Transactions[Amount],Transactions[Custom Category],Dashboard!A285,Transactions[Month],Sel_Month),SUMIFS(Transactions[Amount],Transactions[Name],Dashboard!A285,Transactions[Month],Sel_Month)))</f>
        <v/>
      </c>
      <c r="E285" s="12" t="str">
        <f t="shared" si="4"/>
        <v/>
      </c>
    </row>
    <row r="286" spans="4:5" x14ac:dyDescent="0.25">
      <c r="D286" s="11" t="str" cm="1">
        <f t="array" ref="D286">_xlfn.IFS(A286="","",A286="Grand Total",SUM(D$4:D285),TRUE,IF(COUNTIF(Transactions[Custom Category],Dashboard!A286)&gt;0,SUMIFS(Transactions[Amount],Transactions[Custom Category],Dashboard!A286,Transactions[Month],Sel_Month),SUMIFS(Transactions[Amount],Transactions[Name],Dashboard!A286,Transactions[Month],Sel_Month)))</f>
        <v/>
      </c>
      <c r="E286" s="12" t="str">
        <f t="shared" si="4"/>
        <v/>
      </c>
    </row>
    <row r="287" spans="4:5" x14ac:dyDescent="0.25">
      <c r="D287" s="11" t="str" cm="1">
        <f t="array" ref="D287">_xlfn.IFS(A287="","",A287="Grand Total",SUM(D$4:D286),TRUE,IF(COUNTIF(Transactions[Custom Category],Dashboard!A287)&gt;0,SUMIFS(Transactions[Amount],Transactions[Custom Category],Dashboard!A287,Transactions[Month],Sel_Month),SUMIFS(Transactions[Amount],Transactions[Name],Dashboard!A287,Transactions[Month],Sel_Month)))</f>
        <v/>
      </c>
      <c r="E287" s="12" t="str">
        <f t="shared" si="4"/>
        <v/>
      </c>
    </row>
    <row r="288" spans="4:5" x14ac:dyDescent="0.25">
      <c r="D288" s="11" t="str" cm="1">
        <f t="array" ref="D288">_xlfn.IFS(A288="","",A288="Grand Total",SUM(D$4:D287),TRUE,IF(COUNTIF(Transactions[Custom Category],Dashboard!A288)&gt;0,SUMIFS(Transactions[Amount],Transactions[Custom Category],Dashboard!A288,Transactions[Month],Sel_Month),SUMIFS(Transactions[Amount],Transactions[Name],Dashboard!A288,Transactions[Month],Sel_Month)))</f>
        <v/>
      </c>
      <c r="E288" s="12" t="str">
        <f t="shared" si="4"/>
        <v/>
      </c>
    </row>
    <row r="289" spans="4:5" x14ac:dyDescent="0.25">
      <c r="D289" s="11" t="str" cm="1">
        <f t="array" ref="D289">_xlfn.IFS(A289="","",A289="Grand Total",SUM(D$4:D288),TRUE,IF(COUNTIF(Transactions[Custom Category],Dashboard!A289)&gt;0,SUMIFS(Transactions[Amount],Transactions[Custom Category],Dashboard!A289,Transactions[Month],Sel_Month),SUMIFS(Transactions[Amount],Transactions[Name],Dashboard!A289,Transactions[Month],Sel_Month)))</f>
        <v/>
      </c>
      <c r="E289" s="12" t="str">
        <f t="shared" si="4"/>
        <v/>
      </c>
    </row>
    <row r="290" spans="4:5" x14ac:dyDescent="0.25">
      <c r="D290" s="11" t="str" cm="1">
        <f t="array" ref="D290">_xlfn.IFS(A290="","",A290="Grand Total",SUM(D$4:D289),TRUE,IF(COUNTIF(Transactions[Custom Category],Dashboard!A290)&gt;0,SUMIFS(Transactions[Amount],Transactions[Custom Category],Dashboard!A290,Transactions[Month],Sel_Month),SUMIFS(Transactions[Amount],Transactions[Name],Dashboard!A290,Transactions[Month],Sel_Month)))</f>
        <v/>
      </c>
      <c r="E290" s="12" t="str">
        <f t="shared" si="4"/>
        <v/>
      </c>
    </row>
    <row r="291" spans="4:5" x14ac:dyDescent="0.25">
      <c r="D291" s="11" t="str" cm="1">
        <f t="array" ref="D291">_xlfn.IFS(A291="","",A291="Grand Total",SUM(D$4:D290),TRUE,IF(COUNTIF(Transactions[Custom Category],Dashboard!A291)&gt;0,SUMIFS(Transactions[Amount],Transactions[Custom Category],Dashboard!A291,Transactions[Month],Sel_Month),SUMIFS(Transactions[Amount],Transactions[Name],Dashboard!A291,Transactions[Month],Sel_Month)))</f>
        <v/>
      </c>
      <c r="E291" s="12" t="str">
        <f t="shared" si="4"/>
        <v/>
      </c>
    </row>
    <row r="292" spans="4:5" x14ac:dyDescent="0.25">
      <c r="D292" s="11" t="str" cm="1">
        <f t="array" ref="D292">_xlfn.IFS(A292="","",A292="Grand Total",SUM(D$4:D291),TRUE,IF(COUNTIF(Transactions[Custom Category],Dashboard!A292)&gt;0,SUMIFS(Transactions[Amount],Transactions[Custom Category],Dashboard!A292,Transactions[Month],Sel_Month),SUMIFS(Transactions[Amount],Transactions[Name],Dashboard!A292,Transactions[Month],Sel_Month)))</f>
        <v/>
      </c>
      <c r="E292" s="12" t="str">
        <f t="shared" si="4"/>
        <v/>
      </c>
    </row>
    <row r="293" spans="4:5" x14ac:dyDescent="0.25">
      <c r="D293" s="11" t="str" cm="1">
        <f t="array" ref="D293">_xlfn.IFS(A293="","",A293="Grand Total",SUM(D$4:D292),TRUE,IF(COUNTIF(Transactions[Custom Category],Dashboard!A293)&gt;0,SUMIFS(Transactions[Amount],Transactions[Custom Category],Dashboard!A293,Transactions[Month],Sel_Month),SUMIFS(Transactions[Amount],Transactions[Name],Dashboard!A293,Transactions[Month],Sel_Month)))</f>
        <v/>
      </c>
      <c r="E293" s="12" t="str">
        <f t="shared" si="4"/>
        <v/>
      </c>
    </row>
    <row r="294" spans="4:5" x14ac:dyDescent="0.25">
      <c r="D294" s="11" t="str" cm="1">
        <f t="array" ref="D294">_xlfn.IFS(A294="","",A294="Grand Total",SUM(D$4:D293),TRUE,IF(COUNTIF(Transactions[Custom Category],Dashboard!A294)&gt;0,SUMIFS(Transactions[Amount],Transactions[Custom Category],Dashboard!A294,Transactions[Month],Sel_Month),SUMIFS(Transactions[Amount],Transactions[Name],Dashboard!A294,Transactions[Month],Sel_Month)))</f>
        <v/>
      </c>
      <c r="E294" s="12" t="str">
        <f t="shared" si="4"/>
        <v/>
      </c>
    </row>
    <row r="295" spans="4:5" x14ac:dyDescent="0.25">
      <c r="D295" s="11" t="str" cm="1">
        <f t="array" ref="D295">_xlfn.IFS(A295="","",A295="Grand Total",SUM(D$4:D294),TRUE,IF(COUNTIF(Transactions[Custom Category],Dashboard!A295)&gt;0,SUMIFS(Transactions[Amount],Transactions[Custom Category],Dashboard!A295,Transactions[Month],Sel_Month),SUMIFS(Transactions[Amount],Transactions[Name],Dashboard!A295,Transactions[Month],Sel_Month)))</f>
        <v/>
      </c>
      <c r="E295" s="12" t="str">
        <f t="shared" si="4"/>
        <v/>
      </c>
    </row>
    <row r="296" spans="4:5" x14ac:dyDescent="0.25">
      <c r="D296" s="11" t="str" cm="1">
        <f t="array" ref="D296">_xlfn.IFS(A296="","",A296="Grand Total",SUM(D$4:D295),TRUE,IF(COUNTIF(Transactions[Custom Category],Dashboard!A296)&gt;0,SUMIFS(Transactions[Amount],Transactions[Custom Category],Dashboard!A296,Transactions[Month],Sel_Month),SUMIFS(Transactions[Amount],Transactions[Name],Dashboard!A296,Transactions[Month],Sel_Month)))</f>
        <v/>
      </c>
      <c r="E296" s="12" t="str">
        <f t="shared" si="4"/>
        <v/>
      </c>
    </row>
    <row r="297" spans="4:5" x14ac:dyDescent="0.25">
      <c r="D297" s="11" t="str" cm="1">
        <f t="array" ref="D297">_xlfn.IFS(A297="","",A297="Grand Total",SUM(D$4:D296),TRUE,IF(COUNTIF(Transactions[Custom Category],Dashboard!A297)&gt;0,SUMIFS(Transactions[Amount],Transactions[Custom Category],Dashboard!A297,Transactions[Month],Sel_Month),SUMIFS(Transactions[Amount],Transactions[Name],Dashboard!A297,Transactions[Month],Sel_Month)))</f>
        <v/>
      </c>
      <c r="E297" s="12" t="str">
        <f t="shared" si="4"/>
        <v/>
      </c>
    </row>
    <row r="298" spans="4:5" x14ac:dyDescent="0.25">
      <c r="D298" s="11" t="str" cm="1">
        <f t="array" ref="D298">_xlfn.IFS(A298="","",A298="Grand Total",SUM(D$4:D297),TRUE,IF(COUNTIF(Transactions[Custom Category],Dashboard!A298)&gt;0,SUMIFS(Transactions[Amount],Transactions[Custom Category],Dashboard!A298,Transactions[Month],Sel_Month),SUMIFS(Transactions[Amount],Transactions[Name],Dashboard!A298,Transactions[Month],Sel_Month)))</f>
        <v/>
      </c>
      <c r="E298" s="12" t="str">
        <f t="shared" si="4"/>
        <v/>
      </c>
    </row>
    <row r="299" spans="4:5" x14ac:dyDescent="0.25">
      <c r="D299" s="11" t="str" cm="1">
        <f t="array" ref="D299">_xlfn.IFS(A299="","",A299="Grand Total",SUM(D$4:D298),TRUE,IF(COUNTIF(Transactions[Custom Category],Dashboard!A299)&gt;0,SUMIFS(Transactions[Amount],Transactions[Custom Category],Dashboard!A299,Transactions[Month],Sel_Month),SUMIFS(Transactions[Amount],Transactions[Name],Dashboard!A299,Transactions[Month],Sel_Month)))</f>
        <v/>
      </c>
      <c r="E299" s="12" t="str">
        <f t="shared" si="4"/>
        <v/>
      </c>
    </row>
    <row r="300" spans="4:5" x14ac:dyDescent="0.25">
      <c r="D300" s="11" t="str" cm="1">
        <f t="array" ref="D300">_xlfn.IFS(A300="","",A300="Grand Total",SUM(D$4:D299),TRUE,IF(COUNTIF(Transactions[Custom Category],Dashboard!A300)&gt;0,SUMIFS(Transactions[Amount],Transactions[Custom Category],Dashboard!A300,Transactions[Month],Sel_Month),SUMIFS(Transactions[Amount],Transactions[Name],Dashboard!A300,Transactions[Month],Sel_Month)))</f>
        <v/>
      </c>
      <c r="E300" s="12" t="str">
        <f t="shared" si="4"/>
        <v/>
      </c>
    </row>
    <row r="301" spans="4:5" x14ac:dyDescent="0.25">
      <c r="D301" s="11" t="str" cm="1">
        <f t="array" ref="D301">_xlfn.IFS(A301="","",A301="Grand Total",SUM(D$4:D300),TRUE,IF(COUNTIF(Transactions[Custom Category],Dashboard!A301)&gt;0,SUMIFS(Transactions[Amount],Transactions[Custom Category],Dashboard!A301,Transactions[Month],Sel_Month),SUMIFS(Transactions[Amount],Transactions[Name],Dashboard!A301,Transactions[Month],Sel_Month)))</f>
        <v/>
      </c>
      <c r="E301" s="12" t="str">
        <f t="shared" si="4"/>
        <v/>
      </c>
    </row>
    <row r="302" spans="4:5" x14ac:dyDescent="0.25">
      <c r="D302" s="11" t="str" cm="1">
        <f t="array" ref="D302">_xlfn.IFS(A302="","",A302="Grand Total",SUM(D$4:D301),TRUE,IF(COUNTIF(Transactions[Custom Category],Dashboard!A302)&gt;0,SUMIFS(Transactions[Amount],Transactions[Custom Category],Dashboard!A302,Transactions[Month],Sel_Month),SUMIFS(Transactions[Amount],Transactions[Name],Dashboard!A302,Transactions[Month],Sel_Month)))</f>
        <v/>
      </c>
      <c r="E302" s="12" t="str">
        <f t="shared" si="4"/>
        <v/>
      </c>
    </row>
    <row r="303" spans="4:5" x14ac:dyDescent="0.25">
      <c r="D303" s="11" t="str" cm="1">
        <f t="array" ref="D303">_xlfn.IFS(A303="","",A303="Grand Total",SUM(D$4:D302),TRUE,IF(COUNTIF(Transactions[Custom Category],Dashboard!A303)&gt;0,SUMIFS(Transactions[Amount],Transactions[Custom Category],Dashboard!A303,Transactions[Month],Sel_Month),SUMIFS(Transactions[Amount],Transactions[Name],Dashboard!A303,Transactions[Month],Sel_Month)))</f>
        <v/>
      </c>
      <c r="E303" s="12" t="str">
        <f t="shared" si="4"/>
        <v/>
      </c>
    </row>
    <row r="304" spans="4:5" x14ac:dyDescent="0.25">
      <c r="D304" s="11" t="str" cm="1">
        <f t="array" ref="D304">_xlfn.IFS(A304="","",A304="Grand Total",SUM(D$4:D303),TRUE,IF(COUNTIF(Transactions[Custom Category],Dashboard!A304)&gt;0,SUMIFS(Transactions[Amount],Transactions[Custom Category],Dashboard!A304,Transactions[Month],Sel_Month),SUMIFS(Transactions[Amount],Transactions[Name],Dashboard!A304,Transactions[Month],Sel_Month)))</f>
        <v/>
      </c>
      <c r="E304" s="12" t="str">
        <f t="shared" si="4"/>
        <v/>
      </c>
    </row>
    <row r="305" spans="4:5" x14ac:dyDescent="0.25">
      <c r="D305" s="11" t="str" cm="1">
        <f t="array" ref="D305">_xlfn.IFS(A305="","",A305="Grand Total",SUM(D$4:D304),TRUE,IF(COUNTIF(Transactions[Custom Category],Dashboard!A305)&gt;0,SUMIFS(Transactions[Amount],Transactions[Custom Category],Dashboard!A305,Transactions[Month],Sel_Month),SUMIFS(Transactions[Amount],Transactions[Name],Dashboard!A305,Transactions[Month],Sel_Month)))</f>
        <v/>
      </c>
      <c r="E305" s="12" t="str">
        <f t="shared" si="4"/>
        <v/>
      </c>
    </row>
    <row r="306" spans="4:5" x14ac:dyDescent="0.25">
      <c r="D306" s="11" t="str" cm="1">
        <f t="array" ref="D306">_xlfn.IFS(A306="","",A306="Grand Total",SUM(D$4:D305),TRUE,IF(COUNTIF(Transactions[Custom Category],Dashboard!A306)&gt;0,SUMIFS(Transactions[Amount],Transactions[Custom Category],Dashboard!A306,Transactions[Month],Sel_Month),SUMIFS(Transactions[Amount],Transactions[Name],Dashboard!A306,Transactions[Month],Sel_Month)))</f>
        <v/>
      </c>
      <c r="E306" s="12" t="str">
        <f t="shared" si="4"/>
        <v/>
      </c>
    </row>
    <row r="307" spans="4:5" x14ac:dyDescent="0.25">
      <c r="D307" s="11" t="str" cm="1">
        <f t="array" ref="D307">_xlfn.IFS(A307="","",A307="Grand Total",SUM(D$4:D306),TRUE,IF(COUNTIF(Transactions[Custom Category],Dashboard!A307)&gt;0,SUMIFS(Transactions[Amount],Transactions[Custom Category],Dashboard!A307,Transactions[Month],Sel_Month),SUMIFS(Transactions[Amount],Transactions[Name],Dashboard!A307,Transactions[Month],Sel_Month)))</f>
        <v/>
      </c>
      <c r="E307" s="12" t="str">
        <f t="shared" si="4"/>
        <v/>
      </c>
    </row>
    <row r="308" spans="4:5" x14ac:dyDescent="0.25">
      <c r="D308" s="11" t="str" cm="1">
        <f t="array" ref="D308">_xlfn.IFS(A308="","",A308="Grand Total",SUM(D$4:D307),TRUE,IF(COUNTIF(Transactions[Custom Category],Dashboard!A308)&gt;0,SUMIFS(Transactions[Amount],Transactions[Custom Category],Dashboard!A308,Transactions[Month],Sel_Month),SUMIFS(Transactions[Amount],Transactions[Name],Dashboard!A308,Transactions[Month],Sel_Month)))</f>
        <v/>
      </c>
      <c r="E308" s="12" t="str">
        <f t="shared" si="4"/>
        <v/>
      </c>
    </row>
    <row r="309" spans="4:5" x14ac:dyDescent="0.25">
      <c r="D309" s="11" t="str" cm="1">
        <f t="array" ref="D309">_xlfn.IFS(A309="","",A309="Grand Total",SUM(D$4:D308),TRUE,IF(COUNTIF(Transactions[Custom Category],Dashboard!A309)&gt;0,SUMIFS(Transactions[Amount],Transactions[Custom Category],Dashboard!A309,Transactions[Month],Sel_Month),SUMIFS(Transactions[Amount],Transactions[Name],Dashboard!A309,Transactions[Month],Sel_Month)))</f>
        <v/>
      </c>
      <c r="E309" s="12" t="str">
        <f t="shared" si="4"/>
        <v/>
      </c>
    </row>
    <row r="310" spans="4:5" x14ac:dyDescent="0.25">
      <c r="D310" s="11" t="str" cm="1">
        <f t="array" ref="D310">_xlfn.IFS(A310="","",A310="Grand Total",SUM(D$4:D309),TRUE,IF(COUNTIF(Transactions[Custom Category],Dashboard!A310)&gt;0,SUMIFS(Transactions[Amount],Transactions[Custom Category],Dashboard!A310,Transactions[Month],Sel_Month),SUMIFS(Transactions[Amount],Transactions[Name],Dashboard!A310,Transactions[Month],Sel_Month)))</f>
        <v/>
      </c>
      <c r="E310" s="12" t="str">
        <f t="shared" si="4"/>
        <v/>
      </c>
    </row>
    <row r="311" spans="4:5" x14ac:dyDescent="0.25">
      <c r="D311" s="11" t="str" cm="1">
        <f t="array" ref="D311">_xlfn.IFS(A311="","",A311="Grand Total",SUM(D$4:D310),TRUE,IF(COUNTIF(Transactions[Custom Category],Dashboard!A311)&gt;0,SUMIFS(Transactions[Amount],Transactions[Custom Category],Dashboard!A311,Transactions[Month],Sel_Month),SUMIFS(Transactions[Amount],Transactions[Name],Dashboard!A311,Transactions[Month],Sel_Month)))</f>
        <v/>
      </c>
      <c r="E311" s="12" t="str">
        <f t="shared" si="4"/>
        <v/>
      </c>
    </row>
    <row r="312" spans="4:5" x14ac:dyDescent="0.25">
      <c r="D312" s="11" t="str" cm="1">
        <f t="array" ref="D312">_xlfn.IFS(A312="","",A312="Grand Total",SUM(D$4:D311),TRUE,IF(COUNTIF(Transactions[Custom Category],Dashboard!A312)&gt;0,SUMIFS(Transactions[Amount],Transactions[Custom Category],Dashboard!A312,Transactions[Month],Sel_Month),SUMIFS(Transactions[Amount],Transactions[Name],Dashboard!A312,Transactions[Month],Sel_Month)))</f>
        <v/>
      </c>
      <c r="E312" s="12" t="str">
        <f t="shared" si="4"/>
        <v/>
      </c>
    </row>
    <row r="313" spans="4:5" x14ac:dyDescent="0.25">
      <c r="D313" s="11" t="str" cm="1">
        <f t="array" ref="D313">_xlfn.IFS(A313="","",A313="Grand Total",SUM(D$4:D312),TRUE,IF(COUNTIF(Transactions[Custom Category],Dashboard!A313)&gt;0,SUMIFS(Transactions[Amount],Transactions[Custom Category],Dashboard!A313,Transactions[Month],Sel_Month),SUMIFS(Transactions[Amount],Transactions[Name],Dashboard!A313,Transactions[Month],Sel_Month)))</f>
        <v/>
      </c>
      <c r="E313" s="12" t="str">
        <f t="shared" si="4"/>
        <v/>
      </c>
    </row>
    <row r="314" spans="4:5" x14ac:dyDescent="0.25">
      <c r="D314" s="11" t="str" cm="1">
        <f t="array" ref="D314">_xlfn.IFS(A314="","",A314="Grand Total",SUM(D$4:D313),TRUE,IF(COUNTIF(Transactions[Custom Category],Dashboard!A314)&gt;0,SUMIFS(Transactions[Amount],Transactions[Custom Category],Dashboard!A314,Transactions[Month],Sel_Month),SUMIFS(Transactions[Amount],Transactions[Name],Dashboard!A314,Transactions[Month],Sel_Month)))</f>
        <v/>
      </c>
      <c r="E314" s="12" t="str">
        <f t="shared" si="4"/>
        <v/>
      </c>
    </row>
    <row r="315" spans="4:5" x14ac:dyDescent="0.25">
      <c r="D315" s="11" t="str" cm="1">
        <f t="array" ref="D315">_xlfn.IFS(A315="","",A315="Grand Total",SUM(D$4:D314),TRUE,IF(COUNTIF(Transactions[Custom Category],Dashboard!A315)&gt;0,SUMIFS(Transactions[Amount],Transactions[Custom Category],Dashboard!A315,Transactions[Month],Sel_Month),SUMIFS(Transactions[Amount],Transactions[Name],Dashboard!A315,Transactions[Month],Sel_Month)))</f>
        <v/>
      </c>
      <c r="E315" s="12" t="str">
        <f t="shared" si="4"/>
        <v/>
      </c>
    </row>
    <row r="316" spans="4:5" x14ac:dyDescent="0.25">
      <c r="D316" s="11" t="str" cm="1">
        <f t="array" ref="D316">_xlfn.IFS(A316="","",A316="Grand Total",SUM(D$4:D315),TRUE,IF(COUNTIF(Transactions[Custom Category],Dashboard!A316)&gt;0,SUMIFS(Transactions[Amount],Transactions[Custom Category],Dashboard!A316,Transactions[Month],Sel_Month),SUMIFS(Transactions[Amount],Transactions[Name],Dashboard!A316,Transactions[Month],Sel_Month)))</f>
        <v/>
      </c>
      <c r="E316" s="12" t="str">
        <f t="shared" si="4"/>
        <v/>
      </c>
    </row>
    <row r="317" spans="4:5" x14ac:dyDescent="0.25">
      <c r="D317" s="11" t="str" cm="1">
        <f t="array" ref="D317">_xlfn.IFS(A317="","",A317="Grand Total",SUM(D$4:D316),TRUE,IF(COUNTIF(Transactions[Custom Category],Dashboard!A317)&gt;0,SUMIFS(Transactions[Amount],Transactions[Custom Category],Dashboard!A317,Transactions[Month],Sel_Month),SUMIFS(Transactions[Amount],Transactions[Name],Dashboard!A317,Transactions[Month],Sel_Month)))</f>
        <v/>
      </c>
      <c r="E317" s="12" t="str">
        <f t="shared" si="4"/>
        <v/>
      </c>
    </row>
    <row r="318" spans="4:5" x14ac:dyDescent="0.25">
      <c r="D318" s="11" t="str" cm="1">
        <f t="array" ref="D318">_xlfn.IFS(A318="","",A318="Grand Total",SUM(D$4:D317),TRUE,IF(COUNTIF(Transactions[Custom Category],Dashboard!A318)&gt;0,SUMIFS(Transactions[Amount],Transactions[Custom Category],Dashboard!A318,Transactions[Month],Sel_Month),SUMIFS(Transactions[Amount],Transactions[Name],Dashboard!A318,Transactions[Month],Sel_Month)))</f>
        <v/>
      </c>
      <c r="E318" s="12" t="str">
        <f t="shared" si="4"/>
        <v/>
      </c>
    </row>
    <row r="319" spans="4:5" x14ac:dyDescent="0.25">
      <c r="D319" s="11" t="str" cm="1">
        <f t="array" ref="D319">_xlfn.IFS(A319="","",A319="Grand Total",SUM(D$4:D318),TRUE,IF(COUNTIF(Transactions[Custom Category],Dashboard!A319)&gt;0,SUMIFS(Transactions[Amount],Transactions[Custom Category],Dashboard!A319,Transactions[Month],Sel_Month),SUMIFS(Transactions[Amount],Transactions[Name],Dashboard!A319,Transactions[Month],Sel_Month)))</f>
        <v/>
      </c>
      <c r="E319" s="12" t="str">
        <f t="shared" si="4"/>
        <v/>
      </c>
    </row>
    <row r="320" spans="4:5" x14ac:dyDescent="0.25">
      <c r="D320" s="11" t="str" cm="1">
        <f t="array" ref="D320">_xlfn.IFS(A320="","",A320="Grand Total",SUM(D$4:D319),TRUE,IF(COUNTIF(Transactions[Custom Category],Dashboard!A320)&gt;0,SUMIFS(Transactions[Amount],Transactions[Custom Category],Dashboard!A320,Transactions[Month],Sel_Month),SUMIFS(Transactions[Amount],Transactions[Name],Dashboard!A320,Transactions[Month],Sel_Month)))</f>
        <v/>
      </c>
      <c r="E320" s="12" t="str">
        <f t="shared" si="4"/>
        <v/>
      </c>
    </row>
    <row r="321" spans="4:5" x14ac:dyDescent="0.25">
      <c r="D321" s="11" t="str" cm="1">
        <f t="array" ref="D321">_xlfn.IFS(A321="","",A321="Grand Total",SUM(D$4:D320),TRUE,IF(COUNTIF(Transactions[Custom Category],Dashboard!A321)&gt;0,SUMIFS(Transactions[Amount],Transactions[Custom Category],Dashboard!A321,Transactions[Month],Sel_Month),SUMIFS(Transactions[Amount],Transactions[Name],Dashboard!A321,Transactions[Month],Sel_Month)))</f>
        <v/>
      </c>
      <c r="E321" s="12" t="str">
        <f t="shared" si="4"/>
        <v/>
      </c>
    </row>
    <row r="322" spans="4:5" x14ac:dyDescent="0.25">
      <c r="D322" s="11" t="str" cm="1">
        <f t="array" ref="D322">_xlfn.IFS(A322="","",A322="Grand Total",SUM(D$4:D321),TRUE,IF(COUNTIF(Transactions[Custom Category],Dashboard!A322)&gt;0,SUMIFS(Transactions[Amount],Transactions[Custom Category],Dashboard!A322,Transactions[Month],Sel_Month),SUMIFS(Transactions[Amount],Transactions[Name],Dashboard!A322,Transactions[Month],Sel_Month)))</f>
        <v/>
      </c>
      <c r="E322" s="12" t="str">
        <f t="shared" si="4"/>
        <v/>
      </c>
    </row>
    <row r="323" spans="4:5" x14ac:dyDescent="0.25">
      <c r="D323" s="11" t="str" cm="1">
        <f t="array" ref="D323">_xlfn.IFS(A323="","",A323="Grand Total",SUM(D$4:D322),TRUE,IF(COUNTIF(Transactions[Custom Category],Dashboard!A323)&gt;0,SUMIFS(Transactions[Amount],Transactions[Custom Category],Dashboard!A323,Transactions[Month],Sel_Month),SUMIFS(Transactions[Amount],Transactions[Name],Dashboard!A323,Transactions[Month],Sel_Month)))</f>
        <v/>
      </c>
      <c r="E323" s="12" t="str">
        <f t="shared" si="4"/>
        <v/>
      </c>
    </row>
    <row r="324" spans="4:5" x14ac:dyDescent="0.25">
      <c r="D324" s="11" t="str" cm="1">
        <f t="array" ref="D324">_xlfn.IFS(A324="","",A324="Grand Total",SUM(D$4:D323),TRUE,IF(COUNTIF(Transactions[Custom Category],Dashboard!A324)&gt;0,SUMIFS(Transactions[Amount],Transactions[Custom Category],Dashboard!A324,Transactions[Month],Sel_Month),SUMIFS(Transactions[Amount],Transactions[Name],Dashboard!A324,Transactions[Month],Sel_Month)))</f>
        <v/>
      </c>
      <c r="E324" s="12" t="str">
        <f t="shared" si="4"/>
        <v/>
      </c>
    </row>
    <row r="325" spans="4:5" x14ac:dyDescent="0.25">
      <c r="D325" s="11" t="str" cm="1">
        <f t="array" ref="D325">_xlfn.IFS(A325="","",A325="Grand Total",SUM(D$4:D324),TRUE,IF(COUNTIF(Transactions[Custom Category],Dashboard!A325)&gt;0,SUMIFS(Transactions[Amount],Transactions[Custom Category],Dashboard!A325,Transactions[Month],Sel_Month),SUMIFS(Transactions[Amount],Transactions[Name],Dashboard!A325,Transactions[Month],Sel_Month)))</f>
        <v/>
      </c>
      <c r="E325" s="12" t="str">
        <f t="shared" si="4"/>
        <v/>
      </c>
    </row>
    <row r="326" spans="4:5" x14ac:dyDescent="0.25">
      <c r="D326" s="11" t="str" cm="1">
        <f t="array" ref="D326">_xlfn.IFS(A326="","",A326="Grand Total",SUM(D$4:D325),TRUE,IF(COUNTIF(Transactions[Custom Category],Dashboard!A326)&gt;0,SUMIFS(Transactions[Amount],Transactions[Custom Category],Dashboard!A326,Transactions[Month],Sel_Month),SUMIFS(Transactions[Amount],Transactions[Name],Dashboard!A326,Transactions[Month],Sel_Month)))</f>
        <v/>
      </c>
      <c r="E326" s="12" t="str">
        <f t="shared" ref="E326:E389" si="5">IF(C326="","",IF(C326=0,0,1-((C326-D326)/C326)))</f>
        <v/>
      </c>
    </row>
    <row r="327" spans="4:5" x14ac:dyDescent="0.25">
      <c r="D327" s="11" t="str" cm="1">
        <f t="array" ref="D327">_xlfn.IFS(A327="","",A327="Grand Total",SUM(D$4:D326),TRUE,IF(COUNTIF(Transactions[Custom Category],Dashboard!A327)&gt;0,SUMIFS(Transactions[Amount],Transactions[Custom Category],Dashboard!A327,Transactions[Month],Sel_Month),SUMIFS(Transactions[Amount],Transactions[Name],Dashboard!A327,Transactions[Month],Sel_Month)))</f>
        <v/>
      </c>
      <c r="E327" s="12" t="str">
        <f t="shared" si="5"/>
        <v/>
      </c>
    </row>
    <row r="328" spans="4:5" x14ac:dyDescent="0.25">
      <c r="D328" s="11" t="str" cm="1">
        <f t="array" ref="D328">_xlfn.IFS(A328="","",A328="Grand Total",SUM(D$4:D327),TRUE,IF(COUNTIF(Transactions[Custom Category],Dashboard!A328)&gt;0,SUMIFS(Transactions[Amount],Transactions[Custom Category],Dashboard!A328,Transactions[Month],Sel_Month),SUMIFS(Transactions[Amount],Transactions[Name],Dashboard!A328,Transactions[Month],Sel_Month)))</f>
        <v/>
      </c>
      <c r="E328" s="12" t="str">
        <f t="shared" si="5"/>
        <v/>
      </c>
    </row>
    <row r="329" spans="4:5" x14ac:dyDescent="0.25">
      <c r="D329" s="11" t="str" cm="1">
        <f t="array" ref="D329">_xlfn.IFS(A329="","",A329="Grand Total",SUM(D$4:D328),TRUE,IF(COUNTIF(Transactions[Custom Category],Dashboard!A329)&gt;0,SUMIFS(Transactions[Amount],Transactions[Custom Category],Dashboard!A329,Transactions[Month],Sel_Month),SUMIFS(Transactions[Amount],Transactions[Name],Dashboard!A329,Transactions[Month],Sel_Month)))</f>
        <v/>
      </c>
      <c r="E329" s="12" t="str">
        <f t="shared" si="5"/>
        <v/>
      </c>
    </row>
    <row r="330" spans="4:5" x14ac:dyDescent="0.25">
      <c r="D330" s="11" t="str" cm="1">
        <f t="array" ref="D330">_xlfn.IFS(A330="","",A330="Grand Total",SUM(D$4:D329),TRUE,IF(COUNTIF(Transactions[Custom Category],Dashboard!A330)&gt;0,SUMIFS(Transactions[Amount],Transactions[Custom Category],Dashboard!A330,Transactions[Month],Sel_Month),SUMIFS(Transactions[Amount],Transactions[Name],Dashboard!A330,Transactions[Month],Sel_Month)))</f>
        <v/>
      </c>
      <c r="E330" s="12" t="str">
        <f t="shared" si="5"/>
        <v/>
      </c>
    </row>
    <row r="331" spans="4:5" x14ac:dyDescent="0.25">
      <c r="D331" s="11" t="str" cm="1">
        <f t="array" ref="D331">_xlfn.IFS(A331="","",A331="Grand Total",SUM(D$4:D330),TRUE,IF(COUNTIF(Transactions[Custom Category],Dashboard!A331)&gt;0,SUMIFS(Transactions[Amount],Transactions[Custom Category],Dashboard!A331,Transactions[Month],Sel_Month),SUMIFS(Transactions[Amount],Transactions[Name],Dashboard!A331,Transactions[Month],Sel_Month)))</f>
        <v/>
      </c>
      <c r="E331" s="12" t="str">
        <f t="shared" si="5"/>
        <v/>
      </c>
    </row>
    <row r="332" spans="4:5" x14ac:dyDescent="0.25">
      <c r="D332" s="11" t="str" cm="1">
        <f t="array" ref="D332">_xlfn.IFS(A332="","",A332="Grand Total",SUM(D$4:D331),TRUE,IF(COUNTIF(Transactions[Custom Category],Dashboard!A332)&gt;0,SUMIFS(Transactions[Amount],Transactions[Custom Category],Dashboard!A332,Transactions[Month],Sel_Month),SUMIFS(Transactions[Amount],Transactions[Name],Dashboard!A332,Transactions[Month],Sel_Month)))</f>
        <v/>
      </c>
      <c r="E332" s="12" t="str">
        <f t="shared" si="5"/>
        <v/>
      </c>
    </row>
    <row r="333" spans="4:5" x14ac:dyDescent="0.25">
      <c r="D333" s="11" t="str" cm="1">
        <f t="array" ref="D333">_xlfn.IFS(A333="","",A333="Grand Total",SUM(D$4:D332),TRUE,IF(COUNTIF(Transactions[Custom Category],Dashboard!A333)&gt;0,SUMIFS(Transactions[Amount],Transactions[Custom Category],Dashboard!A333,Transactions[Month],Sel_Month),SUMIFS(Transactions[Amount],Transactions[Name],Dashboard!A333,Transactions[Month],Sel_Month)))</f>
        <v/>
      </c>
      <c r="E333" s="12" t="str">
        <f t="shared" si="5"/>
        <v/>
      </c>
    </row>
    <row r="334" spans="4:5" x14ac:dyDescent="0.25">
      <c r="D334" s="11" t="str" cm="1">
        <f t="array" ref="D334">_xlfn.IFS(A334="","",A334="Grand Total",SUM(D$4:D333),TRUE,IF(COUNTIF(Transactions[Custom Category],Dashboard!A334)&gt;0,SUMIFS(Transactions[Amount],Transactions[Custom Category],Dashboard!A334,Transactions[Month],Sel_Month),SUMIFS(Transactions[Amount],Transactions[Name],Dashboard!A334,Transactions[Month],Sel_Month)))</f>
        <v/>
      </c>
      <c r="E334" s="12" t="str">
        <f t="shared" si="5"/>
        <v/>
      </c>
    </row>
    <row r="335" spans="4:5" x14ac:dyDescent="0.25">
      <c r="D335" s="11" t="str" cm="1">
        <f t="array" ref="D335">_xlfn.IFS(A335="","",A335="Grand Total",SUM(D$4:D334),TRUE,IF(COUNTIF(Transactions[Custom Category],Dashboard!A335)&gt;0,SUMIFS(Transactions[Amount],Transactions[Custom Category],Dashboard!A335,Transactions[Month],Sel_Month),SUMIFS(Transactions[Amount],Transactions[Name],Dashboard!A335,Transactions[Month],Sel_Month)))</f>
        <v/>
      </c>
      <c r="E335" s="12" t="str">
        <f t="shared" si="5"/>
        <v/>
      </c>
    </row>
    <row r="336" spans="4:5" x14ac:dyDescent="0.25">
      <c r="D336" s="11" t="str" cm="1">
        <f t="array" ref="D336">_xlfn.IFS(A336="","",A336="Grand Total",SUM(D$4:D335),TRUE,IF(COUNTIF(Transactions[Custom Category],Dashboard!A336)&gt;0,SUMIFS(Transactions[Amount],Transactions[Custom Category],Dashboard!A336,Transactions[Month],Sel_Month),SUMIFS(Transactions[Amount],Transactions[Name],Dashboard!A336,Transactions[Month],Sel_Month)))</f>
        <v/>
      </c>
      <c r="E336" s="12" t="str">
        <f t="shared" si="5"/>
        <v/>
      </c>
    </row>
    <row r="337" spans="4:5" x14ac:dyDescent="0.25">
      <c r="D337" s="11" t="str" cm="1">
        <f t="array" ref="D337">_xlfn.IFS(A337="","",A337="Grand Total",SUM(D$4:D336),TRUE,IF(COUNTIF(Transactions[Custom Category],Dashboard!A337)&gt;0,SUMIFS(Transactions[Amount],Transactions[Custom Category],Dashboard!A337,Transactions[Month],Sel_Month),SUMIFS(Transactions[Amount],Transactions[Name],Dashboard!A337,Transactions[Month],Sel_Month)))</f>
        <v/>
      </c>
      <c r="E337" s="12" t="str">
        <f t="shared" si="5"/>
        <v/>
      </c>
    </row>
    <row r="338" spans="4:5" x14ac:dyDescent="0.25">
      <c r="D338" s="11" t="str" cm="1">
        <f t="array" ref="D338">_xlfn.IFS(A338="","",A338="Grand Total",SUM(D$4:D337),TRUE,IF(COUNTIF(Transactions[Custom Category],Dashboard!A338)&gt;0,SUMIFS(Transactions[Amount],Transactions[Custom Category],Dashboard!A338,Transactions[Month],Sel_Month),SUMIFS(Transactions[Amount],Transactions[Name],Dashboard!A338,Transactions[Month],Sel_Month)))</f>
        <v/>
      </c>
      <c r="E338" s="12" t="str">
        <f t="shared" si="5"/>
        <v/>
      </c>
    </row>
    <row r="339" spans="4:5" x14ac:dyDescent="0.25">
      <c r="D339" s="11" t="str" cm="1">
        <f t="array" ref="D339">_xlfn.IFS(A339="","",A339="Grand Total",SUM(D$4:D338),TRUE,IF(COUNTIF(Transactions[Custom Category],Dashboard!A339)&gt;0,SUMIFS(Transactions[Amount],Transactions[Custom Category],Dashboard!A339,Transactions[Month],Sel_Month),SUMIFS(Transactions[Amount],Transactions[Name],Dashboard!A339,Transactions[Month],Sel_Month)))</f>
        <v/>
      </c>
      <c r="E339" s="12" t="str">
        <f t="shared" si="5"/>
        <v/>
      </c>
    </row>
    <row r="340" spans="4:5" x14ac:dyDescent="0.25">
      <c r="D340" s="11" t="str" cm="1">
        <f t="array" ref="D340">_xlfn.IFS(A340="","",A340="Grand Total",SUM(D$4:D339),TRUE,IF(COUNTIF(Transactions[Custom Category],Dashboard!A340)&gt;0,SUMIFS(Transactions[Amount],Transactions[Custom Category],Dashboard!A340,Transactions[Month],Sel_Month),SUMIFS(Transactions[Amount],Transactions[Name],Dashboard!A340,Transactions[Month],Sel_Month)))</f>
        <v/>
      </c>
      <c r="E340" s="12" t="str">
        <f t="shared" si="5"/>
        <v/>
      </c>
    </row>
    <row r="341" spans="4:5" x14ac:dyDescent="0.25">
      <c r="D341" s="11" t="str" cm="1">
        <f t="array" ref="D341">_xlfn.IFS(A341="","",A341="Grand Total",SUM(D$4:D340),TRUE,IF(COUNTIF(Transactions[Custom Category],Dashboard!A341)&gt;0,SUMIFS(Transactions[Amount],Transactions[Custom Category],Dashboard!A341,Transactions[Month],Sel_Month),SUMIFS(Transactions[Amount],Transactions[Name],Dashboard!A341,Transactions[Month],Sel_Month)))</f>
        <v/>
      </c>
      <c r="E341" s="12" t="str">
        <f t="shared" si="5"/>
        <v/>
      </c>
    </row>
    <row r="342" spans="4:5" x14ac:dyDescent="0.25">
      <c r="D342" s="11" t="str" cm="1">
        <f t="array" ref="D342">_xlfn.IFS(A342="","",A342="Grand Total",SUM(D$4:D341),TRUE,IF(COUNTIF(Transactions[Custom Category],Dashboard!A342)&gt;0,SUMIFS(Transactions[Amount],Transactions[Custom Category],Dashboard!A342,Transactions[Month],Sel_Month),SUMIFS(Transactions[Amount],Transactions[Name],Dashboard!A342,Transactions[Month],Sel_Month)))</f>
        <v/>
      </c>
      <c r="E342" s="12" t="str">
        <f t="shared" si="5"/>
        <v/>
      </c>
    </row>
    <row r="343" spans="4:5" x14ac:dyDescent="0.25">
      <c r="D343" s="11" t="str" cm="1">
        <f t="array" ref="D343">_xlfn.IFS(A343="","",A343="Grand Total",SUM(D$4:D342),TRUE,IF(COUNTIF(Transactions[Custom Category],Dashboard!A343)&gt;0,SUMIFS(Transactions[Amount],Transactions[Custom Category],Dashboard!A343,Transactions[Month],Sel_Month),SUMIFS(Transactions[Amount],Transactions[Name],Dashboard!A343,Transactions[Month],Sel_Month)))</f>
        <v/>
      </c>
      <c r="E343" s="12" t="str">
        <f t="shared" si="5"/>
        <v/>
      </c>
    </row>
    <row r="344" spans="4:5" x14ac:dyDescent="0.25">
      <c r="D344" s="11" t="str" cm="1">
        <f t="array" ref="D344">_xlfn.IFS(A344="","",A344="Grand Total",SUM(D$4:D343),TRUE,IF(COUNTIF(Transactions[Custom Category],Dashboard!A344)&gt;0,SUMIFS(Transactions[Amount],Transactions[Custom Category],Dashboard!A344,Transactions[Month],Sel_Month),SUMIFS(Transactions[Amount],Transactions[Name],Dashboard!A344,Transactions[Month],Sel_Month)))</f>
        <v/>
      </c>
      <c r="E344" s="12" t="str">
        <f t="shared" si="5"/>
        <v/>
      </c>
    </row>
    <row r="345" spans="4:5" x14ac:dyDescent="0.25">
      <c r="D345" s="11" t="str" cm="1">
        <f t="array" ref="D345">_xlfn.IFS(A345="","",A345="Grand Total",SUM(D$4:D344),TRUE,IF(COUNTIF(Transactions[Custom Category],Dashboard!A345)&gt;0,SUMIFS(Transactions[Amount],Transactions[Custom Category],Dashboard!A345,Transactions[Month],Sel_Month),SUMIFS(Transactions[Amount],Transactions[Name],Dashboard!A345,Transactions[Month],Sel_Month)))</f>
        <v/>
      </c>
      <c r="E345" s="12" t="str">
        <f t="shared" si="5"/>
        <v/>
      </c>
    </row>
    <row r="346" spans="4:5" x14ac:dyDescent="0.25">
      <c r="D346" s="11" t="str" cm="1">
        <f t="array" ref="D346">_xlfn.IFS(A346="","",A346="Grand Total",SUM(D$4:D345),TRUE,IF(COUNTIF(Transactions[Custom Category],Dashboard!A346)&gt;0,SUMIFS(Transactions[Amount],Transactions[Custom Category],Dashboard!A346,Transactions[Month],Sel_Month),SUMIFS(Transactions[Amount],Transactions[Name],Dashboard!A346,Transactions[Month],Sel_Month)))</f>
        <v/>
      </c>
      <c r="E346" s="12" t="str">
        <f t="shared" si="5"/>
        <v/>
      </c>
    </row>
    <row r="347" spans="4:5" x14ac:dyDescent="0.25">
      <c r="D347" s="11" t="str" cm="1">
        <f t="array" ref="D347">_xlfn.IFS(A347="","",A347="Grand Total",SUM(D$4:D346),TRUE,IF(COUNTIF(Transactions[Custom Category],Dashboard!A347)&gt;0,SUMIFS(Transactions[Amount],Transactions[Custom Category],Dashboard!A347,Transactions[Month],Sel_Month),SUMIFS(Transactions[Amount],Transactions[Name],Dashboard!A347,Transactions[Month],Sel_Month)))</f>
        <v/>
      </c>
      <c r="E347" s="12" t="str">
        <f t="shared" si="5"/>
        <v/>
      </c>
    </row>
    <row r="348" spans="4:5" x14ac:dyDescent="0.25">
      <c r="D348" s="11" t="str" cm="1">
        <f t="array" ref="D348">_xlfn.IFS(A348="","",A348="Grand Total",SUM(D$4:D347),TRUE,IF(COUNTIF(Transactions[Custom Category],Dashboard!A348)&gt;0,SUMIFS(Transactions[Amount],Transactions[Custom Category],Dashboard!A348,Transactions[Month],Sel_Month),SUMIFS(Transactions[Amount],Transactions[Name],Dashboard!A348,Transactions[Month],Sel_Month)))</f>
        <v/>
      </c>
      <c r="E348" s="12" t="str">
        <f t="shared" si="5"/>
        <v/>
      </c>
    </row>
    <row r="349" spans="4:5" x14ac:dyDescent="0.25">
      <c r="D349" s="11" t="str" cm="1">
        <f t="array" ref="D349">_xlfn.IFS(A349="","",A349="Grand Total",SUM(D$4:D348),TRUE,IF(COUNTIF(Transactions[Custom Category],Dashboard!A349)&gt;0,SUMIFS(Transactions[Amount],Transactions[Custom Category],Dashboard!A349,Transactions[Month],Sel_Month),SUMIFS(Transactions[Amount],Transactions[Name],Dashboard!A349,Transactions[Month],Sel_Month)))</f>
        <v/>
      </c>
      <c r="E349" s="12" t="str">
        <f t="shared" si="5"/>
        <v/>
      </c>
    </row>
    <row r="350" spans="4:5" x14ac:dyDescent="0.25">
      <c r="D350" s="11" t="str" cm="1">
        <f t="array" ref="D350">_xlfn.IFS(A350="","",A350="Grand Total",SUM(D$4:D349),TRUE,IF(COUNTIF(Transactions[Custom Category],Dashboard!A350)&gt;0,SUMIFS(Transactions[Amount],Transactions[Custom Category],Dashboard!A350,Transactions[Month],Sel_Month),SUMIFS(Transactions[Amount],Transactions[Name],Dashboard!A350,Transactions[Month],Sel_Month)))</f>
        <v/>
      </c>
      <c r="E350" s="12" t="str">
        <f t="shared" si="5"/>
        <v/>
      </c>
    </row>
    <row r="351" spans="4:5" x14ac:dyDescent="0.25">
      <c r="D351" s="11" t="str" cm="1">
        <f t="array" ref="D351">_xlfn.IFS(A351="","",A351="Grand Total",SUM(D$4:D350),TRUE,IF(COUNTIF(Transactions[Custom Category],Dashboard!A351)&gt;0,SUMIFS(Transactions[Amount],Transactions[Custom Category],Dashboard!A351,Transactions[Month],Sel_Month),SUMIFS(Transactions[Amount],Transactions[Name],Dashboard!A351,Transactions[Month],Sel_Month)))</f>
        <v/>
      </c>
      <c r="E351" s="12" t="str">
        <f t="shared" si="5"/>
        <v/>
      </c>
    </row>
    <row r="352" spans="4:5" x14ac:dyDescent="0.25">
      <c r="D352" s="11" t="str" cm="1">
        <f t="array" ref="D352">_xlfn.IFS(A352="","",A352="Grand Total",SUM(D$4:D351),TRUE,IF(COUNTIF(Transactions[Custom Category],Dashboard!A352)&gt;0,SUMIFS(Transactions[Amount],Transactions[Custom Category],Dashboard!A352,Transactions[Month],Sel_Month),SUMIFS(Transactions[Amount],Transactions[Name],Dashboard!A352,Transactions[Month],Sel_Month)))</f>
        <v/>
      </c>
      <c r="E352" s="12" t="str">
        <f t="shared" si="5"/>
        <v/>
      </c>
    </row>
    <row r="353" spans="4:5" x14ac:dyDescent="0.25">
      <c r="D353" s="11" t="str" cm="1">
        <f t="array" ref="D353">_xlfn.IFS(A353="","",A353="Grand Total",SUM(D$4:D352),TRUE,IF(COUNTIF(Transactions[Custom Category],Dashboard!A353)&gt;0,SUMIFS(Transactions[Amount],Transactions[Custom Category],Dashboard!A353,Transactions[Month],Sel_Month),SUMIFS(Transactions[Amount],Transactions[Name],Dashboard!A353,Transactions[Month],Sel_Month)))</f>
        <v/>
      </c>
      <c r="E353" s="12" t="str">
        <f t="shared" si="5"/>
        <v/>
      </c>
    </row>
    <row r="354" spans="4:5" x14ac:dyDescent="0.25">
      <c r="D354" s="11" t="str" cm="1">
        <f t="array" ref="D354">_xlfn.IFS(A354="","",A354="Grand Total",SUM(D$4:D353),TRUE,IF(COUNTIF(Transactions[Custom Category],Dashboard!A354)&gt;0,SUMIFS(Transactions[Amount],Transactions[Custom Category],Dashboard!A354,Transactions[Month],Sel_Month),SUMIFS(Transactions[Amount],Transactions[Name],Dashboard!A354,Transactions[Month],Sel_Month)))</f>
        <v/>
      </c>
      <c r="E354" s="12" t="str">
        <f t="shared" si="5"/>
        <v/>
      </c>
    </row>
    <row r="355" spans="4:5" x14ac:dyDescent="0.25">
      <c r="D355" s="11" t="str" cm="1">
        <f t="array" ref="D355">_xlfn.IFS(A355="","",A355="Grand Total",SUM(D$4:D354),TRUE,IF(COUNTIF(Transactions[Custom Category],Dashboard!A355)&gt;0,SUMIFS(Transactions[Amount],Transactions[Custom Category],Dashboard!A355,Transactions[Month],Sel_Month),SUMIFS(Transactions[Amount],Transactions[Name],Dashboard!A355,Transactions[Month],Sel_Month)))</f>
        <v/>
      </c>
      <c r="E355" s="12" t="str">
        <f t="shared" si="5"/>
        <v/>
      </c>
    </row>
    <row r="356" spans="4:5" x14ac:dyDescent="0.25">
      <c r="D356" s="11" t="str" cm="1">
        <f t="array" ref="D356">_xlfn.IFS(A356="","",A356="Grand Total",SUM(D$4:D355),TRUE,IF(COUNTIF(Transactions[Custom Category],Dashboard!A356)&gt;0,SUMIFS(Transactions[Amount],Transactions[Custom Category],Dashboard!A356,Transactions[Month],Sel_Month),SUMIFS(Transactions[Amount],Transactions[Name],Dashboard!A356,Transactions[Month],Sel_Month)))</f>
        <v/>
      </c>
      <c r="E356" s="12" t="str">
        <f t="shared" si="5"/>
        <v/>
      </c>
    </row>
    <row r="357" spans="4:5" x14ac:dyDescent="0.25">
      <c r="D357" s="11" t="str" cm="1">
        <f t="array" ref="D357">_xlfn.IFS(A357="","",A357="Grand Total",SUM(D$4:D356),TRUE,IF(COUNTIF(Transactions[Custom Category],Dashboard!A357)&gt;0,SUMIFS(Transactions[Amount],Transactions[Custom Category],Dashboard!A357,Transactions[Month],Sel_Month),SUMIFS(Transactions[Amount],Transactions[Name],Dashboard!A357,Transactions[Month],Sel_Month)))</f>
        <v/>
      </c>
      <c r="E357" s="12" t="str">
        <f t="shared" si="5"/>
        <v/>
      </c>
    </row>
    <row r="358" spans="4:5" x14ac:dyDescent="0.25">
      <c r="D358" s="11" t="str" cm="1">
        <f t="array" ref="D358">_xlfn.IFS(A358="","",A358="Grand Total",SUM(D$4:D357),TRUE,IF(COUNTIF(Transactions[Custom Category],Dashboard!A358)&gt;0,SUMIFS(Transactions[Amount],Transactions[Custom Category],Dashboard!A358,Transactions[Month],Sel_Month),SUMIFS(Transactions[Amount],Transactions[Name],Dashboard!A358,Transactions[Month],Sel_Month)))</f>
        <v/>
      </c>
      <c r="E358" s="12" t="str">
        <f t="shared" si="5"/>
        <v/>
      </c>
    </row>
    <row r="359" spans="4:5" x14ac:dyDescent="0.25">
      <c r="D359" s="11" t="str" cm="1">
        <f t="array" ref="D359">_xlfn.IFS(A359="","",A359="Grand Total",SUM(D$4:D358),TRUE,IF(COUNTIF(Transactions[Custom Category],Dashboard!A359)&gt;0,SUMIFS(Transactions[Amount],Transactions[Custom Category],Dashboard!A359,Transactions[Month],Sel_Month),SUMIFS(Transactions[Amount],Transactions[Name],Dashboard!A359,Transactions[Month],Sel_Month)))</f>
        <v/>
      </c>
      <c r="E359" s="12" t="str">
        <f t="shared" si="5"/>
        <v/>
      </c>
    </row>
    <row r="360" spans="4:5" x14ac:dyDescent="0.25">
      <c r="D360" s="11" t="str" cm="1">
        <f t="array" ref="D360">_xlfn.IFS(A360="","",A360="Grand Total",SUM(D$4:D359),TRUE,IF(COUNTIF(Transactions[Custom Category],Dashboard!A360)&gt;0,SUMIFS(Transactions[Amount],Transactions[Custom Category],Dashboard!A360,Transactions[Month],Sel_Month),SUMIFS(Transactions[Amount],Transactions[Name],Dashboard!A360,Transactions[Month],Sel_Month)))</f>
        <v/>
      </c>
      <c r="E360" s="12" t="str">
        <f t="shared" si="5"/>
        <v/>
      </c>
    </row>
    <row r="361" spans="4:5" x14ac:dyDescent="0.25">
      <c r="D361" s="11" t="str" cm="1">
        <f t="array" ref="D361">_xlfn.IFS(A361="","",A361="Grand Total",SUM(D$4:D360),TRUE,IF(COUNTIF(Transactions[Custom Category],Dashboard!A361)&gt;0,SUMIFS(Transactions[Amount],Transactions[Custom Category],Dashboard!A361,Transactions[Month],Sel_Month),SUMIFS(Transactions[Amount],Transactions[Name],Dashboard!A361,Transactions[Month],Sel_Month)))</f>
        <v/>
      </c>
      <c r="E361" s="12" t="str">
        <f t="shared" si="5"/>
        <v/>
      </c>
    </row>
    <row r="362" spans="4:5" x14ac:dyDescent="0.25">
      <c r="D362" s="11" t="str" cm="1">
        <f t="array" ref="D362">_xlfn.IFS(A362="","",A362="Grand Total",SUM(D$4:D361),TRUE,IF(COUNTIF(Transactions[Custom Category],Dashboard!A362)&gt;0,SUMIFS(Transactions[Amount],Transactions[Custom Category],Dashboard!A362,Transactions[Month],Sel_Month),SUMIFS(Transactions[Amount],Transactions[Name],Dashboard!A362,Transactions[Month],Sel_Month)))</f>
        <v/>
      </c>
      <c r="E362" s="12" t="str">
        <f t="shared" si="5"/>
        <v/>
      </c>
    </row>
    <row r="363" spans="4:5" x14ac:dyDescent="0.25">
      <c r="D363" s="11" t="str" cm="1">
        <f t="array" ref="D363">_xlfn.IFS(A363="","",A363="Grand Total",SUM(D$4:D362),TRUE,IF(COUNTIF(Transactions[Custom Category],Dashboard!A363)&gt;0,SUMIFS(Transactions[Amount],Transactions[Custom Category],Dashboard!A363,Transactions[Month],Sel_Month),SUMIFS(Transactions[Amount],Transactions[Name],Dashboard!A363,Transactions[Month],Sel_Month)))</f>
        <v/>
      </c>
      <c r="E363" s="12" t="str">
        <f t="shared" si="5"/>
        <v/>
      </c>
    </row>
    <row r="364" spans="4:5" x14ac:dyDescent="0.25">
      <c r="D364" s="11" t="str" cm="1">
        <f t="array" ref="D364">_xlfn.IFS(A364="","",A364="Grand Total",SUM(D$4:D363),TRUE,IF(COUNTIF(Transactions[Custom Category],Dashboard!A364)&gt;0,SUMIFS(Transactions[Amount],Transactions[Custom Category],Dashboard!A364,Transactions[Month],Sel_Month),SUMIFS(Transactions[Amount],Transactions[Name],Dashboard!A364,Transactions[Month],Sel_Month)))</f>
        <v/>
      </c>
      <c r="E364" s="12" t="str">
        <f t="shared" si="5"/>
        <v/>
      </c>
    </row>
    <row r="365" spans="4:5" x14ac:dyDescent="0.25">
      <c r="D365" s="11" t="str" cm="1">
        <f t="array" ref="D365">_xlfn.IFS(A365="","",A365="Grand Total",SUM(D$4:D364),TRUE,IF(COUNTIF(Transactions[Custom Category],Dashboard!A365)&gt;0,SUMIFS(Transactions[Amount],Transactions[Custom Category],Dashboard!A365,Transactions[Month],Sel_Month),SUMIFS(Transactions[Amount],Transactions[Name],Dashboard!A365,Transactions[Month],Sel_Month)))</f>
        <v/>
      </c>
      <c r="E365" s="12" t="str">
        <f t="shared" si="5"/>
        <v/>
      </c>
    </row>
    <row r="366" spans="4:5" x14ac:dyDescent="0.25">
      <c r="D366" s="11" t="str" cm="1">
        <f t="array" ref="D366">_xlfn.IFS(A366="","",A366="Grand Total",SUM(D$4:D365),TRUE,IF(COUNTIF(Transactions[Custom Category],Dashboard!A366)&gt;0,SUMIFS(Transactions[Amount],Transactions[Custom Category],Dashboard!A366,Transactions[Month],Sel_Month),SUMIFS(Transactions[Amount],Transactions[Name],Dashboard!A366,Transactions[Month],Sel_Month)))</f>
        <v/>
      </c>
      <c r="E366" s="12" t="str">
        <f t="shared" si="5"/>
        <v/>
      </c>
    </row>
    <row r="367" spans="4:5" x14ac:dyDescent="0.25">
      <c r="D367" s="11" t="str" cm="1">
        <f t="array" ref="D367">_xlfn.IFS(A367="","",A367="Grand Total",SUM(D$4:D366),TRUE,IF(COUNTIF(Transactions[Custom Category],Dashboard!A367)&gt;0,SUMIFS(Transactions[Amount],Transactions[Custom Category],Dashboard!A367,Transactions[Month],Sel_Month),SUMIFS(Transactions[Amount],Transactions[Name],Dashboard!A367,Transactions[Month],Sel_Month)))</f>
        <v/>
      </c>
      <c r="E367" s="12" t="str">
        <f t="shared" si="5"/>
        <v/>
      </c>
    </row>
    <row r="368" spans="4:5" x14ac:dyDescent="0.25">
      <c r="D368" s="11" t="str" cm="1">
        <f t="array" ref="D368">_xlfn.IFS(A368="","",A368="Grand Total",SUM(D$4:D367),TRUE,IF(COUNTIF(Transactions[Custom Category],Dashboard!A368)&gt;0,SUMIFS(Transactions[Amount],Transactions[Custom Category],Dashboard!A368,Transactions[Month],Sel_Month),SUMIFS(Transactions[Amount],Transactions[Name],Dashboard!A368,Transactions[Month],Sel_Month)))</f>
        <v/>
      </c>
      <c r="E368" s="12" t="str">
        <f t="shared" si="5"/>
        <v/>
      </c>
    </row>
    <row r="369" spans="4:5" x14ac:dyDescent="0.25">
      <c r="D369" s="11" t="str" cm="1">
        <f t="array" ref="D369">_xlfn.IFS(A369="","",A369="Grand Total",SUM(D$4:D368),TRUE,IF(COUNTIF(Transactions[Custom Category],Dashboard!A369)&gt;0,SUMIFS(Transactions[Amount],Transactions[Custom Category],Dashboard!A369,Transactions[Month],Sel_Month),SUMIFS(Transactions[Amount],Transactions[Name],Dashboard!A369,Transactions[Month],Sel_Month)))</f>
        <v/>
      </c>
      <c r="E369" s="12" t="str">
        <f t="shared" si="5"/>
        <v/>
      </c>
    </row>
    <row r="370" spans="4:5" x14ac:dyDescent="0.25">
      <c r="D370" s="11" t="str" cm="1">
        <f t="array" ref="D370">_xlfn.IFS(A370="","",A370="Grand Total",SUM(D$4:D369),TRUE,IF(COUNTIF(Transactions[Custom Category],Dashboard!A370)&gt;0,SUMIFS(Transactions[Amount],Transactions[Custom Category],Dashboard!A370,Transactions[Month],Sel_Month),SUMIFS(Transactions[Amount],Transactions[Name],Dashboard!A370,Transactions[Month],Sel_Month)))</f>
        <v/>
      </c>
      <c r="E370" s="12" t="str">
        <f t="shared" si="5"/>
        <v/>
      </c>
    </row>
    <row r="371" spans="4:5" x14ac:dyDescent="0.25">
      <c r="D371" s="11" t="str" cm="1">
        <f t="array" ref="D371">_xlfn.IFS(A371="","",A371="Grand Total",SUM(D$4:D370),TRUE,IF(COUNTIF(Transactions[Custom Category],Dashboard!A371)&gt;0,SUMIFS(Transactions[Amount],Transactions[Custom Category],Dashboard!A371,Transactions[Month],Sel_Month),SUMIFS(Transactions[Amount],Transactions[Name],Dashboard!A371,Transactions[Month],Sel_Month)))</f>
        <v/>
      </c>
      <c r="E371" s="12" t="str">
        <f t="shared" si="5"/>
        <v/>
      </c>
    </row>
    <row r="372" spans="4:5" x14ac:dyDescent="0.25">
      <c r="D372" s="11" t="str" cm="1">
        <f t="array" ref="D372">_xlfn.IFS(A372="","",A372="Grand Total",SUM(D$4:D371),TRUE,IF(COUNTIF(Transactions[Custom Category],Dashboard!A372)&gt;0,SUMIFS(Transactions[Amount],Transactions[Custom Category],Dashboard!A372,Transactions[Month],Sel_Month),SUMIFS(Transactions[Amount],Transactions[Name],Dashboard!A372,Transactions[Month],Sel_Month)))</f>
        <v/>
      </c>
      <c r="E372" s="12" t="str">
        <f t="shared" si="5"/>
        <v/>
      </c>
    </row>
    <row r="373" spans="4:5" x14ac:dyDescent="0.25">
      <c r="D373" s="11" t="str" cm="1">
        <f t="array" ref="D373">_xlfn.IFS(A373="","",A373="Grand Total",SUM(D$4:D372),TRUE,IF(COUNTIF(Transactions[Custom Category],Dashboard!A373)&gt;0,SUMIFS(Transactions[Amount],Transactions[Custom Category],Dashboard!A373,Transactions[Month],Sel_Month),SUMIFS(Transactions[Amount],Transactions[Name],Dashboard!A373,Transactions[Month],Sel_Month)))</f>
        <v/>
      </c>
      <c r="E373" s="12" t="str">
        <f t="shared" si="5"/>
        <v/>
      </c>
    </row>
    <row r="374" spans="4:5" x14ac:dyDescent="0.25">
      <c r="D374" s="11" t="str" cm="1">
        <f t="array" ref="D374">_xlfn.IFS(A374="","",A374="Grand Total",SUM(D$4:D373),TRUE,IF(COUNTIF(Transactions[Custom Category],Dashboard!A374)&gt;0,SUMIFS(Transactions[Amount],Transactions[Custom Category],Dashboard!A374,Transactions[Month],Sel_Month),SUMIFS(Transactions[Amount],Transactions[Name],Dashboard!A374,Transactions[Month],Sel_Month)))</f>
        <v/>
      </c>
      <c r="E374" s="12" t="str">
        <f t="shared" si="5"/>
        <v/>
      </c>
    </row>
    <row r="375" spans="4:5" x14ac:dyDescent="0.25">
      <c r="D375" s="11" t="str" cm="1">
        <f t="array" ref="D375">_xlfn.IFS(A375="","",A375="Grand Total",SUM(D$4:D374),TRUE,IF(COUNTIF(Transactions[Custom Category],Dashboard!A375)&gt;0,SUMIFS(Transactions[Amount],Transactions[Custom Category],Dashboard!A375,Transactions[Month],Sel_Month),SUMIFS(Transactions[Amount],Transactions[Name],Dashboard!A375,Transactions[Month],Sel_Month)))</f>
        <v/>
      </c>
      <c r="E375" s="12" t="str">
        <f t="shared" si="5"/>
        <v/>
      </c>
    </row>
    <row r="376" spans="4:5" x14ac:dyDescent="0.25">
      <c r="D376" s="11" t="str" cm="1">
        <f t="array" ref="D376">_xlfn.IFS(A376="","",A376="Grand Total",SUM(D$4:D375),TRUE,IF(COUNTIF(Transactions[Custom Category],Dashboard!A376)&gt;0,SUMIFS(Transactions[Amount],Transactions[Custom Category],Dashboard!A376,Transactions[Month],Sel_Month),SUMIFS(Transactions[Amount],Transactions[Name],Dashboard!A376,Transactions[Month],Sel_Month)))</f>
        <v/>
      </c>
      <c r="E376" s="12" t="str">
        <f t="shared" si="5"/>
        <v/>
      </c>
    </row>
    <row r="377" spans="4:5" x14ac:dyDescent="0.25">
      <c r="D377" s="11" t="str" cm="1">
        <f t="array" ref="D377">_xlfn.IFS(A377="","",A377="Grand Total",SUM(D$4:D376),TRUE,IF(COUNTIF(Transactions[Custom Category],Dashboard!A377)&gt;0,SUMIFS(Transactions[Amount],Transactions[Custom Category],Dashboard!A377,Transactions[Month],Sel_Month),SUMIFS(Transactions[Amount],Transactions[Name],Dashboard!A377,Transactions[Month],Sel_Month)))</f>
        <v/>
      </c>
      <c r="E377" s="12" t="str">
        <f t="shared" si="5"/>
        <v/>
      </c>
    </row>
    <row r="378" spans="4:5" x14ac:dyDescent="0.25">
      <c r="D378" s="11" t="str" cm="1">
        <f t="array" ref="D378">_xlfn.IFS(A378="","",A378="Grand Total",SUM(D$4:D377),TRUE,IF(COUNTIF(Transactions[Custom Category],Dashboard!A378)&gt;0,SUMIFS(Transactions[Amount],Transactions[Custom Category],Dashboard!A378,Transactions[Month],Sel_Month),SUMIFS(Transactions[Amount],Transactions[Name],Dashboard!A378,Transactions[Month],Sel_Month)))</f>
        <v/>
      </c>
      <c r="E378" s="12" t="str">
        <f t="shared" si="5"/>
        <v/>
      </c>
    </row>
    <row r="379" spans="4:5" x14ac:dyDescent="0.25">
      <c r="D379" s="11" t="str" cm="1">
        <f t="array" ref="D379">_xlfn.IFS(A379="","",A379="Grand Total",SUM(D$4:D378),TRUE,IF(COUNTIF(Transactions[Custom Category],Dashboard!A379)&gt;0,SUMIFS(Transactions[Amount],Transactions[Custom Category],Dashboard!A379,Transactions[Month],Sel_Month),SUMIFS(Transactions[Amount],Transactions[Name],Dashboard!A379,Transactions[Month],Sel_Month)))</f>
        <v/>
      </c>
      <c r="E379" s="12" t="str">
        <f t="shared" si="5"/>
        <v/>
      </c>
    </row>
    <row r="380" spans="4:5" x14ac:dyDescent="0.25">
      <c r="D380" s="11" t="str" cm="1">
        <f t="array" ref="D380">_xlfn.IFS(A380="","",A380="Grand Total",SUM(D$4:D379),TRUE,IF(COUNTIF(Transactions[Custom Category],Dashboard!A380)&gt;0,SUMIFS(Transactions[Amount],Transactions[Custom Category],Dashboard!A380,Transactions[Month],Sel_Month),SUMIFS(Transactions[Amount],Transactions[Name],Dashboard!A380,Transactions[Month],Sel_Month)))</f>
        <v/>
      </c>
      <c r="E380" s="12" t="str">
        <f t="shared" si="5"/>
        <v/>
      </c>
    </row>
    <row r="381" spans="4:5" x14ac:dyDescent="0.25">
      <c r="D381" s="11" t="str" cm="1">
        <f t="array" ref="D381">_xlfn.IFS(A381="","",A381="Grand Total",SUM(D$4:D380),TRUE,IF(COUNTIF(Transactions[Custom Category],Dashboard!A381)&gt;0,SUMIFS(Transactions[Amount],Transactions[Custom Category],Dashboard!A381,Transactions[Month],Sel_Month),SUMIFS(Transactions[Amount],Transactions[Name],Dashboard!A381,Transactions[Month],Sel_Month)))</f>
        <v/>
      </c>
      <c r="E381" s="12" t="str">
        <f t="shared" si="5"/>
        <v/>
      </c>
    </row>
    <row r="382" spans="4:5" x14ac:dyDescent="0.25">
      <c r="D382" s="11" t="str" cm="1">
        <f t="array" ref="D382">_xlfn.IFS(A382="","",A382="Grand Total",SUM(D$4:D381),TRUE,IF(COUNTIF(Transactions[Custom Category],Dashboard!A382)&gt;0,SUMIFS(Transactions[Amount],Transactions[Custom Category],Dashboard!A382,Transactions[Month],Sel_Month),SUMIFS(Transactions[Amount],Transactions[Name],Dashboard!A382,Transactions[Month],Sel_Month)))</f>
        <v/>
      </c>
      <c r="E382" s="12" t="str">
        <f t="shared" si="5"/>
        <v/>
      </c>
    </row>
    <row r="383" spans="4:5" x14ac:dyDescent="0.25">
      <c r="D383" s="11" t="str" cm="1">
        <f t="array" ref="D383">_xlfn.IFS(A383="","",A383="Grand Total",SUM(D$4:D382),TRUE,IF(COUNTIF(Transactions[Custom Category],Dashboard!A383)&gt;0,SUMIFS(Transactions[Amount],Transactions[Custom Category],Dashboard!A383,Transactions[Month],Sel_Month),SUMIFS(Transactions[Amount],Transactions[Name],Dashboard!A383,Transactions[Month],Sel_Month)))</f>
        <v/>
      </c>
      <c r="E383" s="12" t="str">
        <f t="shared" si="5"/>
        <v/>
      </c>
    </row>
    <row r="384" spans="4:5" x14ac:dyDescent="0.25">
      <c r="D384" s="11" t="str" cm="1">
        <f t="array" ref="D384">_xlfn.IFS(A384="","",A384="Grand Total",SUM(D$4:D383),TRUE,IF(COUNTIF(Transactions[Custom Category],Dashboard!A384)&gt;0,SUMIFS(Transactions[Amount],Transactions[Custom Category],Dashboard!A384,Transactions[Month],Sel_Month),SUMIFS(Transactions[Amount],Transactions[Name],Dashboard!A384,Transactions[Month],Sel_Month)))</f>
        <v/>
      </c>
      <c r="E384" s="12" t="str">
        <f t="shared" si="5"/>
        <v/>
      </c>
    </row>
    <row r="385" spans="4:5" x14ac:dyDescent="0.25">
      <c r="D385" s="11" t="str" cm="1">
        <f t="array" ref="D385">_xlfn.IFS(A385="","",A385="Grand Total",SUM(D$4:D384),TRUE,IF(COUNTIF(Transactions[Custom Category],Dashboard!A385)&gt;0,SUMIFS(Transactions[Amount],Transactions[Custom Category],Dashboard!A385,Transactions[Month],Sel_Month),SUMIFS(Transactions[Amount],Transactions[Name],Dashboard!A385,Transactions[Month],Sel_Month)))</f>
        <v/>
      </c>
      <c r="E385" s="12" t="str">
        <f t="shared" si="5"/>
        <v/>
      </c>
    </row>
    <row r="386" spans="4:5" x14ac:dyDescent="0.25">
      <c r="D386" s="11" t="str" cm="1">
        <f t="array" ref="D386">_xlfn.IFS(A386="","",A386="Grand Total",SUM(D$4:D385),TRUE,IF(COUNTIF(Transactions[Custom Category],Dashboard!A386)&gt;0,SUMIFS(Transactions[Amount],Transactions[Custom Category],Dashboard!A386,Transactions[Month],Sel_Month),SUMIFS(Transactions[Amount],Transactions[Name],Dashboard!A386,Transactions[Month],Sel_Month)))</f>
        <v/>
      </c>
      <c r="E386" s="12" t="str">
        <f t="shared" si="5"/>
        <v/>
      </c>
    </row>
    <row r="387" spans="4:5" x14ac:dyDescent="0.25">
      <c r="D387" s="11" t="str" cm="1">
        <f t="array" ref="D387">_xlfn.IFS(A387="","",A387="Grand Total",SUM(D$4:D386),TRUE,IF(COUNTIF(Transactions[Custom Category],Dashboard!A387)&gt;0,SUMIFS(Transactions[Amount],Transactions[Custom Category],Dashboard!A387,Transactions[Month],Sel_Month),SUMIFS(Transactions[Amount],Transactions[Name],Dashboard!A387,Transactions[Month],Sel_Month)))</f>
        <v/>
      </c>
      <c r="E387" s="12" t="str">
        <f t="shared" si="5"/>
        <v/>
      </c>
    </row>
    <row r="388" spans="4:5" x14ac:dyDescent="0.25">
      <c r="D388" s="11" t="str" cm="1">
        <f t="array" ref="D388">_xlfn.IFS(A388="","",A388="Grand Total",SUM(D$4:D387),TRUE,IF(COUNTIF(Transactions[Custom Category],Dashboard!A388)&gt;0,SUMIFS(Transactions[Amount],Transactions[Custom Category],Dashboard!A388,Transactions[Month],Sel_Month),SUMIFS(Transactions[Amount],Transactions[Name],Dashboard!A388,Transactions[Month],Sel_Month)))</f>
        <v/>
      </c>
      <c r="E388" s="12" t="str">
        <f t="shared" si="5"/>
        <v/>
      </c>
    </row>
    <row r="389" spans="4:5" x14ac:dyDescent="0.25">
      <c r="D389" s="11" t="str" cm="1">
        <f t="array" ref="D389">_xlfn.IFS(A389="","",A389="Grand Total",SUM(D$4:D388),TRUE,IF(COUNTIF(Transactions[Custom Category],Dashboard!A389)&gt;0,SUMIFS(Transactions[Amount],Transactions[Custom Category],Dashboard!A389,Transactions[Month],Sel_Month),SUMIFS(Transactions[Amount],Transactions[Name],Dashboard!A389,Transactions[Month],Sel_Month)))</f>
        <v/>
      </c>
      <c r="E389" s="12" t="str">
        <f t="shared" si="5"/>
        <v/>
      </c>
    </row>
    <row r="390" spans="4:5" x14ac:dyDescent="0.25">
      <c r="D390" s="11" t="str" cm="1">
        <f t="array" ref="D390">_xlfn.IFS(A390="","",A390="Grand Total",SUM(D$4:D389),TRUE,IF(COUNTIF(Transactions[Custom Category],Dashboard!A390)&gt;0,SUMIFS(Transactions[Amount],Transactions[Custom Category],Dashboard!A390,Transactions[Month],Sel_Month),SUMIFS(Transactions[Amount],Transactions[Name],Dashboard!A390,Transactions[Month],Sel_Month)))</f>
        <v/>
      </c>
      <c r="E390" s="12" t="str">
        <f t="shared" ref="E390:E434" si="6">IF(C390="","",IF(C390=0,0,1-((C390-D390)/C390)))</f>
        <v/>
      </c>
    </row>
    <row r="391" spans="4:5" x14ac:dyDescent="0.25">
      <c r="D391" s="11" t="str" cm="1">
        <f t="array" ref="D391">_xlfn.IFS(A391="","",A391="Grand Total",SUM(D$4:D390),TRUE,IF(COUNTIF(Transactions[Custom Category],Dashboard!A391)&gt;0,SUMIFS(Transactions[Amount],Transactions[Custom Category],Dashboard!A391,Transactions[Month],Sel_Month),SUMIFS(Transactions[Amount],Transactions[Name],Dashboard!A391,Transactions[Month],Sel_Month)))</f>
        <v/>
      </c>
      <c r="E391" s="12" t="str">
        <f t="shared" si="6"/>
        <v/>
      </c>
    </row>
    <row r="392" spans="4:5" x14ac:dyDescent="0.25">
      <c r="D392" s="11" t="str" cm="1">
        <f t="array" ref="D392">_xlfn.IFS(A392="","",A392="Grand Total",SUM(D$4:D391),TRUE,IF(COUNTIF(Transactions[Custom Category],Dashboard!A392)&gt;0,SUMIFS(Transactions[Amount],Transactions[Custom Category],Dashboard!A392,Transactions[Month],Sel_Month),SUMIFS(Transactions[Amount],Transactions[Name],Dashboard!A392,Transactions[Month],Sel_Month)))</f>
        <v/>
      </c>
      <c r="E392" s="12" t="str">
        <f t="shared" si="6"/>
        <v/>
      </c>
    </row>
    <row r="393" spans="4:5" x14ac:dyDescent="0.25">
      <c r="D393" s="11" t="str" cm="1">
        <f t="array" ref="D393">_xlfn.IFS(A393="","",A393="Grand Total",SUM(D$4:D392),TRUE,IF(COUNTIF(Transactions[Custom Category],Dashboard!A393)&gt;0,SUMIFS(Transactions[Amount],Transactions[Custom Category],Dashboard!A393,Transactions[Month],Sel_Month),SUMIFS(Transactions[Amount],Transactions[Name],Dashboard!A393,Transactions[Month],Sel_Month)))</f>
        <v/>
      </c>
      <c r="E393" s="12" t="str">
        <f t="shared" si="6"/>
        <v/>
      </c>
    </row>
    <row r="394" spans="4:5" x14ac:dyDescent="0.25">
      <c r="D394" s="11" t="str" cm="1">
        <f t="array" ref="D394">_xlfn.IFS(A394="","",A394="Grand Total",SUM(D$4:D393),TRUE,IF(COUNTIF(Transactions[Custom Category],Dashboard!A394)&gt;0,SUMIFS(Transactions[Amount],Transactions[Custom Category],Dashboard!A394,Transactions[Month],Sel_Month),SUMIFS(Transactions[Amount],Transactions[Name],Dashboard!A394,Transactions[Month],Sel_Month)))</f>
        <v/>
      </c>
      <c r="E394" s="12" t="str">
        <f t="shared" si="6"/>
        <v/>
      </c>
    </row>
    <row r="395" spans="4:5" x14ac:dyDescent="0.25">
      <c r="D395" s="11" t="str" cm="1">
        <f t="array" ref="D395">_xlfn.IFS(A395="","",A395="Grand Total",SUM(D$4:D394),TRUE,IF(COUNTIF(Transactions[Custom Category],Dashboard!A395)&gt;0,SUMIFS(Transactions[Amount],Transactions[Custom Category],Dashboard!A395,Transactions[Month],Sel_Month),SUMIFS(Transactions[Amount],Transactions[Name],Dashboard!A395,Transactions[Month],Sel_Month)))</f>
        <v/>
      </c>
      <c r="E395" s="12" t="str">
        <f t="shared" si="6"/>
        <v/>
      </c>
    </row>
    <row r="396" spans="4:5" x14ac:dyDescent="0.25">
      <c r="D396" s="11" t="str" cm="1">
        <f t="array" ref="D396">_xlfn.IFS(A396="","",A396="Grand Total",SUM(D$4:D395),TRUE,IF(COUNTIF(Transactions[Custom Category],Dashboard!A396)&gt;0,SUMIFS(Transactions[Amount],Transactions[Custom Category],Dashboard!A396,Transactions[Month],Sel_Month),SUMIFS(Transactions[Amount],Transactions[Name],Dashboard!A396,Transactions[Month],Sel_Month)))</f>
        <v/>
      </c>
      <c r="E396" s="12" t="str">
        <f t="shared" si="6"/>
        <v/>
      </c>
    </row>
    <row r="397" spans="4:5" x14ac:dyDescent="0.25">
      <c r="D397" s="11" t="str" cm="1">
        <f t="array" ref="D397">_xlfn.IFS(A397="","",A397="Grand Total",SUM(D$4:D396),TRUE,IF(COUNTIF(Transactions[Custom Category],Dashboard!A397)&gt;0,SUMIFS(Transactions[Amount],Transactions[Custom Category],Dashboard!A397,Transactions[Month],Sel_Month),SUMIFS(Transactions[Amount],Transactions[Name],Dashboard!A397,Transactions[Month],Sel_Month)))</f>
        <v/>
      </c>
      <c r="E397" s="12" t="str">
        <f t="shared" si="6"/>
        <v/>
      </c>
    </row>
    <row r="398" spans="4:5" x14ac:dyDescent="0.25">
      <c r="D398" s="11" t="str" cm="1">
        <f t="array" ref="D398">_xlfn.IFS(A398="","",A398="Grand Total",SUM(D$4:D397),TRUE,IF(COUNTIF(Transactions[Custom Category],Dashboard!A398)&gt;0,SUMIFS(Transactions[Amount],Transactions[Custom Category],Dashboard!A398,Transactions[Month],Sel_Month),SUMIFS(Transactions[Amount],Transactions[Name],Dashboard!A398,Transactions[Month],Sel_Month)))</f>
        <v/>
      </c>
      <c r="E398" s="12" t="str">
        <f t="shared" si="6"/>
        <v/>
      </c>
    </row>
    <row r="399" spans="4:5" x14ac:dyDescent="0.25">
      <c r="D399" s="11" t="str" cm="1">
        <f t="array" ref="D399">_xlfn.IFS(A399="","",A399="Grand Total",SUM(D$4:D398),TRUE,IF(COUNTIF(Transactions[Custom Category],Dashboard!A399)&gt;0,SUMIFS(Transactions[Amount],Transactions[Custom Category],Dashboard!A399,Transactions[Month],Sel_Month),SUMIFS(Transactions[Amount],Transactions[Name],Dashboard!A399,Transactions[Month],Sel_Month)))</f>
        <v/>
      </c>
      <c r="E399" s="12" t="str">
        <f t="shared" si="6"/>
        <v/>
      </c>
    </row>
    <row r="400" spans="4:5" x14ac:dyDescent="0.25">
      <c r="D400" s="11" t="str" cm="1">
        <f t="array" ref="D400">_xlfn.IFS(A400="","",A400="Grand Total",SUM(D$4:D399),TRUE,IF(COUNTIF(Transactions[Custom Category],Dashboard!A400)&gt;0,SUMIFS(Transactions[Amount],Transactions[Custom Category],Dashboard!A400,Transactions[Month],Sel_Month),SUMIFS(Transactions[Amount],Transactions[Name],Dashboard!A400,Transactions[Month],Sel_Month)))</f>
        <v/>
      </c>
      <c r="E400" s="12" t="str">
        <f t="shared" si="6"/>
        <v/>
      </c>
    </row>
    <row r="401" spans="4:5" x14ac:dyDescent="0.25">
      <c r="D401" s="11" t="str" cm="1">
        <f t="array" ref="D401">_xlfn.IFS(A401="","",A401="Grand Total",SUM(D$4:D400),TRUE,IF(COUNTIF(Transactions[Custom Category],Dashboard!A401)&gt;0,SUMIFS(Transactions[Amount],Transactions[Custom Category],Dashboard!A401,Transactions[Month],Sel_Month),SUMIFS(Transactions[Amount],Transactions[Name],Dashboard!A401,Transactions[Month],Sel_Month)))</f>
        <v/>
      </c>
      <c r="E401" s="12" t="str">
        <f t="shared" si="6"/>
        <v/>
      </c>
    </row>
    <row r="402" spans="4:5" x14ac:dyDescent="0.25">
      <c r="D402" s="11" t="str" cm="1">
        <f t="array" ref="D402">_xlfn.IFS(A402="","",A402="Grand Total",SUM(D$4:D401),TRUE,IF(COUNTIF(Transactions[Custom Category],Dashboard!A402)&gt;0,SUMIFS(Transactions[Amount],Transactions[Custom Category],Dashboard!A402,Transactions[Month],Sel_Month),SUMIFS(Transactions[Amount],Transactions[Name],Dashboard!A402,Transactions[Month],Sel_Month)))</f>
        <v/>
      </c>
      <c r="E402" s="12" t="str">
        <f t="shared" si="6"/>
        <v/>
      </c>
    </row>
    <row r="403" spans="4:5" x14ac:dyDescent="0.25">
      <c r="D403" s="11" t="str" cm="1">
        <f t="array" ref="D403">_xlfn.IFS(A403="","",A403="Grand Total",SUM(D$4:D402),TRUE,IF(COUNTIF(Transactions[Custom Category],Dashboard!A403)&gt;0,SUMIFS(Transactions[Amount],Transactions[Custom Category],Dashboard!A403,Transactions[Month],Sel_Month),SUMIFS(Transactions[Amount],Transactions[Name],Dashboard!A403,Transactions[Month],Sel_Month)))</f>
        <v/>
      </c>
      <c r="E403" s="12" t="str">
        <f t="shared" si="6"/>
        <v/>
      </c>
    </row>
    <row r="404" spans="4:5" x14ac:dyDescent="0.25">
      <c r="D404" s="11" t="str" cm="1">
        <f t="array" ref="D404">_xlfn.IFS(A404="","",A404="Grand Total",SUM(D$4:D403),TRUE,IF(COUNTIF(Transactions[Custom Category],Dashboard!A404)&gt;0,SUMIFS(Transactions[Amount],Transactions[Custom Category],Dashboard!A404,Transactions[Month],Sel_Month),SUMIFS(Transactions[Amount],Transactions[Name],Dashboard!A404,Transactions[Month],Sel_Month)))</f>
        <v/>
      </c>
      <c r="E404" s="12" t="str">
        <f t="shared" si="6"/>
        <v/>
      </c>
    </row>
    <row r="405" spans="4:5" x14ac:dyDescent="0.25">
      <c r="D405" s="11" t="str" cm="1">
        <f t="array" ref="D405">_xlfn.IFS(A405="","",A405="Grand Total",SUM(D$4:D404),TRUE,IF(COUNTIF(Transactions[Custom Category],Dashboard!A405)&gt;0,SUMIFS(Transactions[Amount],Transactions[Custom Category],Dashboard!A405,Transactions[Month],Sel_Month),SUMIFS(Transactions[Amount],Transactions[Name],Dashboard!A405,Transactions[Month],Sel_Month)))</f>
        <v/>
      </c>
      <c r="E405" s="12" t="str">
        <f t="shared" si="6"/>
        <v/>
      </c>
    </row>
    <row r="406" spans="4:5" x14ac:dyDescent="0.25">
      <c r="D406" s="11" t="str" cm="1">
        <f t="array" ref="D406">_xlfn.IFS(A406="","",A406="Grand Total",SUM(D$4:D405),TRUE,IF(COUNTIF(Transactions[Custom Category],Dashboard!A406)&gt;0,SUMIFS(Transactions[Amount],Transactions[Custom Category],Dashboard!A406,Transactions[Month],Sel_Month),SUMIFS(Transactions[Amount],Transactions[Name],Dashboard!A406,Transactions[Month],Sel_Month)))</f>
        <v/>
      </c>
      <c r="E406" s="12" t="str">
        <f t="shared" si="6"/>
        <v/>
      </c>
    </row>
    <row r="407" spans="4:5" x14ac:dyDescent="0.25">
      <c r="D407" s="11" t="str" cm="1">
        <f t="array" ref="D407">_xlfn.IFS(A407="","",A407="Grand Total",SUM(D$4:D406),TRUE,IF(COUNTIF(Transactions[Custom Category],Dashboard!A407)&gt;0,SUMIFS(Transactions[Amount],Transactions[Custom Category],Dashboard!A407,Transactions[Month],Sel_Month),SUMIFS(Transactions[Amount],Transactions[Name],Dashboard!A407,Transactions[Month],Sel_Month)))</f>
        <v/>
      </c>
      <c r="E407" s="12" t="str">
        <f t="shared" si="6"/>
        <v/>
      </c>
    </row>
    <row r="408" spans="4:5" x14ac:dyDescent="0.25">
      <c r="D408" s="11" t="str" cm="1">
        <f t="array" ref="D408">_xlfn.IFS(A408="","",A408="Grand Total",SUM(D$4:D407),TRUE,IF(COUNTIF(Transactions[Custom Category],Dashboard!A408)&gt;0,SUMIFS(Transactions[Amount],Transactions[Custom Category],Dashboard!A408,Transactions[Month],Sel_Month),SUMIFS(Transactions[Amount],Transactions[Name],Dashboard!A408,Transactions[Month],Sel_Month)))</f>
        <v/>
      </c>
      <c r="E408" s="12" t="str">
        <f t="shared" si="6"/>
        <v/>
      </c>
    </row>
    <row r="409" spans="4:5" x14ac:dyDescent="0.25">
      <c r="D409" s="11" t="str" cm="1">
        <f t="array" ref="D409">_xlfn.IFS(A409="","",A409="Grand Total",SUM(D$4:D408),TRUE,IF(COUNTIF(Transactions[Custom Category],Dashboard!A409)&gt;0,SUMIFS(Transactions[Amount],Transactions[Custom Category],Dashboard!A409,Transactions[Month],Sel_Month),SUMIFS(Transactions[Amount],Transactions[Name],Dashboard!A409,Transactions[Month],Sel_Month)))</f>
        <v/>
      </c>
      <c r="E409" s="12" t="str">
        <f t="shared" si="6"/>
        <v/>
      </c>
    </row>
    <row r="410" spans="4:5" x14ac:dyDescent="0.25">
      <c r="D410" s="11" t="str" cm="1">
        <f t="array" ref="D410">_xlfn.IFS(A410="","",A410="Grand Total",SUM(D$4:D409),TRUE,IF(COUNTIF(Transactions[Custom Category],Dashboard!A410)&gt;0,SUMIFS(Transactions[Amount],Transactions[Custom Category],Dashboard!A410,Transactions[Month],Sel_Month),SUMIFS(Transactions[Amount],Transactions[Name],Dashboard!A410,Transactions[Month],Sel_Month)))</f>
        <v/>
      </c>
      <c r="E410" s="12" t="str">
        <f t="shared" si="6"/>
        <v/>
      </c>
    </row>
    <row r="411" spans="4:5" x14ac:dyDescent="0.25">
      <c r="D411" s="11" t="str" cm="1">
        <f t="array" ref="D411">_xlfn.IFS(A411="","",A411="Grand Total",SUM(D$4:D410),TRUE,IF(COUNTIF(Transactions[Custom Category],Dashboard!A411)&gt;0,SUMIFS(Transactions[Amount],Transactions[Custom Category],Dashboard!A411,Transactions[Month],Sel_Month),SUMIFS(Transactions[Amount],Transactions[Name],Dashboard!A411,Transactions[Month],Sel_Month)))</f>
        <v/>
      </c>
      <c r="E411" s="12" t="str">
        <f t="shared" si="6"/>
        <v/>
      </c>
    </row>
    <row r="412" spans="4:5" x14ac:dyDescent="0.25">
      <c r="D412" s="11" t="str" cm="1">
        <f t="array" ref="D412">_xlfn.IFS(A412="","",A412="Grand Total",SUM(D$4:D411),TRUE,IF(COUNTIF(Transactions[Custom Category],Dashboard!A412)&gt;0,SUMIFS(Transactions[Amount],Transactions[Custom Category],Dashboard!A412,Transactions[Month],Sel_Month),SUMIFS(Transactions[Amount],Transactions[Name],Dashboard!A412,Transactions[Month],Sel_Month)))</f>
        <v/>
      </c>
      <c r="E412" s="12" t="str">
        <f t="shared" si="6"/>
        <v/>
      </c>
    </row>
    <row r="413" spans="4:5" x14ac:dyDescent="0.25">
      <c r="D413" s="11" t="str" cm="1">
        <f t="array" ref="D413">_xlfn.IFS(A413="","",A413="Grand Total",SUM(D$4:D412),TRUE,IF(COUNTIF(Transactions[Custom Category],Dashboard!A413)&gt;0,SUMIFS(Transactions[Amount],Transactions[Custom Category],Dashboard!A413,Transactions[Month],Sel_Month),SUMIFS(Transactions[Amount],Transactions[Name],Dashboard!A413,Transactions[Month],Sel_Month)))</f>
        <v/>
      </c>
      <c r="E413" s="12" t="str">
        <f t="shared" si="6"/>
        <v/>
      </c>
    </row>
    <row r="414" spans="4:5" x14ac:dyDescent="0.25">
      <c r="D414" s="11" t="str" cm="1">
        <f t="array" ref="D414">_xlfn.IFS(A414="","",A414="Grand Total",SUM(D$4:D413),TRUE,IF(COUNTIF(Transactions[Custom Category],Dashboard!A414)&gt;0,SUMIFS(Transactions[Amount],Transactions[Custom Category],Dashboard!A414,Transactions[Month],Sel_Month),SUMIFS(Transactions[Amount],Transactions[Name],Dashboard!A414,Transactions[Month],Sel_Month)))</f>
        <v/>
      </c>
      <c r="E414" s="12" t="str">
        <f t="shared" si="6"/>
        <v/>
      </c>
    </row>
    <row r="415" spans="4:5" x14ac:dyDescent="0.25">
      <c r="D415" s="11" t="str" cm="1">
        <f t="array" ref="D415">_xlfn.IFS(A415="","",A415="Grand Total",SUM(D$4:D414),TRUE,IF(COUNTIF(Transactions[Custom Category],Dashboard!A415)&gt;0,SUMIFS(Transactions[Amount],Transactions[Custom Category],Dashboard!A415,Transactions[Month],Sel_Month),SUMIFS(Transactions[Amount],Transactions[Name],Dashboard!A415,Transactions[Month],Sel_Month)))</f>
        <v/>
      </c>
      <c r="E415" s="12" t="str">
        <f t="shared" si="6"/>
        <v/>
      </c>
    </row>
    <row r="416" spans="4:5" x14ac:dyDescent="0.25">
      <c r="D416" s="11" t="str" cm="1">
        <f t="array" ref="D416">_xlfn.IFS(A416="","",A416="Grand Total",SUM(D$4:D415),TRUE,IF(COUNTIF(Transactions[Custom Category],Dashboard!A416)&gt;0,SUMIFS(Transactions[Amount],Transactions[Custom Category],Dashboard!A416,Transactions[Month],Sel_Month),SUMIFS(Transactions[Amount],Transactions[Name],Dashboard!A416,Transactions[Month],Sel_Month)))</f>
        <v/>
      </c>
      <c r="E416" s="12" t="str">
        <f t="shared" si="6"/>
        <v/>
      </c>
    </row>
    <row r="417" spans="4:5" x14ac:dyDescent="0.25">
      <c r="D417" s="11" t="str" cm="1">
        <f t="array" ref="D417">_xlfn.IFS(A417="","",A417="Grand Total",SUM(D$4:D416),TRUE,IF(COUNTIF(Transactions[Custom Category],Dashboard!A417)&gt;0,SUMIFS(Transactions[Amount],Transactions[Custom Category],Dashboard!A417,Transactions[Month],Sel_Month),SUMIFS(Transactions[Amount],Transactions[Name],Dashboard!A417,Transactions[Month],Sel_Month)))</f>
        <v/>
      </c>
      <c r="E417" s="12" t="str">
        <f t="shared" si="6"/>
        <v/>
      </c>
    </row>
    <row r="418" spans="4:5" x14ac:dyDescent="0.25">
      <c r="D418" s="11" t="str" cm="1">
        <f t="array" ref="D418">_xlfn.IFS(A418="","",A418="Grand Total",SUM(D$4:D417),TRUE,IF(COUNTIF(Transactions[Custom Category],Dashboard!A418)&gt;0,SUMIFS(Transactions[Amount],Transactions[Custom Category],Dashboard!A418,Transactions[Month],Sel_Month),SUMIFS(Transactions[Amount],Transactions[Name],Dashboard!A418,Transactions[Month],Sel_Month)))</f>
        <v/>
      </c>
      <c r="E418" s="12" t="str">
        <f t="shared" si="6"/>
        <v/>
      </c>
    </row>
    <row r="419" spans="4:5" x14ac:dyDescent="0.25">
      <c r="D419" s="11" t="str" cm="1">
        <f t="array" ref="D419">_xlfn.IFS(A419="","",A419="Grand Total",SUM(D$4:D418),TRUE,IF(COUNTIF(Transactions[Custom Category],Dashboard!A419)&gt;0,SUMIFS(Transactions[Amount],Transactions[Custom Category],Dashboard!A419,Transactions[Month],Sel_Month),SUMIFS(Transactions[Amount],Transactions[Name],Dashboard!A419,Transactions[Month],Sel_Month)))</f>
        <v/>
      </c>
      <c r="E419" s="12" t="str">
        <f t="shared" si="6"/>
        <v/>
      </c>
    </row>
    <row r="420" spans="4:5" x14ac:dyDescent="0.25">
      <c r="D420" s="11" t="str" cm="1">
        <f t="array" ref="D420">_xlfn.IFS(A420="","",A420="Grand Total",SUM(D$4:D419),TRUE,IF(COUNTIF(Transactions[Custom Category],Dashboard!A420)&gt;0,SUMIFS(Transactions[Amount],Transactions[Custom Category],Dashboard!A420,Transactions[Month],Sel_Month),SUMIFS(Transactions[Amount],Transactions[Name],Dashboard!A420,Transactions[Month],Sel_Month)))</f>
        <v/>
      </c>
      <c r="E420" s="12" t="str">
        <f t="shared" si="6"/>
        <v/>
      </c>
    </row>
    <row r="421" spans="4:5" x14ac:dyDescent="0.25">
      <c r="D421" s="11" t="str" cm="1">
        <f t="array" ref="D421">_xlfn.IFS(A421="","",A421="Grand Total",SUM(D$4:D420),TRUE,IF(COUNTIF(Transactions[Custom Category],Dashboard!A421)&gt;0,SUMIFS(Transactions[Amount],Transactions[Custom Category],Dashboard!A421,Transactions[Month],Sel_Month),SUMIFS(Transactions[Amount],Transactions[Name],Dashboard!A421,Transactions[Month],Sel_Month)))</f>
        <v/>
      </c>
      <c r="E421" s="12" t="str">
        <f t="shared" si="6"/>
        <v/>
      </c>
    </row>
    <row r="422" spans="4:5" x14ac:dyDescent="0.25">
      <c r="D422" s="11" t="str" cm="1">
        <f t="array" ref="D422">_xlfn.IFS(A422="","",A422="Grand Total",SUM(D$4:D421),TRUE,IF(COUNTIF(Transactions[Custom Category],Dashboard!A422)&gt;0,SUMIFS(Transactions[Amount],Transactions[Custom Category],Dashboard!A422,Transactions[Month],Sel_Month),SUMIFS(Transactions[Amount],Transactions[Name],Dashboard!A422,Transactions[Month],Sel_Month)))</f>
        <v/>
      </c>
      <c r="E422" s="12" t="str">
        <f t="shared" si="6"/>
        <v/>
      </c>
    </row>
    <row r="423" spans="4:5" x14ac:dyDescent="0.25">
      <c r="D423" s="11" t="str" cm="1">
        <f t="array" ref="D423">_xlfn.IFS(A423="","",A423="Grand Total",SUM(D$4:D422),TRUE,IF(COUNTIF(Transactions[Custom Category],Dashboard!A423)&gt;0,SUMIFS(Transactions[Amount],Transactions[Custom Category],Dashboard!A423,Transactions[Month],Sel_Month),SUMIFS(Transactions[Amount],Transactions[Name],Dashboard!A423,Transactions[Month],Sel_Month)))</f>
        <v/>
      </c>
      <c r="E423" s="12" t="str">
        <f t="shared" si="6"/>
        <v/>
      </c>
    </row>
    <row r="424" spans="4:5" x14ac:dyDescent="0.25">
      <c r="D424" s="11" t="str" cm="1">
        <f t="array" ref="D424">_xlfn.IFS(A424="","",A424="Grand Total",SUM(D$4:D423),TRUE,IF(COUNTIF(Transactions[Custom Category],Dashboard!A424)&gt;0,SUMIFS(Transactions[Amount],Transactions[Custom Category],Dashboard!A424,Transactions[Month],Sel_Month),SUMIFS(Transactions[Amount],Transactions[Name],Dashboard!A424,Transactions[Month],Sel_Month)))</f>
        <v/>
      </c>
      <c r="E424" s="12" t="str">
        <f t="shared" si="6"/>
        <v/>
      </c>
    </row>
    <row r="425" spans="4:5" x14ac:dyDescent="0.25">
      <c r="D425" s="11" t="str" cm="1">
        <f t="array" ref="D425">_xlfn.IFS(A425="","",A425="Grand Total",SUM(D$4:D424),TRUE,IF(COUNTIF(Transactions[Custom Category],Dashboard!A425)&gt;0,SUMIFS(Transactions[Amount],Transactions[Custom Category],Dashboard!A425,Transactions[Month],Sel_Month),SUMIFS(Transactions[Amount],Transactions[Name],Dashboard!A425,Transactions[Month],Sel_Month)))</f>
        <v/>
      </c>
      <c r="E425" s="12" t="str">
        <f t="shared" si="6"/>
        <v/>
      </c>
    </row>
    <row r="426" spans="4:5" x14ac:dyDescent="0.25">
      <c r="D426" s="11" t="str" cm="1">
        <f t="array" ref="D426">_xlfn.IFS(A426="","",A426="Grand Total",SUM(D$4:D425),TRUE,IF(COUNTIF(Transactions[Custom Category],Dashboard!A426)&gt;0,SUMIFS(Transactions[Amount],Transactions[Custom Category],Dashboard!A426,Transactions[Month],Sel_Month),SUMIFS(Transactions[Amount],Transactions[Name],Dashboard!A426,Transactions[Month],Sel_Month)))</f>
        <v/>
      </c>
      <c r="E426" s="12" t="str">
        <f t="shared" si="6"/>
        <v/>
      </c>
    </row>
    <row r="427" spans="4:5" x14ac:dyDescent="0.25">
      <c r="D427" s="11" t="str" cm="1">
        <f t="array" ref="D427">_xlfn.IFS(A427="","",A427="Grand Total",SUM(D$4:D426),TRUE,IF(COUNTIF(Transactions[Custom Category],Dashboard!A427)&gt;0,SUMIFS(Transactions[Amount],Transactions[Custom Category],Dashboard!A427,Transactions[Month],Sel_Month),SUMIFS(Transactions[Amount],Transactions[Name],Dashboard!A427,Transactions[Month],Sel_Month)))</f>
        <v/>
      </c>
      <c r="E427" s="12" t="str">
        <f t="shared" si="6"/>
        <v/>
      </c>
    </row>
    <row r="428" spans="4:5" x14ac:dyDescent="0.25">
      <c r="D428" s="11" t="str" cm="1">
        <f t="array" ref="D428">_xlfn.IFS(A428="","",A428="Grand Total",SUM(D$4:D427),TRUE,IF(COUNTIF(Transactions[Custom Category],Dashboard!A428)&gt;0,SUMIFS(Transactions[Amount],Transactions[Custom Category],Dashboard!A428,Transactions[Month],Sel_Month),SUMIFS(Transactions[Amount],Transactions[Name],Dashboard!A428,Transactions[Month],Sel_Month)))</f>
        <v/>
      </c>
      <c r="E428" s="12" t="str">
        <f t="shared" si="6"/>
        <v/>
      </c>
    </row>
    <row r="429" spans="4:5" x14ac:dyDescent="0.25">
      <c r="D429" s="11" t="str" cm="1">
        <f t="array" ref="D429">_xlfn.IFS(A429="","",A429="Grand Total",SUM(D$4:D428),TRUE,IF(COUNTIF(Transactions[Custom Category],Dashboard!A429)&gt;0,SUMIFS(Transactions[Amount],Transactions[Custom Category],Dashboard!A429,Transactions[Month],Sel_Month),SUMIFS(Transactions[Amount],Transactions[Name],Dashboard!A429,Transactions[Month],Sel_Month)))</f>
        <v/>
      </c>
      <c r="E429" s="12" t="str">
        <f t="shared" si="6"/>
        <v/>
      </c>
    </row>
    <row r="430" spans="4:5" x14ac:dyDescent="0.25">
      <c r="D430" s="11" t="str" cm="1">
        <f t="array" ref="D430">_xlfn.IFS(A430="","",A430="Grand Total",SUM(D$4:D429),TRUE,IF(COUNTIF(Transactions[Custom Category],Dashboard!A430)&gt;0,SUMIFS(Transactions[Amount],Transactions[Custom Category],Dashboard!A430,Transactions[Month],Sel_Month),SUMIFS(Transactions[Amount],Transactions[Name],Dashboard!A430,Transactions[Month],Sel_Month)))</f>
        <v/>
      </c>
      <c r="E430" s="12" t="str">
        <f t="shared" si="6"/>
        <v/>
      </c>
    </row>
    <row r="431" spans="4:5" x14ac:dyDescent="0.25">
      <c r="D431" s="11" t="str" cm="1">
        <f t="array" ref="D431">_xlfn.IFS(A431="","",A431="Grand Total",SUM(D$4:D430),TRUE,IF(COUNTIF(Transactions[Custom Category],Dashboard!A431)&gt;0,SUMIFS(Transactions[Amount],Transactions[Custom Category],Dashboard!A431,Transactions[Month],Sel_Month),SUMIFS(Transactions[Amount],Transactions[Name],Dashboard!A431,Transactions[Month],Sel_Month)))</f>
        <v/>
      </c>
      <c r="E431" s="12" t="str">
        <f t="shared" si="6"/>
        <v/>
      </c>
    </row>
    <row r="432" spans="4:5" x14ac:dyDescent="0.25">
      <c r="D432" s="11" t="str" cm="1">
        <f t="array" ref="D432">_xlfn.IFS(A432="","",A432="Grand Total",SUM(D$4:D431),TRUE,IF(COUNTIF(Transactions[Custom Category],Dashboard!A432)&gt;0,SUMIFS(Transactions[Amount],Transactions[Custom Category],Dashboard!A432,Transactions[Month],Sel_Month),SUMIFS(Transactions[Amount],Transactions[Name],Dashboard!A432,Transactions[Month],Sel_Month)))</f>
        <v/>
      </c>
      <c r="E432" s="12" t="str">
        <f t="shared" si="6"/>
        <v/>
      </c>
    </row>
    <row r="433" spans="4:5" x14ac:dyDescent="0.25">
      <c r="D433" s="11" t="str" cm="1">
        <f t="array" ref="D433">_xlfn.IFS(A433="","",A433="Grand Total",SUM(D$4:D432),TRUE,IF(COUNTIF(Transactions[Custom Category],Dashboard!A433)&gt;0,SUMIFS(Transactions[Amount],Transactions[Custom Category],Dashboard!A433,Transactions[Month],Sel_Month),SUMIFS(Transactions[Amount],Transactions[Name],Dashboard!A433,Transactions[Month],Sel_Month)))</f>
        <v/>
      </c>
      <c r="E433" s="12" t="str">
        <f t="shared" si="6"/>
        <v/>
      </c>
    </row>
    <row r="434" spans="4:5" x14ac:dyDescent="0.25">
      <c r="D434" s="11" t="str" cm="1">
        <f t="array" ref="D434">_xlfn.IFS(A434="","",A434="Grand Total",SUM(D$4:D433),TRUE,IF(COUNTIF(Transactions[Custom Category],Dashboard!A434)&gt;0,SUMIFS(Transactions[Amount],Transactions[Custom Category],Dashboard!A434,Transactions[Month],Sel_Month),SUMIFS(Transactions[Amount],Transactions[Name],Dashboard!A434,Transactions[Month],Sel_Month)))</f>
        <v/>
      </c>
      <c r="E434" s="12" t="str">
        <f t="shared" si="6"/>
        <v/>
      </c>
    </row>
    <row r="435" spans="4:5" x14ac:dyDescent="0.25">
      <c r="D435" s="11" t="str" cm="1">
        <f t="array" ref="D435">_xlfn.IFS(A435="","",A435="Grand Total",SUM(D$4:D434),TRUE,IF(COUNTIF(Transactions[Custom Category],Dashboard!A435)&gt;0,SUMIFS(Transactions[Amount],Transactions[Custom Category],Dashboard!A435,Transactions[Month],Sel_Month),SUMIFS(Transactions[Amount],Transactions[Name],Dashboard!A435,Transactions[Month],Sel_Month)))</f>
        <v/>
      </c>
    </row>
  </sheetData>
  <conditionalFormatting sqref="D5:E435">
    <cfRule type="expression" dxfId="1" priority="1" stopIfTrue="1">
      <formula>$A5="Total"</formula>
    </cfRule>
    <cfRule type="expression" dxfId="0" priority="2">
      <formula>$A5&lt;&gt;""</formula>
    </cfRule>
  </conditionalFormatting>
  <dataValidations count="1">
    <dataValidation type="list" allowBlank="1" showInputMessage="1" showErrorMessage="1" promptTitle="Select Month" sqref="D2" xr:uid="{3850E831-CF06-4A77-A215-8B96EAEF23F8}">
      <formula1>Unique_Months</formula1>
    </dataValidation>
  </dataValidations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How frequently resets" prompt="Select the frequency at which this budget will reset" xr:uid="{1AFBA4B2-E2F6-4585-A6DC-E6D6E86F6AAB}">
          <x14:formula1>
            <xm:f>Conf!$A$2:$A$8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FFD0-868B-4F0D-A9AA-366FCA2A4264}">
  <sheetPr codeName="Sheet2"/>
  <dimension ref="A1:I1"/>
  <sheetViews>
    <sheetView workbookViewId="0">
      <selection activeCell="D14" sqref="D14"/>
    </sheetView>
  </sheetViews>
  <sheetFormatPr defaultRowHeight="15" x14ac:dyDescent="0.25"/>
  <cols>
    <col min="1" max="2" width="11" customWidth="1"/>
    <col min="3" max="3" width="56.5703125" customWidth="1"/>
    <col min="4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DD1E-E608-46F6-A6DF-A714ACAD90B0}">
  <sheetPr codeName="Sheet3"/>
  <dimension ref="A1:U2"/>
  <sheetViews>
    <sheetView zoomScaleNormal="100" workbookViewId="0">
      <selection activeCell="F14" sqref="F14"/>
    </sheetView>
  </sheetViews>
  <sheetFormatPr defaultRowHeight="15" x14ac:dyDescent="0.25"/>
  <cols>
    <col min="1" max="3" width="11" customWidth="1"/>
    <col min="4" max="4" width="35" customWidth="1"/>
    <col min="5" max="5" width="15.7109375" customWidth="1"/>
    <col min="6" max="7" width="11" customWidth="1"/>
    <col min="8" max="8" width="40" customWidth="1"/>
    <col min="9" max="9" width="11" customWidth="1"/>
    <col min="10" max="11" width="12.140625" customWidth="1"/>
    <col min="12" max="12" width="21.5703125" customWidth="1"/>
    <col min="13" max="13" width="14.7109375" customWidth="1"/>
    <col min="14" max="14" width="11.42578125" bestFit="1" customWidth="1"/>
    <col min="15" max="15" width="17" customWidth="1"/>
    <col min="17" max="17" width="15.7109375" customWidth="1"/>
    <col min="19" max="19" width="11.5703125" bestFit="1" customWidth="1"/>
  </cols>
  <sheetData>
    <row r="1" spans="1:21" x14ac:dyDescent="0.25">
      <c r="A1" t="s">
        <v>9</v>
      </c>
      <c r="B1" t="s">
        <v>10</v>
      </c>
      <c r="C1" t="s">
        <v>11</v>
      </c>
      <c r="D1" t="s">
        <v>12</v>
      </c>
      <c r="E1" t="s">
        <v>23</v>
      </c>
      <c r="F1" t="s">
        <v>13</v>
      </c>
      <c r="G1" t="s">
        <v>14</v>
      </c>
      <c r="H1" t="s">
        <v>5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20</v>
      </c>
      <c r="P1" t="s">
        <v>26</v>
      </c>
      <c r="Q1" t="s">
        <v>27</v>
      </c>
      <c r="R1" t="s">
        <v>40</v>
      </c>
      <c r="S1" t="s">
        <v>25</v>
      </c>
      <c r="T1" t="s">
        <v>28</v>
      </c>
      <c r="U1" t="s">
        <v>43</v>
      </c>
    </row>
    <row r="2" spans="1:21" x14ac:dyDescent="0.25">
      <c r="E2" s="3"/>
      <c r="L2" s="14"/>
      <c r="O2" s="15"/>
      <c r="P2" s="16"/>
      <c r="Q2" s="14"/>
      <c r="R2" s="17"/>
      <c r="S2" s="14"/>
      <c r="T2" s="14"/>
      <c r="U2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ECD2-A274-46BE-BFC1-4129AF181C77}">
  <sheetPr codeName="Sheet4"/>
  <dimension ref="A1:J11"/>
  <sheetViews>
    <sheetView workbookViewId="0">
      <selection activeCell="B33" sqref="B33"/>
    </sheetView>
  </sheetViews>
  <sheetFormatPr defaultRowHeight="15" x14ac:dyDescent="0.25"/>
  <cols>
    <col min="1" max="1" width="13" customWidth="1"/>
    <col min="4" max="4" width="16" style="19" bestFit="1" customWidth="1"/>
    <col min="6" max="6" width="10" customWidth="1"/>
    <col min="7" max="7" width="50.42578125" customWidth="1"/>
    <col min="10" max="10" width="10.5703125" customWidth="1"/>
  </cols>
  <sheetData>
    <row r="1" spans="1:10" x14ac:dyDescent="0.25">
      <c r="A1" t="s">
        <v>31</v>
      </c>
      <c r="B1" t="s">
        <v>39</v>
      </c>
      <c r="D1" s="19" cm="1">
        <f t="array" ref="D1">_xlfn.UNIQUE(Transactions[Month])</f>
        <v>0</v>
      </c>
      <c r="F1" t="s">
        <v>47</v>
      </c>
      <c r="G1" t="s">
        <v>48</v>
      </c>
      <c r="I1" t="s">
        <v>5</v>
      </c>
      <c r="J1" t="s">
        <v>48</v>
      </c>
    </row>
    <row r="2" spans="1:10" x14ac:dyDescent="0.25">
      <c r="A2" t="s">
        <v>33</v>
      </c>
      <c r="B2">
        <v>30</v>
      </c>
      <c r="F2" t="s">
        <v>18</v>
      </c>
      <c r="G2" s="14" t="s">
        <v>49</v>
      </c>
      <c r="I2" t="s">
        <v>59</v>
      </c>
      <c r="J2" t="s">
        <v>60</v>
      </c>
    </row>
    <row r="3" spans="1:10" x14ac:dyDescent="0.25">
      <c r="A3" t="s">
        <v>32</v>
      </c>
      <c r="B3">
        <v>4</v>
      </c>
      <c r="F3" t="s">
        <v>19</v>
      </c>
      <c r="G3" t="s">
        <v>50</v>
      </c>
      <c r="I3" t="s">
        <v>61</v>
      </c>
      <c r="J3" t="s">
        <v>62</v>
      </c>
    </row>
    <row r="4" spans="1:10" x14ac:dyDescent="0.25">
      <c r="A4" t="s">
        <v>34</v>
      </c>
      <c r="B4">
        <v>2</v>
      </c>
      <c r="F4" t="s">
        <v>21</v>
      </c>
      <c r="G4" t="s">
        <v>51</v>
      </c>
    </row>
    <row r="5" spans="1:10" x14ac:dyDescent="0.25">
      <c r="A5" t="s">
        <v>35</v>
      </c>
      <c r="B5">
        <v>1</v>
      </c>
      <c r="F5" t="s">
        <v>20</v>
      </c>
      <c r="G5" s="14" t="s">
        <v>52</v>
      </c>
    </row>
    <row r="6" spans="1:10" x14ac:dyDescent="0.25">
      <c r="A6" t="s">
        <v>36</v>
      </c>
      <c r="B6">
        <f>1/3</f>
        <v>0.33333333333333331</v>
      </c>
      <c r="F6" t="s">
        <v>26</v>
      </c>
      <c r="G6" s="16" t="s">
        <v>53</v>
      </c>
    </row>
    <row r="7" spans="1:10" x14ac:dyDescent="0.25">
      <c r="A7" t="s">
        <v>37</v>
      </c>
      <c r="B7">
        <f>1/6</f>
        <v>0.16666666666666666</v>
      </c>
      <c r="F7" t="s">
        <v>27</v>
      </c>
      <c r="G7" s="14" t="s">
        <v>54</v>
      </c>
    </row>
    <row r="8" spans="1:10" x14ac:dyDescent="0.25">
      <c r="A8" t="s">
        <v>38</v>
      </c>
      <c r="B8">
        <f>1/12</f>
        <v>8.3333333333333329E-2</v>
      </c>
      <c r="F8" t="s">
        <v>40</v>
      </c>
      <c r="G8" s="18" t="s">
        <v>55</v>
      </c>
    </row>
    <row r="9" spans="1:10" x14ac:dyDescent="0.25">
      <c r="F9" t="s">
        <v>25</v>
      </c>
      <c r="G9" s="14" t="s">
        <v>56</v>
      </c>
    </row>
    <row r="10" spans="1:10" x14ac:dyDescent="0.25">
      <c r="F10" t="s">
        <v>28</v>
      </c>
      <c r="G10" s="14" t="s">
        <v>57</v>
      </c>
    </row>
    <row r="11" spans="1:10" x14ac:dyDescent="0.25">
      <c r="F11" t="s">
        <v>43</v>
      </c>
      <c r="G11" s="14" t="s">
        <v>58</v>
      </c>
    </row>
  </sheetData>
  <pageMargins left="0.7" right="0.7" top="0.75" bottom="0.75" header="0.3" footer="0.3"/>
  <pageSetup orientation="portrait" horizontalDpi="0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Accounts</vt:lpstr>
      <vt:lpstr>Transactions</vt:lpstr>
      <vt:lpstr>Conf</vt:lpstr>
      <vt:lpstr>Sel_Month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R Avila</cp:lastModifiedBy>
  <dcterms:created xsi:type="dcterms:W3CDTF">2024-04-17T02:26:28Z</dcterms:created>
  <dcterms:modified xsi:type="dcterms:W3CDTF">2024-06-17T23:36:41Z</dcterms:modified>
</cp:coreProperties>
</file>