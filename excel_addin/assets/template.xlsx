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19646cce972b31/Intel/ExMint/excel_addin/assets/"/>
    </mc:Choice>
  </mc:AlternateContent>
  <xr:revisionPtr revIDLastSave="119" documentId="8_{3B1CEF04-0D7C-42F8-9349-B5C59C0ED082}" xr6:coauthVersionLast="47" xr6:coauthVersionMax="47" xr10:uidLastSave="{2863A027-AFB5-45CB-95A9-F23AEEA895D7}"/>
  <bookViews>
    <workbookView xWindow="-120" yWindow="-120" windowWidth="29040" windowHeight="15720" tabRatio="537" xr2:uid="{00000000-000D-0000-FFFF-FFFF00000000}"/>
  </bookViews>
  <sheets>
    <sheet name="Dashboard" sheetId="1" r:id="rId1"/>
    <sheet name="Accounts" sheetId="2" r:id="rId2"/>
    <sheet name="Transactions" sheetId="3" r:id="rId3"/>
    <sheet name="Conf" sheetId="5" r:id="rId4"/>
  </sheets>
  <definedNames>
    <definedName name="Sel_Month">Dashboard!$I$1</definedName>
    <definedName name="Unique_Months">OFFSET(Conf!$D$1, 0, 0, COUNTA(Conf!$D:$D), 1)</definedName>
  </definedNames>
  <calcPr calcId="191029"/>
  <pivotCaches>
    <pivotCache cacheId="44" r:id="rId5"/>
    <pivotCache cacheId="4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 a="1"/>
  <c r="H4" i="1" s="1"/>
  <c r="H3" i="1" a="1"/>
  <c r="H3" i="1" s="1"/>
  <c r="H5" i="1" l="1" a="1"/>
  <c r="H5" i="1" s="1"/>
  <c r="H6" i="1" a="1"/>
  <c r="H6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H7" i="1" l="1" a="1"/>
  <c r="H7" i="1" s="1"/>
  <c r="D1" i="5" a="1"/>
  <c r="D1" i="5" s="1"/>
  <c r="B8" i="5"/>
  <c r="B7" i="5"/>
  <c r="B6" i="5"/>
  <c r="H8" i="1" l="1" a="1"/>
  <c r="H8" i="1" s="1"/>
  <c r="I3" i="1"/>
  <c r="H9" i="1" l="1" a="1"/>
  <c r="H9" i="1" s="1"/>
  <c r="H10" i="1" l="1" a="1"/>
  <c r="H10" i="1" s="1"/>
  <c r="H11" i="1" a="1"/>
  <c r="H11" i="1" s="1"/>
  <c r="H12" i="1" l="1" a="1"/>
  <c r="H12" i="1" s="1"/>
  <c r="H13" i="1" l="1" a="1"/>
  <c r="H13" i="1" s="1"/>
  <c r="H14" i="1" l="1" a="1"/>
  <c r="H14" i="1" s="1"/>
  <c r="H15" i="1" l="1" a="1"/>
  <c r="H15" i="1" s="1"/>
  <c r="H16" i="1" l="1" a="1"/>
  <c r="H16" i="1" s="1"/>
  <c r="H17" i="1" s="1" a="1"/>
  <c r="H17" i="1" s="1"/>
  <c r="H18" i="1" s="1" a="1"/>
  <c r="H18" i="1" s="1"/>
  <c r="H19" i="1" s="1" a="1"/>
  <c r="H19" i="1" s="1"/>
  <c r="H20" i="1" s="1" a="1"/>
  <c r="H20" i="1" s="1"/>
  <c r="H21" i="1" s="1" a="1"/>
  <c r="H21" i="1" s="1"/>
  <c r="H22" i="1" s="1" a="1"/>
  <c r="H22" i="1" s="1"/>
  <c r="H23" i="1" s="1" a="1"/>
  <c r="H23" i="1" s="1"/>
  <c r="H24" i="1" s="1" a="1"/>
  <c r="H24" i="1" s="1"/>
  <c r="H25" i="1" s="1" a="1"/>
  <c r="H25" i="1" s="1"/>
  <c r="H26" i="1" s="1" a="1"/>
  <c r="H26" i="1" s="1"/>
  <c r="H27" i="1" s="1" a="1"/>
  <c r="H27" i="1" s="1"/>
  <c r="H28" i="1" s="1" a="1"/>
  <c r="H28" i="1" s="1"/>
  <c r="H29" i="1" s="1" a="1"/>
  <c r="H29" i="1" s="1"/>
  <c r="H30" i="1" s="1" a="1"/>
  <c r="H30" i="1" s="1"/>
  <c r="H31" i="1" s="1" a="1"/>
  <c r="H31" i="1" s="1"/>
  <c r="H32" i="1" s="1" a="1"/>
  <c r="H32" i="1" s="1"/>
  <c r="H33" i="1" s="1" a="1"/>
  <c r="H33" i="1" s="1"/>
  <c r="H34" i="1" s="1" a="1"/>
  <c r="H34" i="1" s="1"/>
  <c r="H35" i="1" s="1" a="1"/>
  <c r="H35" i="1" s="1"/>
  <c r="H36" i="1" s="1" a="1"/>
  <c r="H36" i="1" s="1"/>
  <c r="H37" i="1" s="1" a="1"/>
  <c r="H37" i="1" s="1"/>
  <c r="H38" i="1" s="1" a="1"/>
  <c r="H38" i="1" s="1"/>
  <c r="H39" i="1" s="1" a="1"/>
  <c r="H39" i="1" s="1"/>
  <c r="H40" i="1" s="1" a="1"/>
  <c r="H40" i="1" s="1"/>
  <c r="H41" i="1" s="1" a="1"/>
  <c r="H41" i="1" s="1"/>
  <c r="H42" i="1" s="1" a="1"/>
  <c r="H42" i="1" s="1"/>
  <c r="H43" i="1" s="1" a="1"/>
  <c r="H43" i="1" s="1"/>
  <c r="H44" i="1" s="1" a="1"/>
  <c r="H44" i="1" s="1"/>
  <c r="H45" i="1" s="1" a="1"/>
  <c r="H45" i="1" s="1"/>
  <c r="H46" i="1" s="1" a="1"/>
  <c r="H46" i="1" s="1"/>
  <c r="H47" i="1" s="1" a="1"/>
  <c r="H47" i="1" s="1"/>
  <c r="H48" i="1" s="1" a="1"/>
  <c r="H48" i="1" s="1"/>
  <c r="H49" i="1" s="1" a="1"/>
  <c r="H49" i="1" s="1"/>
  <c r="H50" i="1" s="1" a="1"/>
  <c r="H50" i="1" s="1"/>
  <c r="H51" i="1" s="1" a="1"/>
  <c r="H51" i="1" s="1"/>
  <c r="H52" i="1" s="1" a="1"/>
  <c r="H52" i="1" s="1"/>
  <c r="H53" i="1" s="1" a="1"/>
  <c r="H53" i="1" s="1"/>
  <c r="H54" i="1" s="1" a="1"/>
  <c r="H54" i="1" s="1"/>
  <c r="H55" i="1" s="1" a="1"/>
  <c r="H55" i="1" s="1"/>
  <c r="H56" i="1" s="1" a="1"/>
  <c r="H56" i="1" s="1"/>
  <c r="H57" i="1" s="1" a="1"/>
  <c r="H57" i="1" s="1"/>
  <c r="H58" i="1" s="1" a="1"/>
  <c r="H58" i="1" s="1"/>
  <c r="H59" i="1" s="1" a="1"/>
  <c r="H59" i="1" s="1"/>
  <c r="H60" i="1" s="1" a="1"/>
  <c r="H60" i="1" s="1"/>
  <c r="H61" i="1" s="1" a="1"/>
  <c r="H61" i="1" s="1"/>
  <c r="H62" i="1" s="1" a="1"/>
  <c r="H62" i="1" s="1"/>
  <c r="H63" i="1" s="1" a="1"/>
  <c r="H63" i="1" s="1"/>
  <c r="H64" i="1" s="1" a="1"/>
  <c r="H64" i="1" s="1"/>
  <c r="H65" i="1" s="1" a="1"/>
  <c r="H65" i="1" s="1"/>
  <c r="H66" i="1" s="1" a="1"/>
  <c r="H66" i="1" s="1"/>
  <c r="H67" i="1" s="1" a="1"/>
  <c r="H67" i="1" s="1"/>
  <c r="H68" i="1" s="1" a="1"/>
  <c r="H68" i="1" s="1"/>
  <c r="H69" i="1" s="1" a="1"/>
  <c r="H69" i="1" s="1"/>
  <c r="H70" i="1" s="1" a="1"/>
  <c r="H70" i="1" s="1"/>
  <c r="H71" i="1" s="1" a="1"/>
  <c r="H71" i="1" s="1"/>
  <c r="H72" i="1" s="1" a="1"/>
  <c r="H72" i="1" s="1"/>
  <c r="H73" i="1" s="1" a="1"/>
  <c r="H73" i="1" s="1"/>
  <c r="H74" i="1" s="1" a="1"/>
  <c r="H74" i="1" s="1"/>
  <c r="H75" i="1" s="1" a="1"/>
  <c r="H75" i="1" s="1"/>
  <c r="H76" i="1" s="1" a="1"/>
  <c r="H76" i="1" s="1"/>
  <c r="H77" i="1" s="1" a="1"/>
  <c r="H77" i="1" s="1"/>
  <c r="H78" i="1" s="1" a="1"/>
  <c r="H78" i="1" s="1"/>
  <c r="H79" i="1" s="1" a="1"/>
  <c r="H79" i="1" s="1"/>
  <c r="H80" i="1" s="1" a="1"/>
  <c r="H80" i="1" s="1"/>
  <c r="H81" i="1" s="1" a="1"/>
  <c r="H81" i="1" s="1"/>
  <c r="H82" i="1" s="1" a="1"/>
  <c r="H82" i="1" s="1"/>
  <c r="H83" i="1" s="1" a="1"/>
  <c r="H83" i="1" s="1"/>
  <c r="H84" i="1" s="1" a="1"/>
  <c r="H84" i="1" s="1"/>
  <c r="H85" i="1" s="1" a="1"/>
  <c r="H85" i="1" s="1"/>
  <c r="H86" i="1" s="1" a="1"/>
  <c r="H86" i="1" s="1"/>
  <c r="H87" i="1" s="1" a="1"/>
  <c r="H87" i="1" s="1"/>
  <c r="H88" i="1" s="1" a="1"/>
  <c r="H88" i="1" s="1"/>
  <c r="H89" i="1" s="1" a="1"/>
  <c r="H89" i="1" s="1"/>
  <c r="H90" i="1" s="1" a="1"/>
  <c r="H90" i="1" s="1"/>
  <c r="H91" i="1" s="1" a="1"/>
  <c r="H91" i="1" s="1"/>
  <c r="H92" i="1" s="1" a="1"/>
  <c r="H92" i="1" s="1"/>
  <c r="H93" i="1" s="1" a="1"/>
  <c r="H93" i="1" s="1"/>
  <c r="H94" i="1" s="1" a="1"/>
  <c r="H94" i="1" s="1"/>
  <c r="H95" i="1" s="1" a="1"/>
  <c r="H95" i="1" s="1"/>
  <c r="H96" i="1" s="1" a="1"/>
  <c r="H96" i="1" s="1"/>
  <c r="H97" i="1" s="1" a="1"/>
  <c r="H97" i="1" s="1"/>
  <c r="H98" i="1" s="1" a="1"/>
  <c r="H98" i="1" s="1"/>
  <c r="H99" i="1" s="1" a="1"/>
  <c r="H99" i="1" s="1"/>
  <c r="H100" i="1" s="1" a="1"/>
  <c r="H100" i="1" s="1"/>
  <c r="H101" i="1" s="1" a="1"/>
  <c r="H101" i="1" s="1"/>
  <c r="H102" i="1" s="1" a="1"/>
  <c r="H102" i="1" s="1"/>
  <c r="H103" i="1" s="1" a="1"/>
  <c r="H103" i="1" s="1"/>
  <c r="H104" i="1" s="1" a="1"/>
  <c r="H104" i="1" s="1"/>
  <c r="H105" i="1" s="1" a="1"/>
  <c r="H105" i="1" s="1"/>
  <c r="H106" i="1" s="1" a="1"/>
  <c r="H106" i="1" s="1"/>
  <c r="H107" i="1" s="1" a="1"/>
  <c r="H107" i="1" s="1"/>
  <c r="H108" i="1" s="1" a="1"/>
  <c r="H108" i="1" s="1"/>
  <c r="H109" i="1" s="1" a="1"/>
  <c r="H109" i="1" s="1"/>
  <c r="H110" i="1" s="1" a="1"/>
  <c r="H110" i="1" s="1"/>
  <c r="H111" i="1" s="1" a="1"/>
  <c r="H111" i="1" s="1"/>
  <c r="H112" i="1" s="1" a="1"/>
  <c r="H112" i="1" s="1"/>
  <c r="H113" i="1" s="1" a="1"/>
  <c r="H113" i="1" s="1"/>
  <c r="H114" i="1" s="1" a="1"/>
  <c r="H114" i="1" s="1"/>
  <c r="H115" i="1" s="1" a="1"/>
  <c r="H115" i="1" s="1"/>
  <c r="H116" i="1" s="1" a="1"/>
  <c r="H116" i="1" s="1"/>
  <c r="H117" i="1" s="1" a="1"/>
  <c r="H117" i="1" s="1"/>
  <c r="H118" i="1" s="1" a="1"/>
  <c r="H118" i="1" s="1"/>
  <c r="H119" i="1" s="1" a="1"/>
  <c r="H119" i="1" s="1"/>
  <c r="H120" i="1" s="1" a="1"/>
  <c r="H120" i="1" s="1"/>
  <c r="H121" i="1" s="1" a="1"/>
  <c r="H121" i="1" s="1"/>
  <c r="H122" i="1" s="1" a="1"/>
  <c r="H122" i="1" s="1"/>
  <c r="H123" i="1" s="1" a="1"/>
  <c r="H123" i="1" s="1"/>
  <c r="H124" i="1" s="1" a="1"/>
  <c r="H124" i="1" s="1"/>
  <c r="H125" i="1" s="1" a="1"/>
  <c r="H125" i="1" s="1"/>
  <c r="H126" i="1" s="1" a="1"/>
  <c r="H126" i="1" s="1"/>
  <c r="H127" i="1" s="1" a="1"/>
  <c r="H127" i="1" s="1"/>
  <c r="H128" i="1" s="1" a="1"/>
  <c r="H128" i="1" s="1"/>
  <c r="H129" i="1" s="1" a="1"/>
  <c r="H129" i="1" s="1"/>
  <c r="H130" i="1" s="1" a="1"/>
  <c r="H130" i="1" s="1"/>
  <c r="H131" i="1" s="1" a="1"/>
  <c r="H131" i="1" s="1"/>
  <c r="H132" i="1" s="1" a="1"/>
  <c r="H132" i="1" s="1"/>
  <c r="H133" i="1" s="1" a="1"/>
  <c r="H133" i="1" s="1"/>
  <c r="H134" i="1" s="1" a="1"/>
  <c r="H134" i="1" s="1"/>
  <c r="H135" i="1" s="1" a="1"/>
  <c r="H135" i="1" s="1"/>
  <c r="H136" i="1" s="1" a="1"/>
  <c r="H136" i="1" s="1"/>
  <c r="H137" i="1" s="1" a="1"/>
  <c r="H137" i="1" s="1"/>
  <c r="H138" i="1" s="1" a="1"/>
  <c r="H138" i="1" s="1"/>
  <c r="H139" i="1" s="1" a="1"/>
  <c r="H139" i="1" s="1"/>
  <c r="H140" i="1" s="1" a="1"/>
  <c r="H140" i="1" s="1"/>
  <c r="H141" i="1" s="1" a="1"/>
  <c r="H141" i="1" s="1"/>
  <c r="H142" i="1" s="1" a="1"/>
  <c r="H142" i="1" s="1"/>
  <c r="H143" i="1" s="1" a="1"/>
  <c r="H143" i="1" s="1"/>
  <c r="H144" i="1" s="1" a="1"/>
  <c r="H144" i="1" s="1"/>
  <c r="H145" i="1" s="1" a="1"/>
  <c r="H145" i="1" s="1"/>
  <c r="H146" i="1" s="1" a="1"/>
  <c r="H146" i="1" s="1"/>
  <c r="H147" i="1" s="1" a="1"/>
  <c r="H147" i="1" s="1"/>
  <c r="H148" i="1" s="1" a="1"/>
  <c r="H148" i="1" s="1"/>
  <c r="H149" i="1" s="1" a="1"/>
  <c r="H149" i="1" s="1"/>
  <c r="H150" i="1" s="1" a="1"/>
  <c r="H150" i="1" s="1"/>
  <c r="H151" i="1" s="1" a="1"/>
  <c r="H151" i="1" s="1"/>
  <c r="H152" i="1" s="1" a="1"/>
  <c r="H152" i="1" s="1"/>
  <c r="H153" i="1" s="1" a="1"/>
  <c r="H153" i="1" s="1"/>
  <c r="H154" i="1" s="1" a="1"/>
  <c r="H154" i="1" s="1"/>
  <c r="H155" i="1" s="1" a="1"/>
  <c r="H155" i="1" s="1"/>
  <c r="H156" i="1" s="1" a="1"/>
  <c r="H156" i="1" s="1"/>
  <c r="H157" i="1" s="1" a="1"/>
  <c r="H157" i="1" s="1"/>
  <c r="H158" i="1" s="1" a="1"/>
  <c r="H158" i="1" s="1"/>
  <c r="H159" i="1" s="1" a="1"/>
  <c r="H159" i="1" s="1"/>
  <c r="H160" i="1" s="1" a="1"/>
  <c r="H160" i="1" s="1"/>
  <c r="H161" i="1" s="1" a="1"/>
  <c r="H161" i="1" s="1"/>
  <c r="H162" i="1" s="1" a="1"/>
  <c r="H162" i="1" s="1"/>
  <c r="H163" i="1" s="1" a="1"/>
  <c r="H163" i="1" s="1"/>
  <c r="H164" i="1" s="1" a="1"/>
  <c r="H164" i="1" s="1"/>
  <c r="H165" i="1" s="1" a="1"/>
  <c r="H165" i="1" s="1"/>
  <c r="H166" i="1" s="1" a="1"/>
  <c r="H166" i="1" s="1"/>
  <c r="H167" i="1" s="1" a="1"/>
  <c r="H167" i="1" s="1"/>
  <c r="H168" i="1" s="1" a="1"/>
  <c r="H168" i="1" s="1"/>
  <c r="H169" i="1" s="1" a="1"/>
  <c r="H169" i="1" s="1"/>
  <c r="H170" i="1" s="1" a="1"/>
  <c r="H170" i="1" s="1"/>
  <c r="H171" i="1" s="1" a="1"/>
  <c r="H171" i="1" s="1"/>
  <c r="H172" i="1" s="1" a="1"/>
  <c r="H172" i="1" s="1"/>
  <c r="H173" i="1" s="1" a="1"/>
  <c r="H173" i="1" s="1"/>
  <c r="H174" i="1" s="1" a="1"/>
  <c r="H174" i="1" s="1"/>
  <c r="H175" i="1" s="1" a="1"/>
  <c r="H175" i="1" s="1"/>
  <c r="H176" i="1" s="1" a="1"/>
  <c r="H176" i="1" s="1"/>
  <c r="H177" i="1" s="1" a="1"/>
  <c r="H177" i="1" s="1"/>
  <c r="H178" i="1" s="1" a="1"/>
  <c r="H178" i="1" s="1"/>
  <c r="H179" i="1" s="1" a="1"/>
  <c r="H179" i="1" s="1"/>
  <c r="H180" i="1" s="1" a="1"/>
  <c r="H180" i="1" s="1"/>
  <c r="H181" i="1" s="1" a="1"/>
  <c r="H181" i="1" s="1"/>
  <c r="H182" i="1" s="1" a="1"/>
  <c r="H182" i="1" s="1"/>
  <c r="H183" i="1" s="1" a="1"/>
  <c r="H183" i="1" s="1"/>
  <c r="H184" i="1" s="1" a="1"/>
  <c r="H184" i="1" s="1"/>
  <c r="H185" i="1" s="1" a="1"/>
  <c r="H185" i="1" s="1"/>
  <c r="H186" i="1" s="1" a="1"/>
  <c r="H186" i="1" s="1"/>
  <c r="H187" i="1" s="1" a="1"/>
  <c r="H187" i="1" s="1"/>
  <c r="H188" i="1" s="1" a="1"/>
  <c r="H188" i="1" s="1"/>
  <c r="H189" i="1" s="1" a="1"/>
  <c r="H189" i="1" s="1"/>
  <c r="H190" i="1" s="1" a="1"/>
  <c r="H190" i="1" s="1"/>
  <c r="H191" i="1" s="1" a="1"/>
  <c r="H191" i="1" s="1"/>
  <c r="H192" i="1" s="1" a="1"/>
  <c r="H192" i="1" s="1"/>
  <c r="H193" i="1" s="1" a="1"/>
  <c r="H193" i="1" s="1"/>
  <c r="H194" i="1" s="1" a="1"/>
  <c r="H194" i="1" s="1"/>
  <c r="H195" i="1" s="1" a="1"/>
  <c r="H195" i="1" s="1"/>
  <c r="H196" i="1" s="1" a="1"/>
  <c r="H196" i="1" s="1"/>
  <c r="H197" i="1" s="1" a="1"/>
  <c r="H197" i="1" s="1"/>
  <c r="H198" i="1" s="1" a="1"/>
  <c r="H198" i="1" s="1"/>
  <c r="H199" i="1" s="1" a="1"/>
  <c r="H199" i="1" s="1"/>
  <c r="H200" i="1" s="1" a="1"/>
  <c r="H200" i="1" s="1"/>
  <c r="H201" i="1" s="1" a="1"/>
  <c r="H201" i="1" s="1"/>
  <c r="H202" i="1" s="1" a="1"/>
  <c r="H202" i="1" s="1"/>
  <c r="H203" i="1" s="1" a="1"/>
  <c r="H203" i="1" s="1"/>
  <c r="H204" i="1" s="1" a="1"/>
  <c r="H204" i="1" s="1"/>
  <c r="H205" i="1" s="1" a="1"/>
  <c r="H205" i="1" s="1"/>
  <c r="H206" i="1" s="1" a="1"/>
  <c r="H206" i="1" s="1"/>
  <c r="H207" i="1" s="1" a="1"/>
  <c r="H207" i="1" s="1"/>
  <c r="H208" i="1" s="1" a="1"/>
  <c r="H208" i="1" s="1"/>
  <c r="H209" i="1" s="1" a="1"/>
  <c r="H209" i="1" s="1"/>
  <c r="H210" i="1" s="1" a="1"/>
  <c r="H210" i="1" s="1"/>
  <c r="H211" i="1" s="1" a="1"/>
  <c r="H211" i="1" s="1"/>
  <c r="H212" i="1" s="1" a="1"/>
  <c r="H212" i="1" s="1"/>
  <c r="H213" i="1" s="1" a="1"/>
  <c r="H213" i="1" s="1"/>
  <c r="H214" i="1" s="1" a="1"/>
  <c r="H214" i="1" s="1"/>
  <c r="H215" i="1" s="1" a="1"/>
  <c r="H215" i="1" s="1"/>
  <c r="H216" i="1" s="1" a="1"/>
  <c r="H216" i="1" s="1"/>
  <c r="H217" i="1" s="1" a="1"/>
  <c r="H217" i="1" s="1"/>
  <c r="H218" i="1" s="1" a="1"/>
  <c r="H218" i="1" s="1"/>
  <c r="H219" i="1" s="1" a="1"/>
  <c r="H219" i="1" s="1"/>
  <c r="H220" i="1" s="1" a="1"/>
  <c r="H220" i="1" s="1"/>
  <c r="H221" i="1" s="1" a="1"/>
  <c r="H221" i="1" s="1"/>
  <c r="H222" i="1" s="1" a="1"/>
  <c r="H222" i="1" s="1"/>
  <c r="H223" i="1" s="1" a="1"/>
  <c r="H223" i="1" s="1"/>
  <c r="H224" i="1" s="1" a="1"/>
  <c r="H224" i="1" s="1"/>
  <c r="H225" i="1" s="1" a="1"/>
  <c r="H225" i="1" s="1"/>
  <c r="H226" i="1" s="1" a="1"/>
  <c r="H226" i="1" s="1"/>
  <c r="H227" i="1" s="1" a="1"/>
  <c r="H227" i="1" s="1"/>
  <c r="H228" i="1" s="1" a="1"/>
  <c r="H228" i="1" s="1"/>
  <c r="H229" i="1" s="1" a="1"/>
  <c r="H229" i="1" s="1"/>
  <c r="H230" i="1" s="1" a="1"/>
  <c r="H230" i="1" s="1"/>
  <c r="H231" i="1" s="1" a="1"/>
  <c r="H231" i="1" s="1"/>
  <c r="H232" i="1" s="1" a="1"/>
  <c r="H232" i="1" s="1"/>
  <c r="H233" i="1" s="1" a="1"/>
  <c r="H233" i="1" s="1"/>
  <c r="H234" i="1" s="1" a="1"/>
  <c r="H234" i="1" s="1"/>
  <c r="H235" i="1" s="1" a="1"/>
  <c r="H235" i="1" s="1"/>
  <c r="H236" i="1" s="1" a="1"/>
  <c r="H236" i="1" s="1"/>
  <c r="H237" i="1" s="1" a="1"/>
  <c r="H237" i="1" s="1"/>
  <c r="H238" i="1" s="1" a="1"/>
  <c r="H238" i="1" s="1"/>
  <c r="H239" i="1" s="1" a="1"/>
  <c r="H239" i="1" s="1"/>
  <c r="H240" i="1" s="1" a="1"/>
  <c r="H240" i="1" s="1"/>
  <c r="H241" i="1" s="1" a="1"/>
  <c r="H241" i="1" s="1"/>
  <c r="H242" i="1" s="1" a="1"/>
  <c r="H242" i="1" s="1"/>
  <c r="H243" i="1" s="1" a="1"/>
  <c r="H243" i="1" s="1"/>
  <c r="H244" i="1" s="1" a="1"/>
  <c r="H244" i="1" s="1"/>
  <c r="H245" i="1" s="1" a="1"/>
  <c r="H245" i="1" s="1"/>
  <c r="H246" i="1" s="1" a="1"/>
  <c r="H246" i="1" s="1"/>
  <c r="H247" i="1" s="1" a="1"/>
  <c r="H247" i="1" s="1"/>
  <c r="H248" i="1" s="1" a="1"/>
  <c r="H248" i="1" s="1"/>
  <c r="H249" i="1" s="1" a="1"/>
  <c r="H249" i="1" s="1"/>
  <c r="H250" i="1" s="1" a="1"/>
  <c r="H250" i="1" s="1"/>
  <c r="H251" i="1" s="1" a="1"/>
  <c r="H251" i="1" s="1"/>
  <c r="H252" i="1" s="1" a="1"/>
  <c r="H252" i="1" s="1"/>
  <c r="H253" i="1" s="1" a="1"/>
  <c r="H253" i="1" s="1"/>
  <c r="H254" i="1" s="1" a="1"/>
  <c r="H254" i="1" s="1"/>
  <c r="H255" i="1" s="1" a="1"/>
  <c r="H255" i="1" s="1"/>
  <c r="H256" i="1" s="1" a="1"/>
  <c r="H256" i="1" s="1"/>
  <c r="H257" i="1" s="1" a="1"/>
  <c r="H257" i="1" s="1"/>
  <c r="H258" i="1" s="1" a="1"/>
  <c r="H258" i="1" s="1"/>
  <c r="H259" i="1" s="1" a="1"/>
  <c r="H259" i="1" s="1"/>
  <c r="H260" i="1" s="1" a="1"/>
  <c r="H260" i="1" s="1"/>
  <c r="H261" i="1" s="1" a="1"/>
  <c r="H261" i="1" s="1"/>
  <c r="H262" i="1" s="1" a="1"/>
  <c r="H262" i="1" s="1"/>
  <c r="H263" i="1" s="1" a="1"/>
  <c r="H263" i="1" s="1"/>
  <c r="H264" i="1" s="1" a="1"/>
  <c r="H264" i="1" s="1"/>
  <c r="H265" i="1" s="1" a="1"/>
  <c r="H265" i="1" s="1"/>
  <c r="H266" i="1" s="1" a="1"/>
  <c r="H266" i="1" s="1"/>
  <c r="H267" i="1" s="1" a="1"/>
  <c r="H267" i="1" s="1"/>
  <c r="H268" i="1" s="1" a="1"/>
  <c r="H268" i="1" s="1"/>
  <c r="H269" i="1" s="1" a="1"/>
  <c r="H269" i="1" s="1"/>
  <c r="H270" i="1" s="1" a="1"/>
  <c r="H270" i="1" s="1"/>
  <c r="H271" i="1" s="1" a="1"/>
  <c r="H271" i="1" s="1"/>
  <c r="H272" i="1" s="1" a="1"/>
  <c r="H272" i="1" s="1"/>
  <c r="H273" i="1" s="1" a="1"/>
  <c r="H273" i="1" s="1"/>
  <c r="H274" i="1" s="1" a="1"/>
  <c r="H274" i="1" s="1"/>
  <c r="H275" i="1" s="1" a="1"/>
  <c r="H275" i="1" s="1"/>
  <c r="H276" i="1" s="1" a="1"/>
  <c r="H276" i="1" s="1"/>
  <c r="H277" i="1" s="1" a="1"/>
  <c r="H277" i="1" s="1"/>
  <c r="H278" i="1" s="1" a="1"/>
  <c r="H278" i="1" s="1"/>
  <c r="H279" i="1" s="1" a="1"/>
  <c r="H279" i="1" s="1"/>
  <c r="H280" i="1" s="1" a="1"/>
  <c r="H280" i="1" s="1"/>
  <c r="H281" i="1" s="1" a="1"/>
  <c r="H281" i="1" s="1"/>
  <c r="H282" i="1" s="1" a="1"/>
  <c r="H282" i="1" s="1"/>
  <c r="H283" i="1" s="1" a="1"/>
  <c r="H283" i="1" s="1"/>
  <c r="H284" i="1" s="1" a="1"/>
  <c r="H284" i="1" s="1"/>
  <c r="H285" i="1" s="1" a="1"/>
  <c r="H285" i="1" s="1"/>
  <c r="H286" i="1" s="1" a="1"/>
  <c r="H286" i="1" s="1"/>
  <c r="H287" i="1" s="1" a="1"/>
  <c r="H287" i="1" s="1"/>
  <c r="H288" i="1" s="1" a="1"/>
  <c r="H288" i="1" s="1"/>
  <c r="H289" i="1" s="1" a="1"/>
  <c r="H289" i="1" s="1"/>
  <c r="H290" i="1" s="1" a="1"/>
  <c r="H290" i="1" s="1"/>
  <c r="H291" i="1" s="1" a="1"/>
  <c r="H291" i="1" s="1"/>
  <c r="H292" i="1" s="1" a="1"/>
  <c r="H292" i="1" s="1"/>
  <c r="H293" i="1" s="1" a="1"/>
  <c r="H293" i="1" s="1"/>
  <c r="H294" i="1" s="1" a="1"/>
  <c r="H294" i="1" s="1"/>
  <c r="H295" i="1" s="1" a="1"/>
  <c r="H295" i="1" s="1"/>
  <c r="H296" i="1" s="1" a="1"/>
  <c r="H296" i="1" s="1"/>
  <c r="H297" i="1" s="1" a="1"/>
  <c r="H297" i="1" s="1"/>
  <c r="H298" i="1" s="1" a="1"/>
  <c r="H298" i="1" s="1"/>
  <c r="H299" i="1" s="1" a="1"/>
  <c r="H299" i="1" s="1"/>
  <c r="H300" i="1" s="1" a="1"/>
  <c r="H300" i="1" s="1"/>
  <c r="H301" i="1" s="1" a="1"/>
  <c r="H301" i="1" s="1"/>
  <c r="H302" i="1" s="1" a="1"/>
  <c r="H302" i="1" s="1"/>
  <c r="H303" i="1" s="1" a="1"/>
  <c r="H303" i="1" s="1"/>
  <c r="H304" i="1" s="1" a="1"/>
  <c r="H304" i="1" s="1"/>
  <c r="H305" i="1" s="1" a="1"/>
  <c r="H305" i="1" s="1"/>
  <c r="H306" i="1" s="1" a="1"/>
  <c r="H306" i="1" s="1"/>
  <c r="H307" i="1" s="1" a="1"/>
  <c r="H307" i="1" s="1"/>
  <c r="H308" i="1" s="1" a="1"/>
  <c r="H308" i="1" s="1"/>
  <c r="H309" i="1" s="1" a="1"/>
  <c r="H309" i="1" s="1"/>
  <c r="H310" i="1" s="1" a="1"/>
  <c r="H310" i="1" s="1"/>
  <c r="H311" i="1" s="1" a="1"/>
  <c r="H311" i="1" s="1"/>
  <c r="H312" i="1" s="1" a="1"/>
  <c r="H312" i="1" s="1"/>
  <c r="H313" i="1" s="1" a="1"/>
  <c r="H313" i="1" s="1"/>
  <c r="H314" i="1" s="1" a="1"/>
  <c r="H314" i="1" s="1"/>
  <c r="H315" i="1" s="1" a="1"/>
  <c r="H315" i="1" s="1"/>
  <c r="H316" i="1" s="1" a="1"/>
  <c r="H316" i="1" s="1"/>
  <c r="H317" i="1" s="1" a="1"/>
  <c r="H317" i="1" s="1"/>
  <c r="H318" i="1" s="1" a="1"/>
  <c r="H318" i="1" s="1"/>
  <c r="H319" i="1" s="1" a="1"/>
  <c r="H319" i="1" s="1"/>
  <c r="H320" i="1" s="1" a="1"/>
  <c r="H320" i="1" s="1"/>
  <c r="H321" i="1" s="1" a="1"/>
  <c r="H321" i="1" s="1"/>
  <c r="H322" i="1" s="1" a="1"/>
  <c r="H322" i="1" s="1"/>
  <c r="H323" i="1" s="1" a="1"/>
  <c r="H323" i="1" s="1"/>
  <c r="H324" i="1" s="1" a="1"/>
  <c r="H324" i="1" s="1"/>
  <c r="H325" i="1" s="1" a="1"/>
  <c r="H325" i="1" s="1"/>
  <c r="H326" i="1" s="1" a="1"/>
  <c r="H326" i="1" s="1"/>
  <c r="H327" i="1" s="1" a="1"/>
  <c r="H327" i="1" s="1"/>
  <c r="H328" i="1" s="1" a="1"/>
  <c r="H328" i="1" s="1"/>
  <c r="H329" i="1" s="1" a="1"/>
  <c r="H329" i="1" s="1"/>
  <c r="H330" i="1" s="1" a="1"/>
  <c r="H330" i="1" s="1"/>
  <c r="H331" i="1" s="1" a="1"/>
  <c r="H331" i="1" s="1"/>
  <c r="H332" i="1" s="1" a="1"/>
  <c r="H332" i="1" s="1"/>
  <c r="H333" i="1" s="1" a="1"/>
  <c r="H333" i="1" s="1"/>
  <c r="H334" i="1" s="1" a="1"/>
  <c r="H334" i="1" s="1"/>
  <c r="H335" i="1" s="1" a="1"/>
  <c r="H335" i="1" s="1"/>
  <c r="H336" i="1" s="1" a="1"/>
  <c r="H336" i="1" s="1"/>
  <c r="H337" i="1" s="1" a="1"/>
  <c r="H337" i="1" s="1"/>
  <c r="H338" i="1" s="1" a="1"/>
  <c r="H338" i="1" s="1"/>
  <c r="H339" i="1" s="1" a="1"/>
  <c r="H339" i="1" s="1"/>
  <c r="H340" i="1" s="1" a="1"/>
  <c r="H340" i="1" s="1"/>
  <c r="H341" i="1" s="1" a="1"/>
  <c r="H341" i="1" s="1"/>
  <c r="H342" i="1" s="1" a="1"/>
  <c r="H342" i="1" s="1"/>
  <c r="H343" i="1" s="1" a="1"/>
  <c r="H343" i="1" s="1"/>
  <c r="H344" i="1" s="1" a="1"/>
  <c r="H344" i="1" s="1"/>
  <c r="H345" i="1" s="1" a="1"/>
  <c r="H345" i="1" s="1"/>
  <c r="H346" i="1" s="1" a="1"/>
  <c r="H346" i="1" s="1"/>
  <c r="H347" i="1" s="1" a="1"/>
  <c r="H347" i="1" s="1"/>
  <c r="H348" i="1" s="1" a="1"/>
  <c r="H348" i="1" s="1"/>
  <c r="H349" i="1" s="1" a="1"/>
  <c r="H349" i="1" s="1"/>
  <c r="H350" i="1" s="1" a="1"/>
  <c r="H350" i="1" s="1"/>
  <c r="H351" i="1" s="1" a="1"/>
  <c r="H351" i="1" s="1"/>
  <c r="H352" i="1" s="1" a="1"/>
  <c r="H352" i="1" s="1"/>
  <c r="H353" i="1" s="1" a="1"/>
  <c r="H353" i="1" s="1"/>
  <c r="H354" i="1" s="1" a="1"/>
  <c r="H354" i="1" s="1"/>
  <c r="H355" i="1" s="1" a="1"/>
  <c r="H355" i="1" s="1"/>
  <c r="H356" i="1" s="1" a="1"/>
  <c r="H356" i="1" s="1"/>
  <c r="H357" i="1" s="1" a="1"/>
  <c r="H357" i="1" s="1"/>
  <c r="H358" i="1" s="1" a="1"/>
  <c r="H358" i="1" s="1"/>
  <c r="H359" i="1" s="1" a="1"/>
  <c r="H359" i="1" s="1"/>
  <c r="H360" i="1" s="1" a="1"/>
  <c r="H360" i="1" s="1"/>
  <c r="H361" i="1" s="1" a="1"/>
  <c r="H361" i="1" s="1"/>
  <c r="H362" i="1" s="1" a="1"/>
  <c r="H362" i="1" s="1"/>
  <c r="H363" i="1" s="1" a="1"/>
  <c r="H363" i="1" s="1"/>
  <c r="H364" i="1" s="1" a="1"/>
  <c r="H364" i="1" s="1"/>
  <c r="H365" i="1" s="1" a="1"/>
  <c r="H365" i="1" s="1"/>
  <c r="H366" i="1" s="1" a="1"/>
  <c r="H366" i="1" s="1"/>
  <c r="H367" i="1" s="1" a="1"/>
  <c r="H367" i="1" s="1"/>
  <c r="H368" i="1" s="1" a="1"/>
  <c r="H368" i="1" s="1"/>
  <c r="H369" i="1" s="1" a="1"/>
  <c r="H369" i="1" s="1"/>
  <c r="H370" i="1" s="1" a="1"/>
  <c r="H370" i="1" s="1"/>
  <c r="H371" i="1" s="1" a="1"/>
  <c r="H371" i="1" s="1"/>
  <c r="H372" i="1" s="1" a="1"/>
  <c r="H372" i="1" s="1"/>
  <c r="H373" i="1" s="1" a="1"/>
  <c r="H373" i="1" s="1"/>
  <c r="H374" i="1" s="1" a="1"/>
  <c r="H374" i="1" s="1"/>
  <c r="H375" i="1" s="1" a="1"/>
  <c r="H375" i="1" s="1"/>
  <c r="H376" i="1" s="1" a="1"/>
  <c r="H376" i="1" s="1"/>
  <c r="H377" i="1" s="1" a="1"/>
  <c r="H377" i="1" s="1"/>
  <c r="H378" i="1" s="1" a="1"/>
  <c r="H378" i="1" s="1"/>
  <c r="H379" i="1" s="1" a="1"/>
  <c r="H379" i="1" s="1"/>
  <c r="H380" i="1" s="1" a="1"/>
  <c r="H380" i="1" s="1"/>
  <c r="H381" i="1" s="1" a="1"/>
  <c r="H381" i="1" s="1"/>
  <c r="H382" i="1" s="1" a="1"/>
  <c r="H382" i="1" s="1"/>
  <c r="H383" i="1" s="1" a="1"/>
  <c r="H383" i="1" s="1"/>
  <c r="H384" i="1" s="1" a="1"/>
  <c r="H384" i="1" s="1"/>
  <c r="H385" i="1" s="1" a="1"/>
  <c r="H385" i="1" s="1"/>
  <c r="H386" i="1" s="1" a="1"/>
  <c r="H386" i="1" s="1"/>
  <c r="H387" i="1" s="1" a="1"/>
  <c r="H387" i="1" s="1"/>
  <c r="H388" i="1" s="1" a="1"/>
  <c r="H388" i="1" s="1"/>
  <c r="H389" i="1" s="1" a="1"/>
  <c r="H389" i="1" s="1"/>
  <c r="H390" i="1" s="1" a="1"/>
  <c r="H390" i="1" s="1"/>
  <c r="H391" i="1" s="1" a="1"/>
  <c r="H391" i="1" s="1"/>
  <c r="H392" i="1" s="1" a="1"/>
  <c r="H392" i="1" s="1"/>
  <c r="H393" i="1" s="1" a="1"/>
  <c r="H393" i="1" s="1"/>
  <c r="H394" i="1" s="1" a="1"/>
  <c r="H394" i="1" s="1"/>
  <c r="H395" i="1" s="1" a="1"/>
  <c r="H395" i="1" s="1"/>
  <c r="H396" i="1" s="1" a="1"/>
  <c r="H396" i="1" s="1"/>
  <c r="H397" i="1" s="1" a="1"/>
  <c r="H397" i="1" s="1"/>
  <c r="H398" i="1" s="1" a="1"/>
  <c r="H398" i="1" s="1"/>
  <c r="H399" i="1" s="1" a="1"/>
  <c r="H399" i="1" s="1"/>
  <c r="H400" i="1" s="1" a="1"/>
  <c r="H400" i="1" s="1"/>
  <c r="H401" i="1" s="1" a="1"/>
  <c r="H401" i="1" s="1"/>
  <c r="H402" i="1" s="1" a="1"/>
  <c r="H402" i="1" s="1"/>
  <c r="H403" i="1" s="1" a="1"/>
  <c r="H403" i="1" s="1"/>
  <c r="H404" i="1" s="1" a="1"/>
  <c r="H404" i="1" s="1"/>
  <c r="H405" i="1" s="1" a="1"/>
  <c r="H405" i="1" s="1"/>
  <c r="H406" i="1" s="1" a="1"/>
  <c r="H406" i="1" s="1"/>
  <c r="H407" i="1" s="1" a="1"/>
  <c r="H407" i="1" s="1"/>
  <c r="H408" i="1" s="1" a="1"/>
  <c r="H408" i="1" s="1"/>
  <c r="H409" i="1" s="1" a="1"/>
  <c r="H409" i="1" s="1"/>
  <c r="H410" i="1" s="1" a="1"/>
  <c r="H410" i="1" s="1"/>
  <c r="H411" i="1" s="1" a="1"/>
  <c r="H411" i="1" s="1"/>
  <c r="H412" i="1" s="1" a="1"/>
  <c r="H412" i="1" s="1"/>
  <c r="H413" i="1" s="1" a="1"/>
  <c r="H413" i="1" s="1"/>
  <c r="H414" i="1" s="1" a="1"/>
  <c r="H414" i="1" s="1"/>
  <c r="H415" i="1" s="1" a="1"/>
  <c r="H415" i="1" s="1"/>
  <c r="H416" i="1" s="1" a="1"/>
  <c r="H416" i="1" s="1"/>
  <c r="H417" i="1" s="1" a="1"/>
  <c r="H417" i="1" s="1"/>
  <c r="H418" i="1" s="1" a="1"/>
  <c r="H418" i="1" s="1"/>
  <c r="H419" i="1" s="1" a="1"/>
  <c r="H419" i="1" s="1"/>
  <c r="H420" i="1" s="1" a="1"/>
  <c r="H420" i="1" s="1"/>
  <c r="H421" i="1" s="1" a="1"/>
  <c r="H421" i="1" s="1"/>
  <c r="H422" i="1" s="1" a="1"/>
  <c r="H422" i="1" s="1"/>
  <c r="H423" i="1" s="1" a="1"/>
  <c r="H423" i="1" s="1"/>
  <c r="H424" i="1" s="1" a="1"/>
  <c r="H424" i="1" s="1"/>
  <c r="H425" i="1" s="1" a="1"/>
  <c r="H425" i="1" s="1"/>
  <c r="H426" i="1" s="1" a="1"/>
  <c r="H426" i="1" s="1"/>
  <c r="H427" i="1" s="1" a="1"/>
  <c r="H427" i="1" s="1"/>
  <c r="H428" i="1" s="1" a="1"/>
  <c r="H428" i="1" s="1"/>
  <c r="H429" i="1" s="1" a="1"/>
  <c r="H429" i="1" s="1"/>
  <c r="H430" i="1" s="1" a="1"/>
  <c r="H430" i="1" s="1"/>
  <c r="H431" i="1" s="1" a="1"/>
  <c r="H431" i="1" s="1"/>
  <c r="H432" i="1" s="1" a="1"/>
  <c r="H432" i="1" s="1"/>
  <c r="H433" i="1" s="1" a="1"/>
  <c r="H433" i="1" s="1"/>
  <c r="H434" i="1" s="1" a="1"/>
  <c r="H434" i="1" s="1"/>
  <c r="H435" i="1" s="1" a="1"/>
  <c r="H435" i="1" s="1"/>
  <c r="H436" i="1" s="1" a="1"/>
  <c r="H436" i="1" s="1"/>
  <c r="H437" i="1" s="1" a="1"/>
  <c r="H437" i="1" s="1"/>
  <c r="H438" i="1" s="1" a="1"/>
  <c r="H438" i="1" s="1"/>
  <c r="H439" i="1" s="1" a="1"/>
  <c r="H439" i="1" s="1"/>
  <c r="H440" i="1" s="1" a="1"/>
  <c r="H440" i="1" s="1"/>
  <c r="H441" i="1" s="1" a="1"/>
  <c r="H441" i="1" s="1"/>
  <c r="H442" i="1" s="1" a="1"/>
  <c r="H442" i="1" s="1"/>
  <c r="H443" i="1" s="1" a="1"/>
  <c r="H443" i="1" s="1"/>
  <c r="H444" i="1" s="1" a="1"/>
  <c r="H444" i="1" s="1"/>
  <c r="H445" i="1" s="1" a="1"/>
  <c r="H445" i="1" s="1"/>
  <c r="H446" i="1" s="1" a="1"/>
  <c r="H446" i="1" s="1"/>
  <c r="H447" i="1" s="1" a="1"/>
  <c r="H447" i="1" s="1"/>
  <c r="H448" i="1" s="1" a="1"/>
  <c r="H448" i="1" s="1"/>
  <c r="H449" i="1" s="1" a="1"/>
  <c r="H449" i="1" s="1"/>
  <c r="H450" i="1" s="1" a="1"/>
  <c r="H450" i="1" s="1"/>
  <c r="H451" i="1" s="1" a="1"/>
  <c r="H451" i="1" s="1"/>
  <c r="H452" i="1" s="1" a="1"/>
  <c r="H452" i="1" s="1"/>
  <c r="H453" i="1" s="1" a="1"/>
  <c r="H453" i="1" s="1"/>
  <c r="H454" i="1" s="1" a="1"/>
  <c r="H454" i="1" s="1"/>
  <c r="H455" i="1" s="1" a="1"/>
  <c r="H455" i="1" s="1"/>
  <c r="H456" i="1" s="1" a="1"/>
  <c r="H456" i="1" s="1"/>
  <c r="H457" i="1" s="1" a="1"/>
  <c r="H457" i="1" s="1"/>
  <c r="H458" i="1" s="1" a="1"/>
  <c r="H458" i="1" s="1"/>
  <c r="H459" i="1" s="1" a="1"/>
  <c r="H459" i="1" s="1"/>
  <c r="H460" i="1" s="1" a="1"/>
  <c r="H460" i="1" s="1"/>
  <c r="H461" i="1" s="1" a="1"/>
  <c r="H461" i="1" s="1"/>
  <c r="H462" i="1" s="1" a="1"/>
  <c r="H462" i="1" s="1"/>
  <c r="H463" i="1" s="1" a="1"/>
  <c r="H463" i="1" s="1"/>
  <c r="H464" i="1" s="1" a="1"/>
  <c r="H464" i="1" s="1"/>
  <c r="H465" i="1" s="1" a="1"/>
  <c r="H465" i="1" s="1"/>
  <c r="H466" i="1" s="1" a="1"/>
  <c r="H466" i="1" s="1"/>
  <c r="H467" i="1" s="1" a="1"/>
  <c r="H467" i="1" s="1"/>
  <c r="H468" i="1" s="1" a="1"/>
  <c r="H468" i="1" s="1"/>
  <c r="H469" i="1" s="1" a="1"/>
  <c r="H469" i="1" s="1"/>
  <c r="H470" i="1" s="1" a="1"/>
  <c r="H470" i="1" s="1"/>
  <c r="H471" i="1" s="1" a="1"/>
  <c r="H471" i="1" s="1"/>
  <c r="H472" i="1" s="1" a="1"/>
  <c r="H472" i="1" s="1"/>
  <c r="H473" i="1" s="1" a="1"/>
  <c r="H473" i="1" s="1"/>
  <c r="H474" i="1" s="1" a="1"/>
  <c r="H474" i="1" s="1"/>
  <c r="H475" i="1" s="1" a="1"/>
  <c r="H475" i="1" s="1"/>
  <c r="H476" i="1" s="1" a="1"/>
  <c r="H476" i="1" s="1"/>
  <c r="H477" i="1" s="1" a="1"/>
  <c r="H477" i="1" s="1"/>
  <c r="H478" i="1" s="1" a="1"/>
  <c r="H478" i="1" s="1"/>
  <c r="H479" i="1" s="1" a="1"/>
  <c r="H479" i="1" s="1"/>
  <c r="H480" i="1" s="1" a="1"/>
  <c r="H480" i="1" s="1"/>
  <c r="H481" i="1" s="1" a="1"/>
  <c r="H481" i="1" s="1"/>
  <c r="H482" i="1" s="1" a="1"/>
  <c r="H482" i="1" s="1"/>
  <c r="H483" i="1" s="1" a="1"/>
  <c r="H483" i="1" s="1"/>
  <c r="H484" i="1" s="1" a="1"/>
  <c r="H484" i="1" s="1"/>
  <c r="H485" i="1" s="1" a="1"/>
  <c r="H485" i="1" s="1"/>
  <c r="H486" i="1" s="1" a="1"/>
  <c r="H486" i="1" s="1"/>
  <c r="H487" i="1" s="1" a="1"/>
  <c r="H487" i="1" s="1"/>
  <c r="H488" i="1" s="1" a="1"/>
  <c r="H488" i="1" s="1"/>
  <c r="H489" i="1" s="1" a="1"/>
  <c r="H489" i="1" s="1"/>
  <c r="H490" i="1" s="1" a="1"/>
  <c r="H490" i="1" s="1"/>
  <c r="H491" i="1" s="1" a="1"/>
  <c r="H491" i="1" s="1"/>
  <c r="H492" i="1" s="1" a="1"/>
  <c r="H492" i="1" s="1"/>
  <c r="H493" i="1" s="1" a="1"/>
  <c r="H493" i="1" s="1"/>
  <c r="H494" i="1" s="1" a="1"/>
  <c r="H494" i="1" s="1"/>
  <c r="H495" i="1" s="1" a="1"/>
  <c r="H495" i="1" s="1"/>
  <c r="H496" i="1" s="1" a="1"/>
  <c r="H496" i="1" s="1"/>
  <c r="H497" i="1" s="1" a="1"/>
  <c r="H497" i="1" s="1"/>
  <c r="H498" i="1" s="1" a="1"/>
  <c r="H498" i="1" s="1"/>
  <c r="H499" i="1" s="1" a="1"/>
  <c r="H499" i="1" s="1"/>
  <c r="H500" i="1" s="1" a="1"/>
  <c r="H500" i="1" s="1"/>
  <c r="H501" i="1" s="1" a="1"/>
  <c r="H501" i="1" s="1"/>
  <c r="H502" i="1" s="1" a="1"/>
  <c r="H502" i="1" s="1"/>
  <c r="H503" i="1" s="1" a="1"/>
  <c r="H503" i="1" s="1"/>
  <c r="H504" i="1" s="1" a="1"/>
  <c r="H504" i="1" s="1"/>
  <c r="H505" i="1" s="1" a="1"/>
  <c r="H505" i="1" s="1"/>
  <c r="H506" i="1" s="1" a="1"/>
  <c r="H506" i="1" s="1"/>
  <c r="H507" i="1" s="1" a="1"/>
  <c r="H507" i="1" s="1"/>
  <c r="H508" i="1" s="1" a="1"/>
  <c r="H508" i="1" s="1"/>
  <c r="H509" i="1" s="1" a="1"/>
  <c r="H509" i="1" s="1"/>
  <c r="H510" i="1" s="1" a="1"/>
  <c r="H510" i="1" s="1"/>
  <c r="H511" i="1" s="1" a="1"/>
  <c r="H511" i="1" s="1"/>
  <c r="H512" i="1" s="1" a="1"/>
  <c r="H512" i="1" s="1"/>
  <c r="H513" i="1" s="1" a="1"/>
  <c r="H513" i="1" s="1"/>
  <c r="H514" i="1" s="1" a="1"/>
  <c r="H514" i="1" s="1"/>
  <c r="H515" i="1" s="1" a="1"/>
  <c r="H515" i="1" s="1"/>
  <c r="H516" i="1" s="1" a="1"/>
  <c r="H516" i="1" s="1"/>
  <c r="H517" i="1" s="1" a="1"/>
  <c r="H517" i="1" s="1"/>
  <c r="H518" i="1" s="1" a="1"/>
  <c r="H518" i="1" s="1"/>
  <c r="H519" i="1" s="1" a="1"/>
  <c r="H519" i="1" s="1"/>
  <c r="H520" i="1" s="1" a="1"/>
  <c r="H520" i="1" s="1"/>
  <c r="H521" i="1" s="1" a="1"/>
  <c r="H521" i="1" s="1"/>
  <c r="H522" i="1" s="1" a="1"/>
  <c r="H522" i="1" s="1"/>
  <c r="H523" i="1" s="1" a="1"/>
  <c r="H523" i="1" s="1"/>
  <c r="H524" i="1" s="1" a="1"/>
  <c r="H524" i="1" s="1"/>
  <c r="H525" i="1" s="1" a="1"/>
  <c r="H525" i="1" s="1"/>
  <c r="H526" i="1" s="1" a="1"/>
  <c r="H526" i="1" s="1"/>
  <c r="H527" i="1" s="1" a="1"/>
  <c r="H527" i="1" s="1"/>
  <c r="H528" i="1" s="1" a="1"/>
  <c r="H528" i="1" s="1"/>
  <c r="H529" i="1" s="1" a="1"/>
  <c r="H529" i="1" s="1"/>
  <c r="H530" i="1" s="1" a="1"/>
  <c r="H530" i="1" s="1"/>
  <c r="H531" i="1" s="1" a="1"/>
  <c r="H531" i="1" s="1"/>
  <c r="H532" i="1" s="1" a="1"/>
  <c r="H532" i="1" s="1"/>
  <c r="H533" i="1" s="1" a="1"/>
  <c r="H533" i="1" s="1"/>
  <c r="H534" i="1" s="1" a="1"/>
  <c r="H534" i="1" s="1"/>
  <c r="H535" i="1" s="1" a="1"/>
  <c r="H535" i="1" s="1"/>
  <c r="H536" i="1" s="1" a="1"/>
  <c r="H536" i="1" s="1"/>
  <c r="H537" i="1" s="1" a="1"/>
  <c r="H537" i="1" s="1"/>
  <c r="H538" i="1" s="1" a="1"/>
  <c r="H538" i="1" s="1"/>
  <c r="H539" i="1" s="1" a="1"/>
  <c r="H539" i="1" s="1"/>
  <c r="H540" i="1" s="1" a="1"/>
  <c r="H540" i="1" s="1"/>
  <c r="H541" i="1" s="1" a="1"/>
  <c r="H541" i="1" s="1"/>
  <c r="H542" i="1" s="1" a="1"/>
  <c r="H542" i="1" s="1"/>
  <c r="H543" i="1" s="1" a="1"/>
  <c r="H543" i="1" s="1"/>
  <c r="H544" i="1" s="1" a="1"/>
  <c r="H544" i="1" s="1"/>
  <c r="H545" i="1" s="1" a="1"/>
  <c r="H545" i="1" s="1"/>
  <c r="H546" i="1" s="1" a="1"/>
  <c r="H546" i="1" s="1"/>
  <c r="H547" i="1" s="1" a="1"/>
  <c r="H547" i="1" s="1"/>
  <c r="H548" i="1" s="1" a="1"/>
  <c r="H548" i="1" s="1"/>
  <c r="H549" i="1" s="1" a="1"/>
  <c r="H549" i="1" s="1"/>
  <c r="H550" i="1" s="1" a="1"/>
  <c r="H550" i="1" s="1"/>
  <c r="H551" i="1" s="1" a="1"/>
  <c r="H551" i="1" s="1"/>
  <c r="H552" i="1" s="1" a="1"/>
  <c r="H552" i="1" s="1"/>
  <c r="H553" i="1" s="1" a="1"/>
  <c r="H553" i="1" s="1"/>
  <c r="H554" i="1" s="1" a="1"/>
  <c r="H554" i="1" s="1"/>
  <c r="H555" i="1" s="1" a="1"/>
  <c r="H555" i="1" s="1"/>
  <c r="H556" i="1" s="1" a="1"/>
  <c r="H556" i="1" s="1"/>
  <c r="H557" i="1" s="1" a="1"/>
  <c r="H557" i="1" s="1"/>
  <c r="H558" i="1" s="1" a="1"/>
  <c r="H558" i="1" s="1"/>
  <c r="H559" i="1" s="1" a="1"/>
  <c r="H559" i="1" s="1"/>
  <c r="H560" i="1" s="1" a="1"/>
  <c r="H560" i="1" s="1"/>
  <c r="H561" i="1" s="1" a="1"/>
  <c r="H561" i="1" s="1"/>
  <c r="H562" i="1" s="1" a="1"/>
  <c r="H562" i="1" s="1"/>
  <c r="H563" i="1" s="1" a="1"/>
  <c r="H563" i="1" s="1"/>
  <c r="H564" i="1" s="1" a="1"/>
  <c r="H564" i="1" s="1"/>
  <c r="H565" i="1" s="1" a="1"/>
  <c r="H565" i="1" s="1"/>
  <c r="H566" i="1" s="1" a="1"/>
  <c r="H566" i="1" s="1"/>
  <c r="H567" i="1" s="1" a="1"/>
  <c r="H567" i="1" s="1"/>
  <c r="H568" i="1" s="1" a="1"/>
  <c r="H568" i="1" s="1"/>
  <c r="H569" i="1" s="1" a="1"/>
  <c r="H569" i="1" s="1"/>
  <c r="H570" i="1" s="1" a="1"/>
  <c r="H570" i="1" s="1"/>
  <c r="H571" i="1" s="1" a="1"/>
  <c r="H571" i="1" s="1"/>
  <c r="H572" i="1" s="1" a="1"/>
  <c r="H572" i="1" s="1"/>
  <c r="H573" i="1" s="1" a="1"/>
  <c r="H573" i="1" s="1"/>
  <c r="H574" i="1" s="1" a="1"/>
  <c r="H574" i="1" s="1"/>
  <c r="H575" i="1" s="1" a="1"/>
  <c r="H575" i="1" s="1"/>
  <c r="H576" i="1" s="1" a="1"/>
  <c r="H576" i="1" s="1"/>
  <c r="H577" i="1" s="1" a="1"/>
  <c r="H577" i="1" s="1"/>
  <c r="H578" i="1" s="1" a="1"/>
  <c r="H578" i="1" s="1"/>
  <c r="H579" i="1" s="1" a="1"/>
  <c r="H579" i="1" s="1"/>
  <c r="H580" i="1" s="1" a="1"/>
  <c r="H580" i="1" s="1"/>
  <c r="H581" i="1" s="1" a="1"/>
  <c r="H581" i="1" s="1"/>
  <c r="H582" i="1" s="1" a="1"/>
  <c r="H582" i="1" s="1"/>
  <c r="H583" i="1" s="1" a="1"/>
  <c r="H583" i="1" s="1"/>
  <c r="H584" i="1" s="1" a="1"/>
  <c r="H584" i="1" s="1"/>
  <c r="H585" i="1" s="1" a="1"/>
  <c r="H585" i="1" s="1"/>
  <c r="H586" i="1" s="1" a="1"/>
  <c r="H586" i="1" s="1"/>
  <c r="H587" i="1" s="1" a="1"/>
  <c r="H587" i="1" s="1"/>
  <c r="H588" i="1" s="1" a="1"/>
  <c r="H588" i="1" s="1"/>
  <c r="H589" i="1" s="1" a="1"/>
  <c r="H589" i="1" s="1"/>
  <c r="H590" i="1" s="1" a="1"/>
  <c r="H590" i="1" s="1"/>
  <c r="H591" i="1" s="1" a="1"/>
  <c r="H591" i="1" s="1"/>
  <c r="H592" i="1" s="1" a="1"/>
  <c r="H592" i="1" s="1"/>
  <c r="H593" i="1" s="1" a="1"/>
  <c r="H593" i="1" s="1"/>
  <c r="H594" i="1" s="1" a="1"/>
  <c r="H594" i="1" s="1"/>
  <c r="H595" i="1" s="1" a="1"/>
  <c r="H595" i="1" s="1"/>
  <c r="H596" i="1" s="1" a="1"/>
  <c r="H596" i="1" s="1"/>
  <c r="H597" i="1" s="1" a="1"/>
  <c r="H597" i="1" s="1"/>
  <c r="H598" i="1" s="1" a="1"/>
  <c r="H598" i="1" s="1"/>
  <c r="H599" i="1" s="1" a="1"/>
  <c r="H599" i="1" s="1"/>
  <c r="H600" i="1" s="1" a="1"/>
  <c r="H600" i="1" s="1"/>
  <c r="H601" i="1" s="1" a="1"/>
  <c r="H601" i="1" s="1"/>
  <c r="H602" i="1" s="1" a="1"/>
  <c r="H602" i="1" s="1"/>
  <c r="H603" i="1" s="1" a="1"/>
  <c r="H603" i="1" s="1"/>
  <c r="H604" i="1" s="1" a="1"/>
  <c r="H604" i="1" s="1"/>
  <c r="H605" i="1" s="1" a="1"/>
  <c r="H605" i="1" s="1"/>
  <c r="H606" i="1" s="1" a="1"/>
  <c r="H606" i="1" s="1"/>
  <c r="H607" i="1" s="1" a="1"/>
  <c r="H607" i="1" s="1"/>
  <c r="H608" i="1" s="1" a="1"/>
  <c r="H608" i="1" s="1"/>
  <c r="H609" i="1" s="1" a="1"/>
  <c r="H609" i="1" s="1"/>
  <c r="H610" i="1" s="1" a="1"/>
  <c r="H610" i="1" s="1"/>
  <c r="H611" i="1" s="1" a="1"/>
  <c r="H611" i="1" s="1"/>
  <c r="H612" i="1" s="1" a="1"/>
  <c r="H612" i="1" s="1"/>
  <c r="H613" i="1" s="1" a="1"/>
  <c r="H613" i="1" s="1"/>
  <c r="H614" i="1" s="1" a="1"/>
  <c r="H614" i="1" s="1"/>
  <c r="H615" i="1" s="1" a="1"/>
  <c r="H615" i="1" s="1"/>
  <c r="H616" i="1" s="1" a="1"/>
  <c r="H616" i="1" s="1"/>
  <c r="H617" i="1" s="1" a="1"/>
  <c r="H617" i="1" s="1"/>
  <c r="H618" i="1" s="1" a="1"/>
  <c r="H618" i="1" s="1"/>
  <c r="H619" i="1" s="1" a="1"/>
  <c r="H619" i="1" s="1"/>
  <c r="H620" i="1" s="1" a="1"/>
  <c r="H620" i="1" s="1"/>
  <c r="H621" i="1" s="1" a="1"/>
  <c r="H621" i="1" s="1"/>
  <c r="H622" i="1" s="1" a="1"/>
  <c r="H622" i="1" s="1"/>
  <c r="H623" i="1" s="1" a="1"/>
  <c r="H623" i="1" s="1"/>
  <c r="H624" i="1" s="1" a="1"/>
  <c r="H624" i="1" s="1"/>
  <c r="H625" i="1" s="1" a="1"/>
  <c r="H625" i="1" s="1"/>
  <c r="H626" i="1" s="1" a="1"/>
  <c r="H626" i="1" s="1"/>
  <c r="H627" i="1" s="1" a="1"/>
  <c r="H627" i="1" s="1"/>
  <c r="H628" i="1" s="1" a="1"/>
  <c r="H628" i="1" s="1"/>
  <c r="H629" i="1" s="1" a="1"/>
  <c r="H629" i="1" s="1"/>
  <c r="H630" i="1" s="1" a="1"/>
  <c r="H630" i="1" s="1"/>
  <c r="H631" i="1" s="1" a="1"/>
  <c r="H631" i="1" s="1"/>
  <c r="H632" i="1" s="1" a="1"/>
  <c r="H632" i="1" s="1"/>
  <c r="H633" i="1" s="1" a="1"/>
  <c r="H633" i="1" s="1"/>
  <c r="H634" i="1" s="1" a="1"/>
  <c r="H634" i="1" s="1"/>
  <c r="H635" i="1" s="1" a="1"/>
  <c r="H635" i="1" s="1"/>
  <c r="H636" i="1" s="1" a="1"/>
  <c r="H636" i="1" s="1"/>
  <c r="H637" i="1" s="1" a="1"/>
  <c r="H637" i="1" s="1"/>
  <c r="H638" i="1" s="1" a="1"/>
  <c r="H638" i="1" s="1"/>
  <c r="H639" i="1" s="1" a="1"/>
  <c r="H639" i="1" s="1"/>
  <c r="H640" i="1" s="1" a="1"/>
  <c r="H640" i="1" s="1"/>
  <c r="H641" i="1" s="1" a="1"/>
  <c r="H641" i="1" s="1"/>
  <c r="H642" i="1" s="1" a="1"/>
  <c r="H642" i="1" s="1"/>
  <c r="H643" i="1" s="1" a="1"/>
  <c r="H643" i="1" s="1"/>
  <c r="H644" i="1" s="1" a="1"/>
  <c r="H644" i="1" s="1"/>
  <c r="H645" i="1" s="1" a="1"/>
  <c r="H645" i="1" s="1"/>
  <c r="H646" i="1" s="1" a="1"/>
  <c r="H646" i="1" s="1"/>
  <c r="H647" i="1" s="1" a="1"/>
  <c r="H647" i="1" s="1"/>
  <c r="H648" i="1" s="1" a="1"/>
  <c r="H648" i="1" s="1"/>
  <c r="H649" i="1" s="1" a="1"/>
  <c r="H649" i="1" s="1"/>
  <c r="H650" i="1" s="1" a="1"/>
  <c r="H650" i="1" s="1"/>
  <c r="H651" i="1" s="1" a="1"/>
  <c r="H651" i="1" s="1"/>
  <c r="H652" i="1" s="1" a="1"/>
  <c r="H652" i="1" s="1"/>
  <c r="H653" i="1" s="1" a="1"/>
  <c r="H653" i="1" s="1"/>
  <c r="H654" i="1" s="1" a="1"/>
  <c r="H654" i="1" s="1"/>
  <c r="H655" i="1" s="1" a="1"/>
  <c r="H655" i="1" s="1"/>
  <c r="H656" i="1" s="1" a="1"/>
  <c r="H656" i="1" s="1"/>
  <c r="H657" i="1" s="1" a="1"/>
  <c r="H657" i="1" s="1"/>
  <c r="H658" i="1" s="1" a="1"/>
  <c r="H658" i="1" s="1"/>
  <c r="H659" i="1" s="1" a="1"/>
  <c r="H659" i="1" s="1"/>
  <c r="H660" i="1" s="1" a="1"/>
  <c r="H660" i="1" s="1"/>
  <c r="H661" i="1" s="1" a="1"/>
  <c r="H661" i="1" s="1"/>
  <c r="H662" i="1" s="1" a="1"/>
  <c r="H662" i="1" s="1"/>
  <c r="H663" i="1" s="1" a="1"/>
  <c r="H663" i="1" s="1"/>
  <c r="H664" i="1" s="1" a="1"/>
  <c r="H664" i="1" s="1"/>
  <c r="H665" i="1" s="1" a="1"/>
  <c r="H665" i="1" s="1"/>
  <c r="H666" i="1" s="1" a="1"/>
  <c r="H666" i="1" s="1"/>
  <c r="H667" i="1" s="1" a="1"/>
  <c r="H667" i="1" s="1"/>
  <c r="H668" i="1" s="1" a="1"/>
  <c r="H668" i="1" s="1"/>
  <c r="H669" i="1" s="1" a="1"/>
  <c r="H669" i="1" s="1"/>
  <c r="H670" i="1" s="1" a="1"/>
  <c r="H670" i="1" s="1"/>
  <c r="H671" i="1" s="1" a="1"/>
  <c r="H671" i="1" s="1"/>
  <c r="H672" i="1" s="1" a="1"/>
  <c r="H672" i="1" s="1"/>
  <c r="H673" i="1" s="1" a="1"/>
  <c r="H673" i="1" s="1"/>
  <c r="H674" i="1" s="1" a="1"/>
  <c r="H674" i="1" s="1"/>
  <c r="H675" i="1" s="1" a="1"/>
  <c r="H675" i="1" s="1"/>
  <c r="H676" i="1" s="1" a="1"/>
  <c r="H676" i="1" s="1"/>
  <c r="H677" i="1" s="1" a="1"/>
  <c r="H677" i="1" s="1"/>
  <c r="H678" i="1" s="1" a="1"/>
  <c r="H678" i="1" s="1"/>
  <c r="H679" i="1" s="1" a="1"/>
  <c r="H679" i="1" s="1"/>
  <c r="H680" i="1" s="1" a="1"/>
  <c r="H680" i="1" s="1"/>
  <c r="H681" i="1" s="1" a="1"/>
  <c r="H681" i="1" s="1"/>
  <c r="H682" i="1" s="1" a="1"/>
  <c r="H682" i="1" s="1"/>
  <c r="H683" i="1" s="1" a="1"/>
  <c r="H683" i="1" s="1"/>
  <c r="H684" i="1" s="1" a="1"/>
  <c r="H684" i="1" s="1"/>
  <c r="H685" i="1" s="1" a="1"/>
  <c r="H685" i="1" s="1"/>
  <c r="H686" i="1" s="1" a="1"/>
  <c r="H686" i="1" s="1"/>
  <c r="H687" i="1" s="1" a="1"/>
  <c r="H687" i="1" s="1"/>
  <c r="H688" i="1" s="1" a="1"/>
  <c r="H688" i="1" s="1"/>
  <c r="H689" i="1" s="1" a="1"/>
  <c r="H689" i="1" s="1"/>
  <c r="H690" i="1" s="1" a="1"/>
  <c r="H690" i="1" s="1"/>
  <c r="H691" i="1" s="1" a="1"/>
  <c r="H691" i="1" s="1"/>
  <c r="H692" i="1" s="1" a="1"/>
  <c r="H692" i="1" s="1"/>
  <c r="H693" i="1" s="1" a="1"/>
  <c r="H693" i="1" s="1"/>
  <c r="H694" i="1" s="1" a="1"/>
  <c r="H694" i="1" s="1"/>
  <c r="H695" i="1" s="1" a="1"/>
  <c r="H695" i="1" s="1"/>
  <c r="H696" i="1" s="1" a="1"/>
  <c r="H696" i="1" s="1"/>
  <c r="H697" i="1" s="1" a="1"/>
  <c r="H697" i="1" s="1"/>
  <c r="H698" i="1" s="1" a="1"/>
  <c r="H698" i="1" s="1"/>
  <c r="H699" i="1" s="1" a="1"/>
  <c r="H699" i="1" s="1"/>
  <c r="H700" i="1" s="1" a="1"/>
  <c r="H700" i="1" s="1"/>
  <c r="H701" i="1" s="1" a="1"/>
  <c r="H701" i="1" s="1"/>
  <c r="H702" i="1" s="1" a="1"/>
  <c r="H702" i="1" s="1"/>
  <c r="H703" i="1" s="1" a="1"/>
  <c r="H703" i="1" s="1"/>
  <c r="H704" i="1" s="1" a="1"/>
  <c r="H704" i="1" s="1"/>
  <c r="H705" i="1" s="1" a="1"/>
  <c r="H705" i="1" s="1"/>
  <c r="H706" i="1" s="1" a="1"/>
  <c r="H706" i="1" s="1"/>
  <c r="H707" i="1" s="1" a="1"/>
  <c r="H707" i="1" s="1"/>
  <c r="H708" i="1" s="1" a="1"/>
  <c r="H708" i="1" s="1"/>
  <c r="H709" i="1" s="1" a="1"/>
  <c r="H709" i="1" s="1"/>
  <c r="H710" i="1" s="1" a="1"/>
  <c r="H710" i="1" s="1"/>
  <c r="H711" i="1" s="1" a="1"/>
  <c r="H711" i="1" s="1"/>
  <c r="H712" i="1" s="1" a="1"/>
  <c r="H712" i="1" s="1"/>
  <c r="H713" i="1" s="1" a="1"/>
  <c r="H713" i="1" s="1"/>
  <c r="H714" i="1" s="1" a="1"/>
  <c r="H714" i="1" s="1"/>
  <c r="H715" i="1" s="1" a="1"/>
  <c r="H715" i="1" s="1"/>
  <c r="H716" i="1" s="1" a="1"/>
  <c r="H716" i="1" s="1"/>
  <c r="H717" i="1" s="1" a="1"/>
  <c r="H717" i="1" s="1"/>
  <c r="H718" i="1" s="1" a="1"/>
  <c r="H718" i="1" s="1"/>
  <c r="H719" i="1" s="1" a="1"/>
  <c r="H719" i="1" s="1"/>
  <c r="H720" i="1" s="1" a="1"/>
  <c r="H720" i="1" s="1"/>
  <c r="H721" i="1" s="1" a="1"/>
  <c r="H721" i="1" s="1"/>
  <c r="H722" i="1" s="1" a="1"/>
  <c r="H722" i="1" s="1"/>
  <c r="H723" i="1" s="1" a="1"/>
  <c r="H723" i="1" s="1"/>
  <c r="H724" i="1" s="1" a="1"/>
  <c r="H724" i="1" s="1"/>
  <c r="H725" i="1" s="1" a="1"/>
  <c r="H725" i="1" s="1"/>
  <c r="H726" i="1" s="1" a="1"/>
  <c r="H726" i="1" s="1"/>
  <c r="H727" i="1" s="1" a="1"/>
  <c r="H727" i="1" s="1"/>
  <c r="H728" i="1" s="1" a="1"/>
  <c r="H728" i="1" s="1"/>
  <c r="H729" i="1" s="1" a="1"/>
  <c r="H729" i="1" s="1"/>
  <c r="H730" i="1" s="1" a="1"/>
  <c r="H730" i="1" s="1"/>
  <c r="H731" i="1" s="1" a="1"/>
  <c r="H731" i="1" s="1"/>
  <c r="H732" i="1" s="1" a="1"/>
  <c r="H732" i="1" s="1"/>
  <c r="H733" i="1" s="1" a="1"/>
  <c r="H733" i="1" s="1"/>
  <c r="H734" i="1" s="1" a="1"/>
  <c r="H734" i="1" s="1"/>
  <c r="H735" i="1" s="1" a="1"/>
  <c r="H735" i="1" s="1"/>
  <c r="H736" i="1" s="1" a="1"/>
  <c r="H736" i="1" s="1"/>
  <c r="H737" i="1" s="1" a="1"/>
  <c r="H737" i="1" s="1"/>
  <c r="H738" i="1" s="1" a="1"/>
  <c r="H738" i="1" s="1"/>
  <c r="H739" i="1" s="1" a="1"/>
  <c r="H739" i="1" s="1"/>
  <c r="H740" i="1" s="1" a="1"/>
  <c r="H740" i="1" s="1"/>
  <c r="H741" i="1" s="1" a="1"/>
  <c r="H741" i="1" s="1"/>
  <c r="H742" i="1" s="1" a="1"/>
  <c r="H742" i="1" s="1"/>
  <c r="H743" i="1" s="1" a="1"/>
  <c r="H743" i="1" s="1"/>
  <c r="H744" i="1" s="1" a="1"/>
  <c r="H744" i="1" s="1"/>
  <c r="H745" i="1" s="1" a="1"/>
  <c r="H745" i="1" s="1"/>
  <c r="H746" i="1" s="1" a="1"/>
  <c r="H746" i="1" s="1"/>
  <c r="H747" i="1" s="1" a="1"/>
  <c r="H747" i="1" s="1"/>
  <c r="H748" i="1" s="1" a="1"/>
  <c r="H748" i="1" s="1"/>
  <c r="H749" i="1" s="1" a="1"/>
  <c r="H749" i="1" s="1"/>
  <c r="H750" i="1" s="1" a="1"/>
  <c r="H750" i="1" s="1"/>
  <c r="H751" i="1" s="1" a="1"/>
  <c r="H751" i="1" s="1"/>
  <c r="H752" i="1" s="1" a="1"/>
  <c r="H752" i="1" s="1"/>
  <c r="H753" i="1" s="1" a="1"/>
  <c r="H753" i="1" s="1"/>
  <c r="H754" i="1" s="1" a="1"/>
  <c r="H754" i="1" s="1"/>
  <c r="H755" i="1" s="1" a="1"/>
  <c r="H755" i="1" s="1"/>
  <c r="H756" i="1" s="1" a="1"/>
  <c r="H756" i="1" s="1"/>
  <c r="H757" i="1" s="1" a="1"/>
  <c r="H757" i="1" s="1"/>
  <c r="H758" i="1" s="1" a="1"/>
  <c r="H758" i="1" s="1"/>
  <c r="H759" i="1" s="1" a="1"/>
  <c r="H759" i="1" s="1"/>
  <c r="H760" i="1" s="1" a="1"/>
  <c r="H760" i="1" s="1"/>
  <c r="H761" i="1" s="1" a="1"/>
  <c r="H761" i="1" s="1"/>
  <c r="H762" i="1" s="1" a="1"/>
  <c r="H762" i="1" s="1"/>
  <c r="H763" i="1" s="1" a="1"/>
  <c r="H763" i="1" s="1"/>
  <c r="H764" i="1" s="1" a="1"/>
  <c r="H764" i="1" s="1"/>
  <c r="H765" i="1" s="1" a="1"/>
  <c r="H765" i="1" s="1"/>
  <c r="H766" i="1" s="1" a="1"/>
  <c r="H766" i="1" s="1"/>
  <c r="H767" i="1" s="1" a="1"/>
  <c r="H767" i="1" s="1"/>
  <c r="H768" i="1" s="1" a="1"/>
  <c r="H768" i="1" s="1"/>
  <c r="H769" i="1" s="1" a="1"/>
  <c r="H769" i="1" s="1"/>
  <c r="H770" i="1" s="1" a="1"/>
  <c r="H770" i="1" s="1"/>
  <c r="H771" i="1" s="1" a="1"/>
  <c r="H771" i="1" s="1"/>
  <c r="H772" i="1" s="1" a="1"/>
  <c r="H772" i="1" s="1"/>
  <c r="H773" i="1" s="1" a="1"/>
  <c r="H773" i="1" s="1"/>
  <c r="H774" i="1" s="1" a="1"/>
  <c r="H774" i="1" s="1"/>
  <c r="H775" i="1" s="1" a="1"/>
  <c r="H775" i="1" s="1"/>
  <c r="H776" i="1" s="1" a="1"/>
  <c r="H776" i="1" s="1"/>
  <c r="H777" i="1" s="1" a="1"/>
  <c r="H777" i="1" s="1"/>
  <c r="H778" i="1" s="1" a="1"/>
  <c r="H778" i="1" s="1"/>
  <c r="H779" i="1" s="1" a="1"/>
  <c r="H779" i="1" s="1"/>
  <c r="H780" i="1" s="1" a="1"/>
  <c r="H780" i="1" s="1"/>
  <c r="H781" i="1" s="1" a="1"/>
  <c r="H781" i="1" s="1"/>
  <c r="H782" i="1" s="1" a="1"/>
  <c r="H782" i="1" s="1"/>
  <c r="H783" i="1" s="1" a="1"/>
  <c r="H783" i="1" s="1"/>
  <c r="H784" i="1" s="1" a="1"/>
  <c r="H784" i="1" s="1"/>
  <c r="H785" i="1" s="1" a="1"/>
  <c r="H785" i="1" s="1"/>
  <c r="H786" i="1" s="1" a="1"/>
  <c r="H786" i="1" s="1"/>
  <c r="H787" i="1" s="1" a="1"/>
  <c r="H787" i="1" s="1"/>
  <c r="H788" i="1" s="1" a="1"/>
  <c r="H788" i="1" s="1"/>
  <c r="H789" i="1" s="1" a="1"/>
  <c r="H789" i="1" s="1"/>
  <c r="H790" i="1" s="1" a="1"/>
  <c r="H790" i="1" s="1"/>
  <c r="H791" i="1" s="1" a="1"/>
  <c r="H791" i="1" s="1"/>
  <c r="H792" i="1" s="1" a="1"/>
  <c r="H792" i="1" s="1"/>
  <c r="H793" i="1" s="1" a="1"/>
  <c r="H793" i="1" s="1"/>
  <c r="H794" i="1" s="1" a="1"/>
  <c r="H794" i="1" s="1"/>
  <c r="H795" i="1" s="1" a="1"/>
  <c r="H795" i="1" s="1"/>
  <c r="H796" i="1" s="1" a="1"/>
  <c r="H796" i="1" s="1"/>
  <c r="H797" i="1" s="1" a="1"/>
  <c r="H797" i="1" s="1"/>
  <c r="H798" i="1" s="1" a="1"/>
  <c r="H798" i="1" s="1"/>
  <c r="H799" i="1" s="1" a="1"/>
  <c r="H799" i="1" s="1"/>
  <c r="H800" i="1" s="1" a="1"/>
  <c r="H800" i="1" s="1"/>
  <c r="H801" i="1" s="1" a="1"/>
  <c r="H801" i="1" s="1"/>
  <c r="H802" i="1" s="1" a="1"/>
  <c r="H802" i="1" s="1"/>
  <c r="H803" i="1" s="1" a="1"/>
  <c r="H803" i="1" s="1"/>
  <c r="H804" i="1" s="1" a="1"/>
  <c r="H804" i="1" s="1"/>
  <c r="H805" i="1" s="1" a="1"/>
  <c r="H805" i="1" s="1"/>
  <c r="H806" i="1" s="1" a="1"/>
  <c r="H806" i="1" s="1"/>
  <c r="H807" i="1" s="1" a="1"/>
  <c r="H807" i="1" s="1"/>
  <c r="H808" i="1" s="1" a="1"/>
  <c r="H808" i="1" s="1"/>
  <c r="H809" i="1" s="1" a="1"/>
  <c r="H809" i="1" s="1"/>
  <c r="H810" i="1" s="1" a="1"/>
  <c r="H810" i="1" s="1"/>
  <c r="H811" i="1" s="1" a="1"/>
  <c r="H811" i="1" s="1"/>
  <c r="H812" i="1" s="1" a="1"/>
  <c r="H812" i="1" s="1"/>
  <c r="H813" i="1" s="1" a="1"/>
  <c r="H813" i="1" s="1"/>
  <c r="H814" i="1" s="1" a="1"/>
  <c r="H814" i="1" s="1"/>
  <c r="H815" i="1" s="1" a="1"/>
  <c r="H815" i="1" s="1"/>
  <c r="H816" i="1" s="1" a="1"/>
  <c r="H816" i="1" s="1"/>
  <c r="H817" i="1" s="1" a="1"/>
  <c r="H817" i="1" s="1"/>
  <c r="H818" i="1" s="1" a="1"/>
  <c r="H818" i="1" s="1"/>
  <c r="H819" i="1" s="1" a="1"/>
  <c r="H819" i="1" s="1"/>
  <c r="H820" i="1" s="1" a="1"/>
  <c r="H820" i="1" s="1"/>
  <c r="H821" i="1" s="1" a="1"/>
  <c r="H821" i="1" s="1"/>
  <c r="H822" i="1" s="1" a="1"/>
  <c r="H822" i="1" s="1"/>
  <c r="H823" i="1" s="1" a="1"/>
  <c r="H823" i="1" s="1"/>
  <c r="H824" i="1" s="1" a="1"/>
  <c r="H824" i="1" s="1"/>
  <c r="H825" i="1" s="1" a="1"/>
  <c r="H825" i="1" s="1"/>
  <c r="H826" i="1" s="1" a="1"/>
  <c r="H826" i="1" s="1"/>
  <c r="H827" i="1" s="1" a="1"/>
  <c r="H827" i="1" s="1"/>
  <c r="H828" i="1" s="1" a="1"/>
  <c r="H828" i="1" s="1"/>
  <c r="H829" i="1" s="1" a="1"/>
  <c r="H829" i="1" s="1"/>
  <c r="H830" i="1" s="1" a="1"/>
  <c r="H830" i="1" s="1"/>
  <c r="H831" i="1" s="1" a="1"/>
  <c r="H831" i="1" s="1"/>
  <c r="H832" i="1" s="1" a="1"/>
  <c r="H832" i="1" s="1"/>
  <c r="H833" i="1" s="1" a="1"/>
  <c r="H833" i="1" s="1"/>
  <c r="H834" i="1" s="1" a="1"/>
  <c r="H834" i="1" s="1"/>
  <c r="H835" i="1" s="1" a="1"/>
  <c r="H835" i="1" s="1"/>
  <c r="H836" i="1" s="1" a="1"/>
  <c r="H836" i="1" s="1"/>
  <c r="H837" i="1" s="1" a="1"/>
  <c r="H837" i="1" s="1"/>
  <c r="H838" i="1" s="1" a="1"/>
  <c r="H838" i="1" s="1"/>
  <c r="H839" i="1" s="1" a="1"/>
  <c r="H839" i="1" s="1"/>
  <c r="H840" i="1" s="1" a="1"/>
  <c r="H840" i="1" s="1"/>
  <c r="H841" i="1" s="1" a="1"/>
  <c r="H841" i="1" s="1"/>
  <c r="H842" i="1" s="1" a="1"/>
  <c r="H842" i="1" s="1"/>
  <c r="H843" i="1" s="1" a="1"/>
  <c r="H843" i="1" s="1"/>
  <c r="H844" i="1" s="1" a="1"/>
  <c r="H844" i="1" s="1"/>
  <c r="H845" i="1" s="1" a="1"/>
  <c r="H845" i="1" s="1"/>
  <c r="H846" i="1" s="1" a="1"/>
  <c r="H846" i="1" s="1"/>
  <c r="H847" i="1" s="1" a="1"/>
  <c r="H847" i="1" s="1"/>
  <c r="H848" i="1" s="1" a="1"/>
  <c r="H848" i="1" s="1"/>
  <c r="H849" i="1" s="1" a="1"/>
  <c r="H849" i="1" s="1"/>
  <c r="H850" i="1" s="1" a="1"/>
  <c r="H850" i="1" s="1"/>
  <c r="H851" i="1" s="1" a="1"/>
  <c r="H851" i="1" s="1"/>
  <c r="H852" i="1" s="1" a="1"/>
  <c r="H852" i="1" s="1"/>
  <c r="H853" i="1" s="1" a="1"/>
  <c r="H853" i="1" s="1"/>
  <c r="H854" i="1" s="1" a="1"/>
  <c r="H854" i="1" s="1"/>
  <c r="H855" i="1" s="1" a="1"/>
  <c r="H855" i="1" s="1"/>
  <c r="H856" i="1" s="1" a="1"/>
  <c r="H856" i="1" s="1"/>
  <c r="H857" i="1" s="1" a="1"/>
  <c r="H857" i="1" s="1"/>
  <c r="H858" i="1" s="1" a="1"/>
  <c r="H858" i="1" s="1"/>
  <c r="H859" i="1" s="1" a="1"/>
  <c r="H859" i="1" s="1"/>
  <c r="H860" i="1" s="1" a="1"/>
  <c r="H860" i="1" s="1"/>
  <c r="H861" i="1" s="1" a="1"/>
  <c r="H861" i="1" s="1"/>
  <c r="H862" i="1" s="1" a="1"/>
  <c r="H862" i="1" s="1"/>
  <c r="H863" i="1" s="1" a="1"/>
  <c r="H863" i="1" s="1"/>
  <c r="H864" i="1" s="1" a="1"/>
  <c r="H864" i="1" s="1"/>
  <c r="H865" i="1" s="1" a="1"/>
  <c r="H865" i="1" s="1"/>
  <c r="H866" i="1" s="1" a="1"/>
  <c r="H866" i="1" s="1"/>
  <c r="H867" i="1" s="1" a="1"/>
  <c r="H867" i="1" s="1"/>
  <c r="H868" i="1" s="1" a="1"/>
  <c r="H868" i="1" s="1"/>
  <c r="H869" i="1" s="1" a="1"/>
  <c r="H869" i="1" s="1"/>
  <c r="H870" i="1" s="1" a="1"/>
  <c r="H870" i="1" s="1"/>
  <c r="H871" i="1" s="1" a="1"/>
  <c r="H871" i="1" s="1"/>
  <c r="H872" i="1" s="1" a="1"/>
  <c r="H872" i="1" s="1"/>
  <c r="H873" i="1" s="1" a="1"/>
  <c r="H873" i="1" s="1"/>
  <c r="H874" i="1" s="1" a="1"/>
  <c r="H874" i="1" s="1"/>
  <c r="H875" i="1" s="1" a="1"/>
  <c r="H875" i="1" s="1"/>
  <c r="H876" i="1" s="1" a="1"/>
  <c r="H876" i="1" s="1"/>
  <c r="H877" i="1" s="1" a="1"/>
  <c r="H877" i="1" s="1"/>
  <c r="H878" i="1" s="1" a="1"/>
  <c r="H878" i="1" s="1"/>
  <c r="H879" i="1" s="1" a="1"/>
  <c r="H879" i="1" s="1"/>
  <c r="H880" i="1" s="1" a="1"/>
  <c r="H880" i="1" s="1"/>
  <c r="H881" i="1" s="1" a="1"/>
  <c r="H881" i="1" s="1"/>
  <c r="H882" i="1" s="1" a="1"/>
  <c r="H882" i="1" s="1"/>
  <c r="H883" i="1" s="1" a="1"/>
  <c r="H883" i="1" s="1"/>
  <c r="H884" i="1" s="1" a="1"/>
  <c r="H884" i="1" s="1"/>
  <c r="H885" i="1" s="1" a="1"/>
  <c r="H885" i="1" s="1"/>
  <c r="H886" i="1" s="1" a="1"/>
  <c r="H886" i="1" s="1"/>
  <c r="H887" i="1" s="1" a="1"/>
  <c r="H887" i="1" s="1"/>
  <c r="H888" i="1" s="1" a="1"/>
  <c r="H888" i="1" s="1"/>
  <c r="H889" i="1" s="1" a="1"/>
  <c r="H889" i="1" s="1"/>
  <c r="H890" i="1" s="1" a="1"/>
  <c r="H890" i="1" s="1"/>
  <c r="H891" i="1" s="1" a="1"/>
  <c r="H891" i="1" s="1"/>
  <c r="H892" i="1" s="1" a="1"/>
  <c r="H892" i="1" s="1"/>
  <c r="H893" i="1" s="1" a="1"/>
  <c r="H893" i="1" s="1"/>
  <c r="H894" i="1" s="1" a="1"/>
  <c r="H894" i="1" s="1"/>
  <c r="H895" i="1" s="1" a="1"/>
  <c r="H895" i="1" s="1"/>
  <c r="H896" i="1" s="1" a="1"/>
  <c r="H896" i="1" s="1"/>
  <c r="H897" i="1" s="1" a="1"/>
  <c r="H897" i="1" s="1"/>
  <c r="H898" i="1" s="1" a="1"/>
  <c r="H898" i="1" s="1"/>
  <c r="H899" i="1" s="1" a="1"/>
  <c r="H899" i="1" s="1"/>
  <c r="H900" i="1" s="1" a="1"/>
  <c r="H900" i="1" s="1"/>
  <c r="H901" i="1" s="1" a="1"/>
  <c r="H901" i="1" s="1"/>
  <c r="H902" i="1" s="1" a="1"/>
  <c r="H902" i="1" s="1"/>
  <c r="H903" i="1" s="1" a="1"/>
  <c r="H903" i="1" s="1"/>
  <c r="H904" i="1" s="1" a="1"/>
  <c r="H904" i="1" s="1"/>
  <c r="H905" i="1" s="1" a="1"/>
  <c r="H905" i="1" s="1"/>
  <c r="H906" i="1" s="1" a="1"/>
  <c r="H906" i="1" s="1"/>
  <c r="H907" i="1" s="1" a="1"/>
  <c r="H907" i="1" s="1"/>
  <c r="H908" i="1" s="1" a="1"/>
  <c r="H908" i="1" s="1"/>
  <c r="H909" i="1" s="1" a="1"/>
  <c r="H909" i="1" s="1"/>
  <c r="H910" i="1" s="1" a="1"/>
  <c r="H910" i="1" s="1"/>
  <c r="H911" i="1" s="1" a="1"/>
  <c r="H911" i="1" s="1"/>
  <c r="H912" i="1" s="1" a="1"/>
  <c r="H912" i="1" s="1"/>
  <c r="H913" i="1" s="1" a="1"/>
  <c r="H913" i="1" s="1"/>
  <c r="H914" i="1" s="1" a="1"/>
  <c r="H914" i="1" s="1"/>
  <c r="H915" i="1" s="1" a="1"/>
  <c r="H915" i="1" s="1"/>
  <c r="H916" i="1" s="1" a="1"/>
  <c r="H916" i="1" s="1"/>
  <c r="H917" i="1" s="1" a="1"/>
  <c r="H917" i="1" s="1"/>
  <c r="H918" i="1" s="1" a="1"/>
  <c r="H918" i="1" s="1"/>
  <c r="H919" i="1" s="1" a="1"/>
  <c r="H919" i="1" s="1"/>
  <c r="H920" i="1" s="1" a="1"/>
  <c r="H920" i="1" s="1"/>
  <c r="H921" i="1" s="1" a="1"/>
  <c r="H921" i="1" s="1"/>
  <c r="H922" i="1" s="1" a="1"/>
  <c r="H922" i="1" s="1"/>
  <c r="H923" i="1" s="1" a="1"/>
  <c r="H923" i="1" s="1"/>
  <c r="H924" i="1" s="1" a="1"/>
  <c r="H924" i="1" s="1"/>
  <c r="H925" i="1" s="1" a="1"/>
  <c r="H925" i="1" s="1"/>
  <c r="H926" i="1" s="1" a="1"/>
  <c r="H926" i="1" s="1"/>
  <c r="H927" i="1" s="1" a="1"/>
  <c r="H927" i="1" s="1"/>
  <c r="H928" i="1" s="1" a="1"/>
  <c r="H928" i="1" s="1"/>
  <c r="H929" i="1" s="1" a="1"/>
  <c r="H929" i="1" s="1"/>
  <c r="H930" i="1" s="1" a="1"/>
  <c r="H930" i="1" s="1"/>
  <c r="H931" i="1" s="1" a="1"/>
  <c r="H931" i="1" s="1"/>
  <c r="H932" i="1" s="1" a="1"/>
  <c r="H932" i="1" s="1"/>
  <c r="H933" i="1" s="1" a="1"/>
  <c r="H933" i="1" s="1"/>
  <c r="H934" i="1" s="1" a="1"/>
  <c r="H934" i="1" s="1"/>
  <c r="H935" i="1" s="1" a="1"/>
  <c r="H935" i="1" s="1"/>
  <c r="H936" i="1" s="1" a="1"/>
  <c r="H936" i="1" s="1"/>
  <c r="H937" i="1" s="1" a="1"/>
  <c r="H937" i="1" s="1"/>
  <c r="H938" i="1" s="1" a="1"/>
  <c r="H938" i="1" s="1"/>
  <c r="H939" i="1" s="1" a="1"/>
  <c r="H939" i="1" s="1"/>
  <c r="H940" i="1" s="1" a="1"/>
  <c r="H940" i="1" s="1"/>
  <c r="H941" i="1" s="1" a="1"/>
  <c r="H941" i="1" s="1"/>
  <c r="H942" i="1" s="1" a="1"/>
  <c r="H942" i="1" s="1"/>
  <c r="H943" i="1" s="1" a="1"/>
  <c r="H943" i="1" s="1"/>
  <c r="H944" i="1" s="1" a="1"/>
  <c r="H944" i="1" s="1"/>
  <c r="H945" i="1" s="1" a="1"/>
  <c r="H945" i="1" s="1"/>
  <c r="H946" i="1" s="1" a="1"/>
  <c r="H946" i="1" s="1"/>
  <c r="H947" i="1" s="1" a="1"/>
  <c r="H947" i="1" s="1"/>
  <c r="H948" i="1" s="1" a="1"/>
  <c r="H948" i="1" s="1"/>
  <c r="H949" i="1" s="1" a="1"/>
  <c r="H949" i="1" s="1"/>
  <c r="H950" i="1" s="1" a="1"/>
  <c r="H950" i="1" s="1"/>
  <c r="H951" i="1" s="1" a="1"/>
  <c r="H951" i="1" s="1"/>
  <c r="H952" i="1" s="1" a="1"/>
  <c r="H952" i="1" s="1"/>
  <c r="H953" i="1" s="1" a="1"/>
  <c r="H953" i="1" s="1"/>
  <c r="H954" i="1" s="1" a="1"/>
  <c r="H954" i="1" s="1"/>
  <c r="H955" i="1" s="1" a="1"/>
  <c r="H955" i="1" s="1"/>
  <c r="H956" i="1" s="1" a="1"/>
  <c r="H956" i="1" s="1"/>
  <c r="H957" i="1" s="1" a="1"/>
  <c r="H957" i="1" s="1"/>
  <c r="H958" i="1" s="1" a="1"/>
  <c r="H958" i="1" s="1"/>
  <c r="H959" i="1" s="1" a="1"/>
  <c r="H959" i="1" s="1"/>
  <c r="H960" i="1" s="1" a="1"/>
  <c r="H960" i="1" s="1"/>
  <c r="H961" i="1" s="1" a="1"/>
  <c r="H961" i="1" s="1"/>
  <c r="H962" i="1" s="1" a="1"/>
  <c r="H962" i="1" s="1"/>
  <c r="H963" i="1" s="1" a="1"/>
  <c r="H963" i="1" s="1"/>
  <c r="H964" i="1" s="1" a="1"/>
  <c r="H964" i="1" s="1"/>
  <c r="H965" i="1" s="1" a="1"/>
  <c r="H965" i="1" s="1"/>
  <c r="H966" i="1" s="1" a="1"/>
  <c r="H966" i="1" s="1"/>
  <c r="H967" i="1" s="1" a="1"/>
  <c r="H967" i="1" s="1"/>
  <c r="H968" i="1" s="1" a="1"/>
  <c r="H968" i="1" s="1"/>
  <c r="H969" i="1" s="1" a="1"/>
  <c r="H969" i="1" s="1"/>
  <c r="H970" i="1" s="1" a="1"/>
  <c r="H970" i="1" s="1"/>
  <c r="H971" i="1" s="1" a="1"/>
  <c r="H971" i="1" s="1"/>
  <c r="H972" i="1" s="1" a="1"/>
  <c r="H972" i="1" s="1"/>
  <c r="H973" i="1" s="1" a="1"/>
  <c r="H973" i="1" s="1"/>
  <c r="H974" i="1" s="1" a="1"/>
  <c r="H974" i="1" s="1"/>
  <c r="H975" i="1" s="1" a="1"/>
  <c r="H975" i="1" s="1"/>
  <c r="H976" i="1" s="1" a="1"/>
  <c r="H976" i="1" s="1"/>
  <c r="H977" i="1" s="1" a="1"/>
  <c r="H977" i="1" s="1"/>
  <c r="H978" i="1" s="1" a="1"/>
  <c r="H978" i="1" s="1"/>
  <c r="H979" i="1" s="1" a="1"/>
  <c r="H979" i="1" s="1"/>
  <c r="H980" i="1" s="1" a="1"/>
  <c r="H980" i="1" s="1"/>
  <c r="H981" i="1" s="1" a="1"/>
  <c r="H981" i="1" s="1"/>
  <c r="H982" i="1" s="1" a="1"/>
  <c r="H982" i="1" s="1"/>
  <c r="H983" i="1" s="1" a="1"/>
  <c r="H983" i="1" s="1"/>
  <c r="H984" i="1" s="1" a="1"/>
  <c r="H984" i="1" s="1"/>
  <c r="H985" i="1" s="1" a="1"/>
  <c r="H985" i="1" s="1"/>
  <c r="H986" i="1" s="1" a="1"/>
  <c r="H986" i="1" s="1"/>
  <c r="H987" i="1" s="1" a="1"/>
  <c r="H987" i="1" s="1"/>
  <c r="H988" i="1" s="1" a="1"/>
  <c r="H988" i="1" s="1"/>
  <c r="H989" i="1" s="1" a="1"/>
  <c r="H989" i="1" s="1"/>
  <c r="H990" i="1" s="1" a="1"/>
  <c r="H990" i="1" s="1"/>
  <c r="H991" i="1" s="1" a="1"/>
  <c r="H991" i="1" s="1"/>
  <c r="H992" i="1" s="1" a="1"/>
  <c r="H992" i="1" s="1"/>
  <c r="H993" i="1" s="1" a="1"/>
  <c r="H993" i="1" s="1"/>
  <c r="H994" i="1" s="1" a="1"/>
  <c r="H994" i="1" s="1"/>
  <c r="H995" i="1" s="1" a="1"/>
  <c r="H995" i="1" s="1"/>
  <c r="H996" i="1" s="1" a="1"/>
  <c r="H996" i="1" s="1"/>
  <c r="H997" i="1" s="1" a="1"/>
  <c r="H997" i="1" s="1"/>
  <c r="H998" i="1" s="1" a="1"/>
  <c r="H998" i="1" s="1"/>
  <c r="H999" i="1" s="1" a="1"/>
  <c r="H999" i="1" s="1"/>
  <c r="H1000" i="1" s="1" a="1"/>
  <c r="H100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<sst xmlns="http://schemas.openxmlformats.org/spreadsheetml/2006/main" count="94" uniqueCount="69">
  <si>
    <t>Institution Name</t>
  </si>
  <si>
    <t>Credential ID</t>
  </si>
  <si>
    <t>Next Cursor</t>
  </si>
  <si>
    <t>Balance</t>
  </si>
  <si>
    <t>Mask</t>
  </si>
  <si>
    <t>Name</t>
  </si>
  <si>
    <t>Plaid Account ID</t>
  </si>
  <si>
    <t>Subtype</t>
  </si>
  <si>
    <t>Type</t>
  </si>
  <si>
    <t>Account ID</t>
  </si>
  <si>
    <t>Action</t>
  </si>
  <si>
    <t>Amount</t>
  </si>
  <si>
    <t>Categories</t>
  </si>
  <si>
    <t>ISO Currency Code</t>
  </si>
  <si>
    <t>Merchant Name</t>
  </si>
  <si>
    <t>Payment Channel</t>
  </si>
  <si>
    <t>Pending</t>
  </si>
  <si>
    <t>Transaction ID</t>
  </si>
  <si>
    <t>Account Name</t>
  </si>
  <si>
    <t>Bank</t>
  </si>
  <si>
    <t>Custom Category</t>
  </si>
  <si>
    <t>Operation</t>
  </si>
  <si>
    <t>Datetime</t>
  </si>
  <si>
    <t>Custom Categories</t>
  </si>
  <si>
    <t>Month's Total</t>
  </si>
  <si>
    <t>Month</t>
  </si>
  <si>
    <t>Recent</t>
  </si>
  <si>
    <t>Budget</t>
  </si>
  <si>
    <t>Spending Report</t>
  </si>
  <si>
    <t>Budgets</t>
  </si>
  <si>
    <t>Frequency</t>
  </si>
  <si>
    <t>Weekly</t>
  </si>
  <si>
    <t>Daily</t>
  </si>
  <si>
    <t>Bi-Weekly</t>
  </si>
  <si>
    <t>Monthly</t>
  </si>
  <si>
    <t>Quartery</t>
  </si>
  <si>
    <t>Bi-Yearly</t>
  </si>
  <si>
    <t>Yearly</t>
  </si>
  <si>
    <t>Factor</t>
  </si>
  <si>
    <t>6M AVG</t>
  </si>
  <si>
    <t>6M Average</t>
  </si>
  <si>
    <t xml:space="preserve"> Budget</t>
  </si>
  <si>
    <t>Sel Month</t>
  </si>
  <si>
    <t>Montly Spending</t>
  </si>
  <si>
    <t>Total</t>
  </si>
  <si>
    <t>(blank)</t>
  </si>
  <si>
    <t>Column</t>
  </si>
  <si>
    <t>Formula</t>
  </si>
  <si>
    <t>XLOOKUP([@[Account ID]],Accounts[Plaid Account ID],Accounts[Name],"Not Found",0)</t>
  </si>
  <si>
    <t>XLOOKUP([@[Account ID]],Accounts[Plaid Account ID],Accounts[Institution Name],"Not Found",0)</t>
  </si>
  <si>
    <t>IF([@Amount]&lt;0,"credit","debit")</t>
  </si>
  <si>
    <t>IF(
    ISNUMBER(MATCH([@Categories], FILTER(Custom_Cat[Name], LEN(Custom_Cat[Name]) &gt;= 3), 0)),
    INDEX(Custom_Cat[Custom Category], MATCH([@Categories], FILTER(Custom_Cat[Name], LEN(Custom_Cat[Name]) &gt;= 3), 0)),
    IFERROR(
        INDEX(
            Custom_Cat[Custom Category],
            MATCH(
                1,
                (ISNUMBER(SEARCH(LOWER(Custom_Cat[Name]), LOWER([@Name]))))
                * (LEN(Custom_Cat[Name]) &gt;= 3)
                * (
                    (IF(LEFT(Custom_Cat[Amount],1)="&lt;",[@Amount]&lt;VALUE(MID(Custom_Cat[Amount], 2, LEN(Custom_Cat[Amount])-1)),TRUE))
                    * (IF(LEFT(Custom_Cat[Amount],1)="&gt;",[@Amount]&gt;VALUE(MID(Custom_Cat[Amount], 2, LEN(Custom_Cat[Amount])-1)),TRUE))
                ),
                0
            )
        ),
        [@Categories]
    )
)</t>
  </si>
  <si>
    <t>DATE(YEAR([@Datetime]),MONTH([@Datetime]),1)</t>
  </si>
  <si>
    <t>AND([@Datetime]&gt;=EDATE(MAX([Datetime]),-6),[@Datetime]&lt;=TODAY())</t>
  </si>
  <si>
    <t>AVERAGEIFS([Month''s Total],[Recent],TRUE,[Custom Category],[@[Custom Category]])</t>
  </si>
  <si>
    <t>SUMIFS([Amount],[Month],[@Month],[Custom Category],[@[Custom Category]])</t>
  </si>
  <si>
    <t>IF(COUNTIF(Budgets[Custom Category],[@[Custom Category]])=0,[@[6M AVG]],XLOOKUP([@[Custom Category]],Budgets[Custom Category],Budgets[Monthly],0,0))</t>
  </si>
  <si>
    <t>IF([@Month]=Sel_Month,[@Amount],0)</t>
  </si>
  <si>
    <t>Sel_Month</t>
  </si>
  <si>
    <t>Dashboard!$D$2</t>
  </si>
  <si>
    <t>Unique_Months</t>
  </si>
  <si>
    <t>OFFSET(Conf!$D$1, 0, 0, COUNTA(Conf!$D:$D), 1)</t>
  </si>
  <si>
    <t>Spent</t>
  </si>
  <si>
    <t>Balances</t>
  </si>
  <si>
    <t>Grand Total</t>
  </si>
  <si>
    <t>Number</t>
  </si>
  <si>
    <t xml:space="preserve">Balance </t>
  </si>
  <si>
    <t>Account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</si>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</sst>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&quot;$&quot;#,##0"/>
    <numFmt numFmtId="165" formatCode="_-&quot;$&quot;* #,##0_-;\-&quot;$&quot;* #,##0_-;_-&quot;$&quot;* &quot;-&quot;??_-;_-@_-"/>
    <numFmt numFmtId="166" formatCode="yyyy\ mmmm"/>
    <numFmt numFmtId="167" formatCode="yyyy\ /\ mmm"/>
    <numFmt numFmtId="168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499984740745262"/>
        <bgColor theme="7" tint="-0.499984740745262"/>
      </patternFill>
    </fill>
    <fill>
      <patternFill patternType="solid">
        <fgColor theme="7" tint="0.79998168889431442"/>
        <bgColor theme="7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7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18" fillId="0" borderId="0" xfId="0" applyFont="1"/>
    <xf numFmtId="164" fontId="0" fillId="0" borderId="0" xfId="0" applyNumberFormat="1"/>
    <xf numFmtId="165" fontId="0" fillId="0" borderId="0" xfId="42" applyNumberFormat="1" applyFont="1"/>
    <xf numFmtId="165" fontId="0" fillId="0" borderId="0" xfId="0" applyNumberFormat="1"/>
    <xf numFmtId="0" fontId="0" fillId="0" borderId="0" xfId="0" applyAlignment="1">
      <alignment horizontal="center" wrapText="1"/>
    </xf>
    <xf numFmtId="0" fontId="13" fillId="33" borderId="10" xfId="0" applyFont="1" applyFill="1" applyBorder="1" applyAlignment="1">
      <alignment horizontal="center" wrapText="1"/>
    </xf>
    <xf numFmtId="166" fontId="16" fillId="34" borderId="11" xfId="0" applyNumberFormat="1" applyFont="1" applyFill="1" applyBorder="1"/>
    <xf numFmtId="164" fontId="16" fillId="0" borderId="0" xfId="42" applyNumberFormat="1" applyFont="1"/>
    <xf numFmtId="9" fontId="0" fillId="0" borderId="0" xfId="43" applyFont="1"/>
    <xf numFmtId="0" fontId="0" fillId="0" borderId="0" xfId="0" applyAlignment="1">
      <alignment horizontal="left" indent="1"/>
    </xf>
    <xf numFmtId="0" fontId="0" fillId="0" borderId="0" xfId="0" quotePrefix="1"/>
    <xf numFmtId="14" fontId="0" fillId="0" borderId="0" xfId="0" quotePrefix="1" applyNumberFormat="1"/>
    <xf numFmtId="165" fontId="0" fillId="0" borderId="0" xfId="42" quotePrefix="1" applyNumberFormat="1" applyFont="1" applyAlignment="1"/>
    <xf numFmtId="167" fontId="0" fillId="0" borderId="0" xfId="0" applyNumberFormat="1"/>
    <xf numFmtId="0" fontId="0" fillId="0" borderId="0" xfId="0" applyAlignment="1">
      <alignment horizontal="left" indent="2"/>
    </xf>
    <xf numFmtId="168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ill>
        <patternFill>
          <bgColor theme="7" tint="0.79998168889431442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i val="0"/>
        <color theme="0"/>
      </font>
      <fill>
        <patternFill>
          <bgColor theme="4" tint="-0.24994659260841701"/>
        </patternFill>
      </fill>
    </dxf>
    <dxf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65" formatCode="_-&quot;$&quot;* #,##0_-;\-&quot;$&quot;* #,##0_-;_-&quot;$&quot;* &quot;-&quot;??_-;_-@_-"/>
    </dxf>
    <dxf>
      <numFmt numFmtId="165" formatCode="_-&quot;$&quot;* #,##0_-;\-&quot;$&quot;* #,##0_-;_-&quot;$&quot;* &quot;-&quot;??_-;_-@_-"/>
    </dxf>
    <dxf>
      <alignment horizont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el R Avila" refreshedDate="45439.47231863426" createdVersion="8" refreshedVersion="8" minRefreshableVersion="3" recordCount="1" xr:uid="{5FC5BD91-43B0-466F-80B0-6090B5667A20}">
  <cacheSource type="worksheet">
    <worksheetSource name="Transactions"/>
  </cacheSource>
  <cacheFields count="22">
    <cacheField name="Account ID" numFmtId="0">
      <sharedItems containsNonDate="0" containsString="0" containsBlank="1"/>
    </cacheField>
    <cacheField name="Action" numFmtId="0">
      <sharedItems containsNonDate="0" containsString="0" containsBlank="1"/>
    </cacheField>
    <cacheField name="Amount" numFmtId="0">
      <sharedItems containsNonDate="0" containsString="0" containsBlank="1"/>
    </cacheField>
    <cacheField name="Categories" numFmtId="0">
      <sharedItems containsNonDate="0" containsString="0" containsBlank="1"/>
    </cacheField>
    <cacheField name="Date" numFmtId="0">
      <sharedItems containsNonDate="0" containsString="0" containsBlank="1"/>
    </cacheField>
    <cacheField name="ISO Currency Code" numFmtId="0">
      <sharedItems containsNonDate="0" containsString="0" containsBlank="1"/>
    </cacheField>
    <cacheField name="Merchant Name" numFmtId="0">
      <sharedItems containsNonDate="0" containsString="0" containsBlank="1"/>
    </cacheField>
    <cacheField name="Name" numFmtId="0">
      <sharedItems containsNonDate="0" containsBlank="1" count="304">
        <m/>
        <s v="Online Banking transfer - 8102" u="1"/>
        <s v="Online Banking transfer - 0349" u="1"/>
        <s v="e-Transfer sent Manuel CIBC" u="1"/>
        <s v="e-Transfer sent Mon Petit Univers" u="1"/>
        <s v="e-Transfer sent Paula Amariles" u="1"/>
        <s v="Online transfer received - 5342 AUTOMATOS CONSULTING INC." u="1"/>
        <s v="Online transfer received - 2148 AUTOMATOS CONSULTING INC." u="1"/>
        <s v="Online transfer received - 4899 AUTOMATOS CONSULTING INC." u="1"/>
        <s v="Online transfer received - 8625 AUTOMATOS CONSULTING INC." u="1"/>
        <s v="e-Transfer sent LaPennaco" u="1"/>
        <s v="Online Banking foreign exchange Ref 3WW581121309410" u="1"/>
        <s v="Online transfer received - 3041 AUTOMATOS CONSULTING INC." u="1"/>
        <s v="Online Banking transfer - 4870" u="1"/>
        <s v="Online Banking transfer - 0755" u="1"/>
        <s v="Online transfer received - 3234 AUTOMATOS CONSULTING INC." u="1"/>
        <s v="Online transfer received - 1411 AUTOMATOS CONSULTING INC." u="1"/>
        <s v="Online transfer received - 0616 AUTOMATOS CONSULTING INC." u="1"/>
        <s v="Online Banking transfer - 1618" u="1"/>
        <s v="Online transfer received - 6932 AUTOMATOS CONSULTING INC." u="1"/>
        <s v="Online Banking transfer - 6501" u="1"/>
        <s v="Online transfer received - 2887 AUTOMATOS CONSULTING INC." u="1"/>
        <s v="Online Banking transfer - 2688" u="1"/>
        <s v="Online transfer received - 4351 AUTOMATOS CONSULTING INC." u="1"/>
        <s v="Online transfer received - 4127 AUTOMATOS CONSULTING INC." u="1"/>
        <s v="Online Banking transfer - 1014" u="1"/>
        <s v="Online transfer received - 7277 AUTOMATOS CONSULTING INC." u="1"/>
        <s v="Online Banking transfer - 9900" u="1"/>
        <s v="Online transfer received - 2054 AUTOMATOS CONSULTING INC." u="1"/>
        <s v="Online transfer received - 1611 AUTOMATOS CONSULTING INC." u="1"/>
        <s v="Online transfer received - 2847 AUTOMATOS CONSULTING INC." u="1"/>
        <s v="e-Transfer sent Ispak Chowdrury" u="1"/>
        <s v="Online Banking foreign exchange Ref 3WW071521104430" u="1"/>
        <s v="Online Banking transfer - 4095" u="1"/>
        <s v="Online Banking foreign exchange Ref 3WW891601318070" u="1"/>
        <s v="Online transfer received - 3221 AUTOMATOS CONSULTING INC." u="1"/>
        <s v="Online transfer received - 9162 AUTOMATOS CONSULTING INC." u="1"/>
        <s v="Online transfer received - 4483 AUTOMATOS CONSULTING INC." u="1"/>
        <s v="Online transfer received - 1408 AUTOMATOS CONSULTING INC." u="1"/>
        <s v="Online Banking transfer - 3793" u="1"/>
        <s v="Online transfer received - 6740 AUTOMATOS CONSULTING INC." u="1"/>
        <s v="Online transfer received - 8332 AUTOMATOS CONSULTING INC." u="1"/>
        <s v="Online transfer received - 0365 AUTOMATOS CONSULTING INC." u="1"/>
        <s v="Online transfer received - 5585 AUTOMATOS CONSULTING INC." u="1"/>
        <s v="Online Banking transfer - 5619" u="1"/>
        <s v="Online Banking transfer - 6093" u="1"/>
        <s v="Online transfer received - 8597 AUTOMATOS CONSULTING INC." u="1"/>
        <s v="Online transfer received - 6105 AUTOMATOS CONSULTING INC." u="1"/>
        <s v="Online transfer received - 1258" u="1"/>
        <s v="Online transfer received - 1026 AUTOMATOS CONSULTING INC." u="1"/>
        <s v="e-Transfer - Autodeposit MANUEL RICARDO AVILA RINCON" u="1"/>
        <s v="Online Banking transfer - 2606" u="1"/>
        <s v="Online Banking transfer - 6834" u="1"/>
        <s v="e-Transfer received Newton" u="1"/>
        <s v="Online Banking transfer - 9800" u="1"/>
        <s v="Online transfer received - 9448 AUTOMATOS CONSULTING INC." u="1"/>
        <s v="Online Banking transfer - 9138" u="1"/>
        <s v="Online transfer received - 8990 AUTOMATOS CONSULTING INC." u="1"/>
        <s v="Online transfer received - 1786 AUTOMATOS CONSULTING INC." u="1"/>
        <s v="Online transfer received - 0067 AUTOMATOS CONSULTING INC." u="1"/>
        <s v="Online Banking transfer - 7875" u="1"/>
        <s v="Online transfer received - 9728 AUTOMATOS CONSULTING INC." u="1"/>
        <s v="Online transfer received - 4485 AUTOMATOS CONSULTING INC." u="1"/>
        <s v="Online transfer received - 3007 AUTOMATOS CONSULTING INC." u="1"/>
        <s v="Online transfer received - 8737 AUTOMATOS CONSULTING INC." u="1"/>
        <s v="Online Banking transfer - 5392" u="1"/>
        <s v="Online Banking transfer - 4993" u="1"/>
        <s v="e-Transfer - Autodeposit PAULA ANDREA AMARILES RESTREPO" u="1"/>
        <s v="Online transfer received - 3680 AUTOMATOS CONSULTING INC." u="1"/>
        <s v="Online Banking transfer - 5395" u="1"/>
        <s v="e-Transfer sent Manuel Avila TD" u="1"/>
        <s v="Deposit interest" u="1"/>
        <s v="Online Banking transfer - 6079" u="1"/>
        <s v="Online Banking transfer - 1690" u="1"/>
        <s v="e-Transfer - Autodeposit Diana Lorena Cortes Rodriguez" u="1"/>
        <s v="Online Banking transfer - 4649" u="1"/>
        <s v="Online Banking transfer - 3777" u="1"/>
        <s v="Online Banking transfer - 8989" u="1"/>
        <s v="Online Banking transfer - 0011" u="1"/>
        <s v="Online Banking transfer - 3688" u="1"/>
        <s v="Online Banking foreign exchange Ref 3WW632771354390" u="1"/>
        <s v="Online Banking transfer - 5090" u="1"/>
        <s v="e-Transfer received ANA MARIA AVILA AMAYA" u="1"/>
        <s v="Online Banking transfer - 4485" u="1"/>
        <s v="Online Banking transfer - 5680" u="1"/>
        <s v="Online Banking transfer - 4435" u="1"/>
        <s v="Online Banking transfer - 2083" u="1"/>
        <s v="e-Transfer - Autodeposit PAULA ANDREA AMARILES RESTREPO CAY8sb9R" u="1"/>
        <s v="Online Banking transfer - 2738" u="1"/>
        <s v="e-Transfer - Autodeposit MANUEL RICARDO AVILA RINCON 0cd2f6fe66f64dd0aa925f05884d5a3f" u="1"/>
        <s v="Online Banking transfer - 2432" u="1"/>
        <s v="e-Transfer - Autodeposit Barian CAmhqnQ5" u="1"/>
        <s v="Online Banking transfer - 8644" u="1"/>
        <s v="Online Banking foreign exchange Ref 3WW653411143220" u="1"/>
        <s v="Online Banking transfer - 0154" u="1"/>
        <s v="e-Transfer - Autodeposit PAULA ANDREA AMARILES RESTREPO CAxxC563" u="1"/>
        <s v="e-Transfer - Autodeposit Diana Lorena Cortes Rodriguez CAjjxUg8" u="1"/>
        <s v="Online Banking transfer - 6257" u="1"/>
        <s v="e-Transfer - Autodeposit MANUEL RICARDO AVILA RINCON 866df5c0e6a443668856d0934814b60a" u="1"/>
        <s v="Online Banking transfer - 5187" u="1"/>
        <s v="e-Transfer - Autodeposit Barian CAUP5qeB" u="1"/>
        <s v="Online Banking foreign exchange Ref 3WW730011116110" u="1"/>
        <s v="e-Transfer - Autodeposit Diana Lorena Cortes Rodriguez CAPRWreS" u="1"/>
        <s v="Online Banking transfer - 2728" u="1"/>
        <s v="e-Transfer sent Gineth" u="1"/>
        <s v="Online Banking foreign exchange Ref 3WW940121534520" u="1"/>
        <s v="Online Banking transfer - 0982" u="1"/>
        <s v="e-Transfer - Autodeposit MANUEL RICARDO AVILA RINCON 10079616303949588b53bdb2d84ee2d2" u="1"/>
        <s v="e-Transfer - Autodeposit Diana Lorena Cortes Rodriguez CAfVTsBs" u="1"/>
        <s v="Online Banking transfer - 0080" u="1"/>
        <s v="Online Banking transfer - 9066" u="1"/>
        <s v="e-Transfer - Autodeposit MANUEL RICARDO AVILA RINCON 9db7c125b8754c2194260a0d5da219be" u="1"/>
        <s v="e-Transfer sent MANUEL RICARDO AVILA RINCON GXYSZW" u="1"/>
        <s v="Online transfer received - 0285 AUTOMATOS CONSULTING INC." u="1"/>
        <s v="Online Banking transfer - 4629" u="1"/>
        <s v="e-Transfer - Autodeposit MANUEL RICARDO AVILA RINCON fdb6f95792c54a589301ad2474056ceb" u="1"/>
        <s v="Online Banking transfer - 4731" u="1"/>
        <s v="e-Transfer - Autodeposit MANUEL RICARDO AVILA RINCON ce538d3d597a45e29ccef43baa8fdd0e" u="1"/>
        <s v="e-Transfer - Autodeposit MANUEL RICARDO AVILA RINCON 865e74ad09d14894bf88a52e952d9abd" u="1"/>
        <s v="Online Banking transfer - 1200" u="1"/>
        <s v="Online Banking transfer - 0315" u="1"/>
        <s v="e-Transfer - Autodeposit MANUEL RICARDO AVILA RINCON 8eb3f1cf86714730b60c6d2ce1730172" u="1"/>
        <s v="Online Banking transfer - 5233" u="1"/>
        <s v="e-Transfer - Autodeposit MANUEL RICARDO AVILA RINCON 828b28a5fccf4142b249a0b4f882cf2c" u="1"/>
        <s v="e-Transfer - Autodeposit PAULA ANDREA AMARILES RESTREPO C1AXmQRfsEmn" u="1"/>
        <s v="Online Banking foreign exchange Ref 3WW771732107150" u="1"/>
        <s v="e-Transfer - Autodeposit MANUEL RICARDO AVILA RINCON eaa3ceb1e76c409988d43f1754874929" u="1"/>
        <s v="Online Banking transfer - 6496" u="1"/>
        <s v="e-Transfer - Autodeposit MANUEL RICARDO AVILA RINCON 596ca157048b42dcb206a8d23b06aaa6" u="1"/>
        <s v="Online Banking transfer - 7034" u="1"/>
        <s v="e-Transfer - Autodeposit MANUEL RICARDO AVILA RINCON f03b9bd35860454292419f3195a316bc" u="1"/>
        <s v="Online Banking transfer - 6109" u="1"/>
        <s v="e-Transfer - Autodeposit PAULA ANDREA AMARILES RESTREPO C1AsY8XfTBkh" u="1"/>
        <s v="Online Banking foreign exchange Ref 3WW812401442430" u="1"/>
        <s v="e-Transfer - Autodeposit PAULA ANDREA AMARILES RESTREPO C1A7TDReBgnm" u="1"/>
        <s v="Misc Payment PAYPAL" u="1"/>
        <s v="e-Transfer - Autodeposit PAULA ANDREA AMARILES RESTREPO C1A53JMEBquV" u="1"/>
        <s v="e-Transfer - Autodeposit PAULA ANDREA AMARILES RESTREPO C1Avy9FkM43a" u="1"/>
        <s v="Utility Bill Pmt Enbridge Gas" u="1"/>
        <s v="Online Banking payment - 0118 AMEX REGULAR" u="1"/>
        <s v="e-Transfer - Autodeposit PAULA ANDREA AMARILES RESTREPO C1AXk5zvYCur" u="1"/>
        <s v="Online Banking transfer - 8029" u="1"/>
        <s v="e-Transfer - Autodeposit PAULA ANDREA AMARILES RESTREPO C1AhjycnZYz8" u="1"/>
        <s v="e-Transfer cancel" u="1"/>
        <s v="e-Transfer - Autodeposit Diana Lorena Cortes Rodriguez CADZ6cqj" u="1"/>
        <s v="e-Transfer - Autodeposit Diana Lorena Cortes Rodriguez CAUWec86" u="1"/>
        <s v="e-Transfer received David Alexander Garcia Hernandez CAfbjksk" u="1"/>
        <s v="Online Banking foreign exchange Ref 3WW342761132220" u="1"/>
        <s v="Personal Loan SPL" u="1"/>
        <s v="Online Banking transfer - 8082" u="1"/>
        <s v="Misc Payment Google LLC" u="1"/>
        <s v="e-Transfer - Autodeposit PAULA ANDREA AMARILES RESTREPO C1AC5Xj8dmVa" u="1"/>
        <s v="e-Transfer sent Costumes YCUP3R" u="1"/>
        <s v="Hydro Bill Pmt TORONTO HYDRO" u="1"/>
        <s v="e-Transfer sent Paula Amariles UAG3ZY" u="1"/>
        <s v="Climate Action Incentive CANADA" u="1"/>
        <s v="Misc Payment AMEX BILL PYMT" u="1"/>
        <s v="Insurance BELAIR INS/ASS." u="1"/>
        <s v="Life Insurance Foresters Life" u="1"/>
        <s v="e-Transfer - Autodeposit Ana Maria Avila Amaya C1ANs4zF4x4x" u="1"/>
        <s v="Online Banking foreign exchange Ref 3WW882862139100" u="1"/>
        <s v="Overdraft interest" u="1"/>
        <s v="e-Transfer sent Mina Morshed" u="1"/>
        <s v="Online Banking transfer - 6133" u="1"/>
        <s v="e-Transfer - Autodeposit PAULA ANDREA AMARILES RESTREPO C1AA8phgk9NF" u="1"/>
        <s v="e-Transfer sent Childcraft TKEJWD" u="1"/>
        <s v="e-Transfer - Autodeposit PAULA ANDREA AMARILES RESTREPO C1Ac22cpjPaj" u="1"/>
        <s v="Online transfer sent - 3876 Automatos Consulting" u="1"/>
        <s v="Misc Payment EBAY CANADA LTD" u="1"/>
        <s v="Misc Payment EBAY COMMERCE C" u="1"/>
        <s v="e-Transfer sent PAULA ANDREA AMARILES RESTREPO 278R32" u="1"/>
        <s v="e-Transfer sent Bridgeway 5RVK4S" u="1"/>
        <s v="e-Transfer sent Manuel Avila TD QKE8DT" u="1"/>
        <s v="e-Transfer - Autodeposit David Alexander Garcia Hernandez C1AGNfrBdtnD" u="1"/>
        <s v="e-Transfer - Autodeposit DIANA-LORENA CORTES-RODRIGUEZ C1AgwHkSqHbk" u="1"/>
        <s v="Online Banking transfer - 0802" u="1"/>
        <s v="e-Transfer sent Manuel CIBC ZX426H" u="1"/>
        <s v="Telephone Banking transfer Ref 091863135650660" u="1"/>
        <s v="e-Transfer sent Paula Amariles ZV9JKJ" u="1"/>
        <s v="e-Transfer - Autodeposit PAULA ANDREA AMARILES RESTREPO C1Ax3MvEyCUy" u="1"/>
        <s v="e-Transfer - Autodeposit PAULA ANDREA AMARILES RESTREPO C1AqXRXuHyNB" u="1"/>
        <s v="Online transfer received - 9143 AUTOMATOS CONSULTING INC." u="1"/>
        <s v="Online transfer received - 2633 AUTOMATOS CONSULTING INC." u="1"/>
        <s v="Funds transfer fee TT 1/THE GLOBAL" u="1"/>
        <s v="Funds transfer credit TT 1/THE GLOBAL" u="1"/>
        <s v="e-Transfer - Autodeposit David Alexander Garcia Hernandez C1AdpfCQkAdc" u="1"/>
        <s v="e-Transfer sent MANUEL RICARDO AVILA RINCON MRZYTE" u="1"/>
        <s v="e-Transfer sent Bridgeway GWV7K2" u="1"/>
        <s v="e-Transfer sent Dave BTBECY" u="1"/>
        <s v="e-Transfer - Autodeposit DIANA-LORENA CORTES-RODRIGUEZ C1AWrf2C5XsJ" u="1"/>
        <s v="e-Transfer sent Paula Amariles 8X7NYZ" u="1"/>
        <s v="Online Banking payment - 0336 CITY OF TORONTO" u="1"/>
        <s v="Online transfer received - 1425 AUTOMATOS CONSULTING INC." u="1"/>
        <s v="Online Banking transfer - 5682" u="1"/>
        <s v="e-Transfer sent Manuel Ricardo Avila Rincon GRAWRJ" u="1"/>
        <s v="Online Banking payment - 3127 QUESTRADE" u="1"/>
        <s v="e-Transfer sent David COLOCAR SF5MHE" u="1"/>
        <s v="Online transfer received - 5204 AUTOMATOS CONSULTING INC." u="1"/>
        <s v="e-Transfer - Autodeposit Ana Maria Avila Amaya C1AaVZ2Q6USQ" u="1"/>
        <s v="e-Transfer sent MANUEL RICARDO AVILA RINCON JCY9HZ" u="1"/>
        <s v="e-Transfer - Autodeposit MANUEL RICARDO AVILA RINCON C1AuTjG2u4Ef" u="1"/>
        <s v="Online Banking foreign exchange Ref 3WW773521438230" u="1"/>
        <s v="Online transfer received - 6439 AUTOMATOS CONSULTING INC." u="1"/>
        <s v="Online Banking transfer - 0179" u="1"/>
        <s v="e-Transfer sent Gineth W36CEW" u="1"/>
        <s v="e-Transfer - Autodeposit David Alexander Garcia Hernandez C1Ab2WHFeaFg" u="1"/>
        <s v="e-Transfer sent Dr Mersal 8Y6EBU" u="1"/>
        <s v="e-Transfer - Autodeposit DIANA-LORENA CORTES-RODRIGUEZ C1AR3thjcnF3" u="1"/>
        <s v="e-Transfer sent Bridgeway ULALS8" u="1"/>
        <s v="e-Transfer - Autodeposit PAULA ANDREA AMARILES RESTREPO C1AyRUXy9Kuw" u="1"/>
        <s v="Deposit" u="1"/>
        <s v="Online Banking transfer - 6332" u="1"/>
        <s v="e-Transfer sent Brendan 5P5JXR" u="1"/>
        <s v="Federal Climate Incentive CANADA" u="1"/>
        <s v="Online Banking foreign exchange Ref 3WW020161851260" u="1"/>
        <s v="e-Transfer sent MANUEL RICARDO AVILA RINCON 2VWXWY" u="1"/>
        <s v="Online transfer received - 0432 AUTOMATOS CONSULTING INC." u="1"/>
        <s v="e-Transfer sent Paula Amariles 7LZW59" u="1"/>
        <s v="e-Transfer - Autodeposit David Alexander Garcia Hernandez C1A9Q2gKph7g" u="1"/>
        <s v="e-Transfer sent Bridgeway U5DRE3" u="1"/>
        <s v="e-Transfer - Autodeposit DIANA-LORENA CORTES-RODRIGUEZ C1AEhsxepKnN" u="1"/>
        <s v="Online transfer received - 8925 AUTOMATOS CONSULTING INC." u="1"/>
        <s v="Online Banking transfer - 6378" u="1"/>
        <s v="CHEDRAUI POLANCO MEXICO DF DF 177.00 MXN @ .081000000000" u="1"/>
        <s v="CHEDRAUI POLANCO MEXICO DF DF 2889.38 MXN @ .080900000000" u="1"/>
        <s v="ANAM AICM T1 SALA E CIUDAD DE MEXDF 2484.00 MXN @ .081000000000" u="1"/>
        <s v="UBR* PENDING.UBER.COM AMSTERDAM NH 49.98 MXN @ .080800000000" u="1"/>
        <s v="ENVIAYA 4029357733 ON" u="1"/>
        <s v="Amazon" u="1"/>
        <s v="PHARMAOPORT MEX MEXICO DF DF 136.00 MXN @ .081500000000" u="1"/>
        <s v="UBR* PENDING.UBER.COM AMSTERDAM NH 49.98 MXN @ .081400000000" u="1"/>
        <s v="THE NEW YORK TIMES" u="1"/>
        <s v="EL PALACIO HIERRO POLA CIUDAD DE MEX000 460.80 MXN @ .081100000000" u="1"/>
        <s v="ZTL*BALLENARECORDS CIUDAD DE MEX 3030.00 MXN @ .081100000000" u="1"/>
        <s v="UBR* PENDING.UBER.COM AMSTERDAM NH 59.91 MXN @ .081100000000" u="1"/>
        <s v="Online Banking foreign exchange Ref 3WW730451634460" u="1"/>
        <s v="e-Transfer sent MANUEL RICARDO AVILA RINCON KPGBNJ" u="1"/>
        <s v="Online Banking transfer - 4038" u="1"/>
        <s v="PAYMENT - THANK YOU / PAIEMENT - MERCI" u="1"/>
        <s v="Service Charge MONTHLY FEES" u="1"/>
        <s v="McDonald's" u="1"/>
        <s v="PRESTO FARE/5DK5NJLFVD Scarborough ON" u="1"/>
        <s v="CASHEW AND CLIVE TORONTO ON" u="1"/>
        <s v="Tim Hortons" u="1"/>
        <s v="PRESTO FARE/5DK56LDNGG Scarborough ON" u="1"/>
        <s v="Credit Memo SERVICE FEE REVERSAL" u="1"/>
        <s v="PRESTO FARE/5DKJGH8ZSD Scarborough ON" u="1"/>
        <s v="e-Transfer sent MANUEL RICARDO AVILA RINCON ZUMCK6" u="1"/>
        <s v="Online transfer received - 7922 AUTOMATOS CONSULTING INC." u="1"/>
        <s v="Customer Transfer Dr. PC TO 364269488692" u="1"/>
        <s v="DEPOSIT FREE INTERAC E-TRANSFER" u="1"/>
        <s v="Online transfer received - 3747 AUTOMATOS CONSULTING INC." u="1"/>
        <s v="e-Transfer sent JULIA GINETH AVILA RINCON VQQCX9" u="1"/>
        <s v="e-Transfer sent MANUEL RICARDO AVILA RINCON HTXRPR" u="1"/>
        <s v="A2 HOSTING 4029357733" u="1"/>
        <s v="Online transfer received - 5500 AUTOMATOS CONSULTING INC." u="1"/>
        <s v="e-Transfer sent Manuel Scotia 6FRJDJ" u="1"/>
        <s v="PRESTO FARE/5DM217ZLBP Scarborough ON" u="1"/>
        <s v="e-Transfer - Autodeposit DIANA-LORENA CORTES-RODRIGUEZ C1AeyqcAwAY8" u="1"/>
        <s v="e-Transfer sent BridgewayPM CSX6RS" u="1"/>
        <s v="e-Transfer - Autodeposit PAULA ANDREA AMARILES RESTREPO C1AZcrCh5Cqv" u="1"/>
        <s v="Online transfer received - 9549 AUTOMATOS CONSULTING INC." u="1"/>
        <s v="e-Transfer - Autodeposit David Alexander Garcia Hernandez C1Aj6xNcxRRS" u="1"/>
        <s v="CHATGPT SUBSCRIPTION SAN FRANCISCOCA 20.00 USD @ 1.394500000000" u="1"/>
        <s v="e-Transfer sent Paula Amariles 3WTSU2" u="1"/>
        <s v="e-Transfer - Autodeposit DIANA-LORENA CORTES-RODRIGUEZ C1APqftRzbMZ" u="1"/>
        <s v="Online transfer received - 1589 AUTOMATOS CONSULTING INC." u="1"/>
        <s v="e-Transfer sent PAULA ANDREA AMARILES RESTREPO ZA5Z6C" u="1"/>
        <s v="hostinger.com Larnaka 8.99 USD @ 1.381500000000" u="1"/>
        <s v="Online Banking transfer - 6670" u="1"/>
        <s v="e-Transfer sent Manuel Scotia 3ELQ4B" u="1"/>
        <s v="e-Transfer sent Mina Morshed 6PXZ6B" u="1"/>
        <s v="Online transfer received - 9796 AUTOMATOS CONSULTING INC." u="1"/>
        <s v="e-Transfer sent Manuel CIBC HLHFWC" u="1"/>
        <s v="Online Banking foreign exchange Ref 3WW820721615550" u="1"/>
        <s v="PRESTO FARE/5D7DJHRK9P Scarborough ON" u="1"/>
        <s v="Online transfer received - 3470 AUTOMATOS CONSULTING INC." u="1"/>
        <s v="e-Transfer sent Manuel Scotia Y6YQTD" u="1"/>
        <s v="Online transfer received - 1706 AUTOMATOS CONSULTING INC." u="1"/>
        <s v="e-Transfer sent Jessica Méndez TP4Z55" u="1"/>
        <s v="Customer Transfer Cr. MB-TRANSFER" u="1"/>
        <s v="e-Transfer - Autodeposit David Alexander Garcia Hernandez C1ATTZR9a4V6" u="1"/>
        <s v="Online transfer received - 1708 AUTOMATOS CONSULTING INC." u="1"/>
        <s v="e-Transfer sent Manuel Scotia FLLCQ9" u="1"/>
        <s v="Tax Refund CANADA" u="1"/>
        <s v="PAD CCRA CANADA" u="1"/>
        <s v="Online transfer received - 9772 AUTOMATOS CONSULTING INC." u="1"/>
        <s v="e-Transfer - Autodeposit DIANA-LORENA CORTES-RODRIGUEZ C1AHADpCEhjC" u="1"/>
        <s v="e-Transfer sent Bridgeway RD9WMK" u="1"/>
        <s v="e-Transfer sent Jessica Méndez 5V8BGE" u="1"/>
        <s v="e-Transfer - Autodeposit Ana Maria Avila Amaya C1A8ej3wMDEZ" u="1"/>
        <s v="Online transfer received - 7267" u="1"/>
        <s v="e-Transfer sent Jessica Méndez RLTQVP" u="1"/>
        <s v="Online Banking transfer - 0925" u="1"/>
        <s v="Online Banking payment - 6719 VISA - CIBC" u="1"/>
        <s v="Online transfer received - 5634 AUTOMATOS CONSULTING INC." u="1"/>
        <s v="e-Transfer sent PAULA ANDREA AMARILES RESTREPO 7QD6Y9" u="1"/>
        <s v="Online transfer received - 6689 AUTOMATOS CONSULTING INC." u="1"/>
        <s v="Amazon.ca*8S2IQ66G3 AMAZON.CA ON" u="1"/>
        <s v="e-Transfer sent MANUEL RICARDO AVILA RINCON UWL6YL" u="1"/>
        <s v="Online Banking transfer - 8831" u="1"/>
        <s v="e-Transfer sent Manuel CIBC EC8XRS" u="1"/>
        <s v="Online Banking transfer - 4244" u="1"/>
        <s v="Online transfer received - 5415 AUTOMATOS CONSULTING INC." u="1"/>
      </sharedItems>
    </cacheField>
    <cacheField name="Payment Channel" numFmtId="0">
      <sharedItems containsNonDate="0" containsString="0" containsBlank="1"/>
    </cacheField>
    <cacheField name="Pending" numFmtId="0">
      <sharedItems containsNonDate="0" containsString="0" containsBlank="1"/>
    </cacheField>
    <cacheField name="Transaction ID" numFmtId="0">
      <sharedItems containsNonDate="0" containsString="0" containsBlank="1"/>
    </cacheField>
    <cacheField name="Account Name" numFmtId="0">
      <sharedItems containsNonDate="0" containsString="0" containsBlank="1"/>
    </cacheField>
    <cacheField name="Bank" numFmtId="0">
      <sharedItems containsNonDate="0" containsString="0" containsBlank="1"/>
    </cacheField>
    <cacheField name="Operation" numFmtId="0">
      <sharedItems containsNonDate="0" containsString="0" containsBlank="1"/>
    </cacheField>
    <cacheField name="Custom Category" numFmtId="0">
      <sharedItems containsNonDate="0" containsString="0" containsBlank="1" containsNumber="1" containsInteger="1" minValue="0" maxValue="0" count="2">
        <m/>
        <n v="0" u="1"/>
      </sharedItems>
    </cacheField>
    <cacheField name="Datetime" numFmtId="14">
      <sharedItems containsNonDate="0" containsString="0" containsBlank="1"/>
    </cacheField>
    <cacheField name="Month" numFmtId="14">
      <sharedItems containsNonDate="0" containsString="0" containsBlank="1"/>
    </cacheField>
    <cacheField name="Recent" numFmtId="0">
      <sharedItems containsNonDate="0" containsString="0" containsBlank="1"/>
    </cacheField>
    <cacheField name="6M AVG" numFmtId="165">
      <sharedItems containsNonDate="0" containsString="0" containsBlank="1"/>
    </cacheField>
    <cacheField name="Month's Total" numFmtId="0">
      <sharedItems containsNonDate="0" containsString="0" containsBlank="1"/>
    </cacheField>
    <cacheField name="Budget" numFmtId="0">
      <sharedItems containsNonDate="0" containsString="0" containsBlank="1"/>
    </cacheField>
    <cacheField name="Sel Month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el R Avila" refreshedDate="45465.871825347225" createdVersion="8" refreshedVersion="8" minRefreshableVersion="3" recordCount="1" xr:uid="{145EB95A-746E-43E4-817B-B8C4ED4126F7}">
  <cacheSource type="worksheet">
    <worksheetSource name="Accounts"/>
  </cacheSource>
  <cacheFields count="9">
    <cacheField name="Institution Name" numFmtId="0">
      <sharedItems containsBlank="1" count="3">
        <m/>
        <s v="RBC Royal Bank" u="1"/>
        <s v="CIBC" u="1"/>
      </sharedItems>
    </cacheField>
    <cacheField name="Credential ID" numFmtId="0">
      <sharedItems containsString="0" containsBlank="1"/>
    </cacheField>
    <cacheField name="Next Cursor" numFmtId="0">
      <sharedItems containsString="0" containsBlank="1"/>
    </cacheField>
    <cacheField name="Balance" numFmtId="0">
      <sharedItems containsString="0" containsBlank="1"/>
    </cacheField>
    <cacheField name="Mask" numFmtId="0">
      <sharedItems containsString="0" containsBlank="1"/>
    </cacheField>
    <cacheField name="Name" numFmtId="0">
      <sharedItems containsBlank="1" count="11">
        <m/>
        <s v="Plaid Checking" u="1"/>
        <s v="Plaid Saving" u="1"/>
        <s v="Plaid CD" u="1"/>
        <s v="Plaid Credit Card" u="1"/>
        <s v="Plaid Money Market" u="1"/>
        <s v="Plaid TFSA" u="1"/>
        <s v="Plaid RRSP" u="1"/>
        <s v="Plaid Student Loan" u="1"/>
        <s v="Plaid Mortgage" u="1"/>
        <s v="Plaid Business Credit Card" u="1"/>
      </sharedItems>
    </cacheField>
    <cacheField name="Plaid Account ID" numFmtId="0">
      <sharedItems containsString="0" containsBlank="1"/>
    </cacheField>
    <cacheField name="Subtype" numFmtId="0">
      <sharedItems containsString="0" containsBlank="1"/>
    </cacheField>
    <cacheField name="Type" numFmtId="0">
      <sharedItems containsBlank="1" count="5">
        <m/>
        <s v="depository" u="1"/>
        <s v="credit" u="1"/>
        <s v="investment" u="1"/>
        <s v="loa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m/>
    <m/>
    <m/>
    <m/>
    <x v="0"/>
    <m/>
    <m/>
    <m/>
    <m/>
    <m/>
    <m/>
    <x v="0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m/>
    <m/>
    <m/>
    <m/>
    <x v="0"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886E5-6431-40E6-A648-FF41F699C0F7}" name="Balances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ccount">
  <location ref="A2:C6" firstHeaderRow="0" firstDataRow="1" firstDataCol="1"/>
  <pivotFields count="9">
    <pivotField axis="axisRow" showAll="0">
      <items count="4">
        <item m="1" x="2"/>
        <item m="1" x="1"/>
        <item x="0"/>
        <item t="default"/>
      </items>
    </pivotField>
    <pivotField showAll="0"/>
    <pivotField showAll="0"/>
    <pivotField dataField="1" showAll="0"/>
    <pivotField dataField="1" showAll="0"/>
    <pivotField axis="axisRow" showAll="0">
      <items count="12">
        <item m="1" x="10"/>
        <item m="1" x="3"/>
        <item m="1" x="1"/>
        <item m="1" x="4"/>
        <item m="1" x="5"/>
        <item m="1" x="9"/>
        <item m="1" x="7"/>
        <item m="1" x="2"/>
        <item m="1" x="8"/>
        <item m="1" x="6"/>
        <item x="0"/>
        <item t="default"/>
      </items>
    </pivotField>
    <pivotField showAll="0"/>
    <pivotField showAll="0"/>
    <pivotField axis="axisRow" showAll="0">
      <items count="6">
        <item m="1" x="2"/>
        <item m="1" x="1"/>
        <item m="1" x="3"/>
        <item m="1" x="4"/>
        <item x="0"/>
        <item t="default"/>
      </items>
    </pivotField>
  </pivotFields>
  <rowFields count="3">
    <field x="0"/>
    <field x="8"/>
    <field x="5"/>
  </rowFields>
  <rowItems count="4">
    <i>
      <x v="2"/>
    </i>
    <i r="1">
      <x v="4"/>
    </i>
    <i r="2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" fld="4" subtotal="max" baseField="0" baseItem="0"/>
    <dataField name="Balance " fld="3" baseField="5" baseItem="2" numFmtId="168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E2FF5-7303-48C8-8138-5C333B340DF8}" name="Summary" cacheId="44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Category">
  <location ref="E2:G5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axis="axisRow" showAll="0">
      <items count="305">
        <item m="1" x="254"/>
        <item m="1" x="228"/>
        <item m="1" x="298"/>
        <item m="1" x="225"/>
        <item m="1" x="242"/>
        <item m="1" x="263"/>
        <item m="1" x="223"/>
        <item m="1" x="224"/>
        <item m="1" x="155"/>
        <item m="1" x="245"/>
        <item m="1" x="280"/>
        <item m="1" x="249"/>
        <item m="1" x="210"/>
        <item m="1" x="250"/>
        <item m="1" x="71"/>
        <item m="1" x="232"/>
        <item m="1" x="227"/>
        <item m="1" x="290"/>
        <item m="1" x="198"/>
        <item m="1" x="159"/>
        <item m="1" x="91"/>
        <item m="1" x="100"/>
        <item m="1" x="218"/>
        <item m="1" x="205"/>
        <item m="1" x="185"/>
        <item m="1" x="173"/>
        <item m="1" x="262"/>
        <item m="1" x="281"/>
        <item m="1" x="74"/>
        <item m="1" x="144"/>
        <item m="1" x="108"/>
        <item m="1" x="96"/>
        <item m="1" x="102"/>
        <item m="1" x="145"/>
        <item m="1" x="220"/>
        <item m="1" x="258"/>
        <item m="1" x="174"/>
        <item m="1" x="287"/>
        <item m="1" x="265"/>
        <item m="1" x="207"/>
        <item m="1" x="189"/>
        <item m="1" x="50"/>
        <item m="1" x="89"/>
        <item m="1" x="107"/>
        <item m="1" x="128"/>
        <item m="1" x="123"/>
        <item m="1" x="118"/>
        <item m="1" x="98"/>
        <item m="1" x="121"/>
        <item m="1" x="111"/>
        <item m="1" x="200"/>
        <item m="1" x="117"/>
        <item m="1" x="126"/>
        <item m="1" x="130"/>
        <item m="1" x="115"/>
        <item m="1" x="67"/>
        <item m="1" x="136"/>
        <item m="1" x="134"/>
        <item m="1" x="164"/>
        <item m="1" x="166"/>
        <item m="1" x="151"/>
        <item m="1" x="142"/>
        <item m="1" x="180"/>
        <item m="1" x="132"/>
        <item m="1" x="137"/>
        <item m="1" x="179"/>
        <item m="1" x="140"/>
        <item m="1" x="124"/>
        <item m="1" x="209"/>
        <item m="1" x="260"/>
        <item m="1" x="95"/>
        <item m="1" x="87"/>
        <item m="1" x="143"/>
        <item m="1" x="82"/>
        <item m="1" x="146"/>
        <item m="1" x="53"/>
        <item m="1" x="212"/>
        <item m="1" x="171"/>
        <item m="1" x="187"/>
        <item m="1" x="288"/>
        <item m="1" x="219"/>
        <item m="1" x="208"/>
        <item m="1" x="259"/>
        <item m="1" x="165"/>
        <item m="1" x="152"/>
        <item m="1" x="188"/>
        <item m="1" x="196"/>
        <item m="1" x="206"/>
        <item m="1" x="104"/>
        <item m="1" x="204"/>
        <item m="1" x="31"/>
        <item m="1" x="289"/>
        <item m="1" x="292"/>
        <item m="1" x="279"/>
        <item m="1" x="252"/>
        <item m="1" x="10"/>
        <item m="1" x="70"/>
        <item m="1" x="172"/>
        <item m="1" x="3"/>
        <item m="1" x="301"/>
        <item m="1" x="273"/>
        <item m="1" x="176"/>
        <item m="1" x="215"/>
        <item m="1" x="194"/>
        <item m="1" x="112"/>
        <item m="1" x="253"/>
        <item m="1" x="199"/>
        <item m="1" x="236"/>
        <item m="1" x="186"/>
        <item m="1" x="299"/>
        <item m="1" x="247"/>
        <item m="1" x="270"/>
        <item m="1" x="256"/>
        <item m="1" x="283"/>
        <item m="1" x="277"/>
        <item m="1" x="162"/>
        <item m="1" x="271"/>
        <item m="1" x="4"/>
        <item m="1" x="5"/>
        <item m="1" x="264"/>
        <item m="1" x="217"/>
        <item m="1" x="190"/>
        <item m="1" x="154"/>
        <item m="1" x="178"/>
        <item m="1" x="170"/>
        <item m="1" x="296"/>
        <item m="1" x="267"/>
        <item m="1" x="213"/>
        <item m="1" x="184"/>
        <item m="1" x="183"/>
        <item m="1" x="268"/>
        <item m="1" x="153"/>
        <item m="1" x="157"/>
        <item m="1" x="158"/>
        <item m="1" x="240"/>
        <item m="1" x="156"/>
        <item m="1" x="168"/>
        <item m="1" x="169"/>
        <item m="1" x="150"/>
        <item m="1" x="135"/>
        <item m="1" x="214"/>
        <item m="1" x="32"/>
        <item m="1" x="147"/>
        <item m="1" x="11"/>
        <item m="1" x="80"/>
        <item m="1" x="93"/>
        <item m="1" x="101"/>
        <item m="1" x="235"/>
        <item m="1" x="125"/>
        <item m="1" x="201"/>
        <item m="1" x="133"/>
        <item m="1" x="274"/>
        <item m="1" x="160"/>
        <item m="1" x="34"/>
        <item m="1" x="105"/>
        <item m="1" x="139"/>
        <item m="1" x="191"/>
        <item m="1" x="195"/>
        <item m="1" x="294"/>
        <item m="1" x="78"/>
        <item m="1" x="109"/>
        <item m="1" x="94"/>
        <item m="1" x="203"/>
        <item m="1" x="120"/>
        <item m="1" x="2"/>
        <item m="1" x="14"/>
        <item m="1" x="175"/>
        <item m="1" x="293"/>
        <item m="1" x="106"/>
        <item m="1" x="25"/>
        <item m="1" x="119"/>
        <item m="1" x="18"/>
        <item m="1" x="73"/>
        <item m="1" x="86"/>
        <item m="1" x="90"/>
        <item m="1" x="51"/>
        <item m="1" x="22"/>
        <item m="1" x="103"/>
        <item m="1" x="88"/>
        <item m="1" x="79"/>
        <item m="1" x="76"/>
        <item m="1" x="39"/>
        <item m="1" x="237"/>
        <item m="1" x="33"/>
        <item m="1" x="302"/>
        <item m="1" x="85"/>
        <item m="1" x="83"/>
        <item m="1" x="114"/>
        <item m="1" x="75"/>
        <item m="1" x="116"/>
        <item m="1" x="13"/>
        <item m="1" x="66"/>
        <item m="1" x="81"/>
        <item m="1" x="99"/>
        <item m="1" x="122"/>
        <item m="1" x="65"/>
        <item m="1" x="69"/>
        <item m="1" x="44"/>
        <item m="1" x="84"/>
        <item m="1" x="193"/>
        <item m="1" x="72"/>
        <item m="1" x="45"/>
        <item m="1" x="131"/>
        <item m="1" x="163"/>
        <item m="1" x="97"/>
        <item m="1" x="211"/>
        <item m="1" x="222"/>
        <item m="1" x="127"/>
        <item m="1" x="20"/>
        <item m="1" x="269"/>
        <item m="1" x="52"/>
        <item m="1" x="129"/>
        <item m="1" x="60"/>
        <item m="1" x="141"/>
        <item m="1" x="149"/>
        <item m="1" x="1"/>
        <item m="1" x="92"/>
        <item m="1" x="300"/>
        <item m="1" x="77"/>
        <item m="1" x="110"/>
        <item m="1" x="56"/>
        <item m="1" x="54"/>
        <item m="1" x="27"/>
        <item m="1" x="59"/>
        <item m="1" x="113"/>
        <item m="1" x="42"/>
        <item m="1" x="216"/>
        <item m="1" x="17"/>
        <item m="1" x="49"/>
        <item m="1" x="48"/>
        <item m="1" x="38"/>
        <item m="1" x="16"/>
        <item m="1" x="192"/>
        <item m="1" x="266"/>
        <item m="1" x="29"/>
        <item m="1" x="278"/>
        <item m="1" x="282"/>
        <item m="1" x="58"/>
        <item m="1" x="28"/>
        <item m="1" x="7"/>
        <item m="1" x="182"/>
        <item m="1" x="30"/>
        <item m="1" x="21"/>
        <item m="1" x="63"/>
        <item m="1" x="12"/>
        <item m="1" x="35"/>
        <item m="1" x="15"/>
        <item m="1" x="276"/>
        <item m="1" x="68"/>
        <item m="1" x="251"/>
        <item m="1" x="24"/>
        <item m="1" x="23"/>
        <item m="1" x="37"/>
        <item m="1" x="62"/>
        <item m="1" x="8"/>
        <item m="1" x="197"/>
        <item m="1" x="6"/>
        <item m="1" x="303"/>
        <item m="1" x="255"/>
        <item m="1" x="43"/>
        <item m="1" x="295"/>
        <item m="1" x="47"/>
        <item m="1" x="202"/>
        <item m="1" x="297"/>
        <item m="1" x="40"/>
        <item m="1" x="19"/>
        <item m="1" x="291"/>
        <item m="1" x="26"/>
        <item m="1" x="248"/>
        <item m="1" x="41"/>
        <item m="1" x="46"/>
        <item m="1" x="9"/>
        <item m="1" x="64"/>
        <item m="1" x="221"/>
        <item m="1" x="57"/>
        <item m="1" x="181"/>
        <item m="1" x="36"/>
        <item m="1" x="55"/>
        <item m="1" x="261"/>
        <item m="1" x="61"/>
        <item m="1" x="286"/>
        <item m="1" x="272"/>
        <item m="1" x="167"/>
        <item m="1" x="161"/>
        <item m="1" x="285"/>
        <item m="1" x="238"/>
        <item m="1" x="148"/>
        <item m="1" x="229"/>
        <item m="1" x="275"/>
        <item m="1" x="244"/>
        <item m="1" x="241"/>
        <item m="1" x="246"/>
        <item m="1" x="257"/>
        <item m="1" x="239"/>
        <item m="1" x="284"/>
        <item m="1" x="177"/>
        <item m="1" x="231"/>
        <item m="1" x="243"/>
        <item m="1" x="226"/>
        <item m="1" x="230"/>
        <item m="1" x="234"/>
        <item m="1" x="138"/>
        <item m="1" x="23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3">
        <item sd="0" m="1" x="1"/>
        <item x="0"/>
        <item t="default" sd="0"/>
      </items>
    </pivotField>
    <pivotField numFmtId="14" showAll="0"/>
    <pivotField numFmtId="14" showAll="0"/>
    <pivotField showAll="0"/>
    <pivotField dataField="1" showAll="0"/>
    <pivotField showAll="0"/>
    <pivotField dataField="1" showAll="0"/>
    <pivotField showAll="0"/>
  </pivotFields>
  <rowFields count="2">
    <field x="14"/>
    <field x="7"/>
  </rowFields>
  <rowItems count="3">
    <i>
      <x v="1"/>
    </i>
    <i r="1">
      <x v="303"/>
    </i>
    <i t="grand">
      <x/>
    </i>
  </rowItems>
  <colFields count="1">
    <field x="-2"/>
  </colFields>
  <colItems count="2">
    <i>
      <x/>
    </i>
    <i i="1">
      <x v="1"/>
    </i>
  </colItems>
  <dataFields count="2">
    <dataField name="6M Average" fld="18" subtotal="max" baseField="14" baseItem="3" numFmtId="164"/>
    <dataField name=" Budget" fld="20" subtotal="max" baseField="14" baseItem="4" numFmtId="164"/>
  </dataFields>
  <formats count="2"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A342AE-9F64-43E9-9C24-D278F10FA61B}" name="Custom_Cat" displayName="Custom_Cat" ref="P2:R3" insertRow="1" totalsRowShown="0">
  <autoFilter ref="P2:R3" xr:uid="{3AA342AE-9F64-43E9-9C24-D278F10FA61B}"/>
  <tableColumns count="3">
    <tableColumn id="2" xr3:uid="{1DE10980-B7CE-4858-9F8C-668E469FEF7B}" name="Name"/>
    <tableColumn id="5" xr3:uid="{87AE3E96-121A-4029-9F8F-CAA20184F5F6}" name="Amount"/>
    <tableColumn id="6" xr3:uid="{D16A0D9C-D130-444A-A9FB-9227E20F4C4E}" name="Custom Category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B6DAEB-14C8-4F77-BCBD-9F35CCD9BA6B}" name="Budgets" displayName="Budgets" ref="K2:N3" insertRow="1" totalsRowShown="0">
  <autoFilter ref="K2:N3" xr:uid="{97B6DAEB-14C8-4F77-BCBD-9F35CCD9BA6B}"/>
  <tableColumns count="4">
    <tableColumn id="2" xr3:uid="{3EC0B0AB-A09B-4166-B91A-F77A3697F501}" name="Custom Category"/>
    <tableColumn id="5" xr3:uid="{29B6E52D-18A5-4228-9BE9-F028F8440B9A}" name="Frequency"/>
    <tableColumn id="1" xr3:uid="{5C3B8725-4D93-4109-A2E9-FADB1B0D406A}" name="Amount" dataDxfId="15" dataCellStyle="Currency"/>
    <tableColumn id="3" xr3:uid="{FF2DA77A-5C08-472C-A461-1685E195818E}" name="Monthly" dataDxfId="14">
      <calculatedColumnFormula>Budgets[[#This Row],[Amount]]*_xlfn.XLOOKUP(Budgets[[#This Row],[Frequency]],Frequency[Frequency],Frequency[Factor],1,0)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CC42E-E872-4757-9A7B-95D0F2C6FCA1}" name="Accounts" displayName="Accounts" ref="A1:I2" insertRow="1" totalsRowShown="0">
  <autoFilter ref="A1:I2" xr:uid="{D30CC42E-E872-4757-9A7B-95D0F2C6FCA1}"/>
  <tableColumns count="9">
    <tableColumn id="1" xr3:uid="{1C1F973D-7421-4E9E-A33C-5EC6AF57D061}" name="Institution Name"/>
    <tableColumn id="2" xr3:uid="{88739272-A437-45B3-AB08-442D6CE6422B}" name="Credential ID"/>
    <tableColumn id="3" xr3:uid="{DA4E3341-0413-4F1B-8A87-24EEF0A2789A}" name="Next Cursor"/>
    <tableColumn id="4" xr3:uid="{ECB3AE42-9C04-4AD7-8114-D0CE777DB9B9}" name="Balance"/>
    <tableColumn id="5" xr3:uid="{5ECD8CD2-CE7E-488B-AD87-C9937FFEE2E0}" name="Mask"/>
    <tableColumn id="6" xr3:uid="{AF743B31-A08D-40F9-89EC-3D5255949E9A}" name="Name"/>
    <tableColumn id="7" xr3:uid="{1C59C5AC-7623-40CD-95A7-98B4BF158C01}" name="Plaid Account ID"/>
    <tableColumn id="8" xr3:uid="{2A4A4452-2CAA-435C-8FCE-D44344540866}" name="Subtype"/>
    <tableColumn id="9" xr3:uid="{874F2CFA-78B9-45D3-9C90-FC93D3E12F49}" name="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1D1956-10E9-47C2-94E2-17878B56C857}" name="Transactions" displayName="Transactions" ref="A1:U2" insertRow="1" totalsRowShown="0">
  <autoFilter ref="A1:U2" xr:uid="{9C1D1956-10E9-47C2-94E2-17878B56C857}"/>
  <tableColumns count="21">
    <tableColumn id="1" xr3:uid="{51422D36-8608-402D-9556-E21ADF235E19}" name="Account ID"/>
    <tableColumn id="2" xr3:uid="{70D00C6D-82FC-44EA-A188-8DD337183763}" name="Action"/>
    <tableColumn id="3" xr3:uid="{8A8261D0-0207-43EC-8022-AB0EEF2AD790}" name="Amount"/>
    <tableColumn id="4" xr3:uid="{4CA7917F-D21A-40C7-8E8E-D46E718BFB4A}" name="Categories"/>
    <tableColumn id="16" xr3:uid="{27066D41-1BF1-4973-BB0A-2BAA6E9C038E}" name="Datetime" dataDxfId="13"/>
    <tableColumn id="6" xr3:uid="{E52EABFC-6041-4F1E-9E9E-16E710A8C058}" name="ISO Currency Code"/>
    <tableColumn id="7" xr3:uid="{BD48680A-5F96-4A54-B799-B9D32BA9DFA8}" name="Merchant Name"/>
    <tableColumn id="8" xr3:uid="{9863C03B-47E9-4B7F-AD43-12D173B61697}" name="Name"/>
    <tableColumn id="9" xr3:uid="{8809F606-8D59-48E1-9DA3-8D175347E23A}" name="Payment Channel"/>
    <tableColumn id="10" xr3:uid="{E12A8AEC-3150-482F-A321-E8C64CE312E2}" name="Pending"/>
    <tableColumn id="11" xr3:uid="{E99C4E9D-5566-4001-812B-BA0744191FBD}" name="Transaction ID"/>
    <tableColumn id="12" xr3:uid="{F15D2B2F-3ECF-4B44-B153-7021FFA8E60C}" name="Account Name" dataDxfId="12"/>
    <tableColumn id="13" xr3:uid="{8E174EF5-A9D6-42F7-AB5D-D912A144E77B}" name="Bank" dataDxfId="11"/>
    <tableColumn id="15" xr3:uid="{7184C2C1-CC86-4ADF-B1EA-DAA18A3DBCFD}" name="Operation" dataDxfId="10"/>
    <tableColumn id="14" xr3:uid="{63F95195-6109-4F2E-B0D6-A0CB6C7B9505}" name="Custom Category" dataDxfId="9"/>
    <tableColumn id="19" xr3:uid="{B93D5812-027F-4158-855E-DF1B2AC36DA5}" name="Month" dataDxfId="8"/>
    <tableColumn id="17" xr3:uid="{6992B076-C5E4-4386-B486-B5CCF9425AA7}" name="Recent" dataDxfId="7"/>
    <tableColumn id="21" xr3:uid="{FD248E00-CFDF-4194-8637-1627E9D25D38}" name="6M AVG" dataDxfId="6" dataCellStyle="Currency"/>
    <tableColumn id="18" xr3:uid="{FB0F68A0-09BE-4DFC-9D8C-F2F45CE00EC7}" name="Month's Total" dataDxfId="5"/>
    <tableColumn id="20" xr3:uid="{6DF09082-20C1-468F-A4B4-4F5E30F307D9}" name="Budget" dataDxfId="4"/>
    <tableColumn id="23" xr3:uid="{AC57BF83-C480-477C-B5D0-FF43C0E76C8F}" name="Sel Month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E87A8B-9592-49B6-B54F-1919543F54A3}" name="Frequency" displayName="Frequency" ref="A1:B8" totalsRowShown="0">
  <autoFilter ref="A1:B8" xr:uid="{5AE87A8B-9592-49B6-B54F-1919543F54A3}"/>
  <tableColumns count="2">
    <tableColumn id="1" xr3:uid="{D7BA4E04-1AE1-43A9-A966-18DB2247326A}" name="Frequency"/>
    <tableColumn id="2" xr3:uid="{125A5E8B-A376-4599-BB58-76287B58F06B}" name="Factor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F1414F-96E9-4B67-AB39-89A50C1521B4}" name="Formulas" displayName="Formulas" ref="F1:G11" totalsRowShown="0">
  <autoFilter ref="F1:G11" xr:uid="{26F1414F-96E9-4B67-AB39-89A50C1521B4}"/>
  <tableColumns count="2">
    <tableColumn id="1" xr3:uid="{9ECDC0E2-4F0D-4A1D-9482-C61493A1058B}" name="Column"/>
    <tableColumn id="2" xr3:uid="{BDE7DF94-BE05-44B7-8CAD-A90302EDAD03}" name="Formula" dataDxfId="2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C2CB80-DDEC-4192-81E5-97A5665E58A3}" name="Names" displayName="Names" ref="I1:J3" totalsRowShown="0">
  <autoFilter ref="I1:J3" xr:uid="{95C2CB80-DDEC-4192-81E5-97A5665E58A3}"/>
  <tableColumns count="2">
    <tableColumn id="1" xr3:uid="{F6C1AB8E-1DCA-4067-997C-BA19E70D7D62}" name="Name"/>
    <tableColumn id="2" xr3:uid="{511AE662-79B4-4CEB-AAEE-2B5BEEFE5356}" name="Formul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" visibility="1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890b82-86e7-4f79-9a57-bf6c14c7714d}">
  <we:reference id="12890b82-86e7-4f79-9a57-bf6c14c7714d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000"/>
  <sheetViews>
    <sheetView tabSelected="1" zoomScale="130" zoomScaleNormal="130" workbookViewId="0">
      <selection activeCell="F4" sqref="F4"/>
    </sheetView>
  </sheetViews>
  <sheetFormatPr defaultRowHeight="15" x14ac:dyDescent="0.25"/>
  <cols>
    <col min="1" max="1" width="24.85546875" customWidth="1"/>
    <col min="2" max="2" width="8.140625" bestFit="1" customWidth="1"/>
    <col min="3" max="3" width="8.5703125" bestFit="1" customWidth="1"/>
    <col min="4" max="4" width="7.140625" customWidth="1"/>
    <col min="5" max="5" width="22" customWidth="1"/>
    <col min="6" max="9" width="13.42578125" customWidth="1"/>
    <col min="10" max="10" width="7.85546875" customWidth="1"/>
    <col min="11" max="11" width="26.28515625" customWidth="1"/>
    <col min="12" max="12" width="17.42578125" customWidth="1"/>
    <col min="13" max="13" width="11.5703125" customWidth="1"/>
    <col min="14" max="14" width="10.7109375" bestFit="1" customWidth="1"/>
    <col min="15" max="15" width="7.28515625" customWidth="1"/>
    <col min="16" max="16" width="21.7109375" customWidth="1"/>
    <col min="17" max="17" width="11.140625" bestFit="1" customWidth="1"/>
    <col min="18" max="18" width="26.5703125" bestFit="1" customWidth="1"/>
    <col min="19" max="19" width="14.5703125" bestFit="1" customWidth="1"/>
    <col min="20" max="20" width="16.7109375" bestFit="1" customWidth="1"/>
    <col min="21" max="21" width="15.7109375" bestFit="1" customWidth="1"/>
    <col min="22" max="22" width="24.5703125" bestFit="1" customWidth="1"/>
    <col min="23" max="23" width="26.42578125" bestFit="1" customWidth="1"/>
    <col min="24" max="24" width="29" bestFit="1" customWidth="1"/>
    <col min="25" max="25" width="35.5703125" bestFit="1" customWidth="1"/>
    <col min="26" max="26" width="11.28515625" bestFit="1" customWidth="1"/>
  </cols>
  <sheetData>
    <row r="1" spans="1:18" ht="21" x14ac:dyDescent="0.35">
      <c r="A1" s="4" t="s">
        <v>63</v>
      </c>
      <c r="E1" s="4" t="s">
        <v>28</v>
      </c>
      <c r="H1" s="9" t="s">
        <v>25</v>
      </c>
      <c r="I1" s="10"/>
      <c r="K1" s="4" t="s">
        <v>29</v>
      </c>
      <c r="P1" s="4" t="s">
        <v>23</v>
      </c>
    </row>
    <row r="2" spans="1:18" ht="30" x14ac:dyDescent="0.25">
      <c r="A2" s="1" t="s">
        <v>67</v>
      </c>
      <c r="B2" t="s">
        <v>65</v>
      </c>
      <c r="C2" t="s">
        <v>66</v>
      </c>
      <c r="E2" s="1" t="s">
        <v>68</v>
      </c>
      <c r="F2" s="8" t="s">
        <v>40</v>
      </c>
      <c r="G2" s="8" t="s">
        <v>41</v>
      </c>
      <c r="H2" s="9" t="s">
        <v>43</v>
      </c>
      <c r="I2" s="9" t="s">
        <v>62</v>
      </c>
      <c r="K2" t="s">
        <v>20</v>
      </c>
      <c r="L2" t="s">
        <v>30</v>
      </c>
      <c r="M2" t="s">
        <v>11</v>
      </c>
      <c r="N2" t="s">
        <v>34</v>
      </c>
      <c r="P2" t="s">
        <v>5</v>
      </c>
      <c r="Q2" t="s">
        <v>11</v>
      </c>
      <c r="R2" t="s">
        <v>20</v>
      </c>
    </row>
    <row r="3" spans="1:18" x14ac:dyDescent="0.25">
      <c r="A3" s="2" t="s">
        <v>45</v>
      </c>
      <c r="C3" s="19"/>
      <c r="E3" s="2" t="s">
        <v>45</v>
      </c>
      <c r="F3" s="5"/>
      <c r="G3" s="5"/>
      <c r="H3" s="11" cm="1">
        <f t="array" ref="H3">_xlfn.IFS(E3="","",E3="Grand Total",SUM(H$2:H2),TRUE,IF(COUNTIF(Transactions[Custom Category],E3)&gt;0,SUMIFS(Transactions[Amount],Transactions[Custom Category],E3,Transactions[Month],Sel_Month),SUMIFS(Transactions[Amount],Transactions[Name],E3,Transactions[Month],Sel_Month)))</f>
        <v>0</v>
      </c>
      <c r="I3" s="12" t="str">
        <f>IF(G3="","",IF(G3=0,0,1-((G3-H3)/G3)))</f>
        <v/>
      </c>
      <c r="M3" s="6"/>
      <c r="N3" s="7"/>
    </row>
    <row r="4" spans="1:18" x14ac:dyDescent="0.25">
      <c r="A4" s="13" t="s">
        <v>45</v>
      </c>
      <c r="C4" s="19"/>
      <c r="E4" s="13" t="s">
        <v>45</v>
      </c>
      <c r="F4" s="5"/>
      <c r="G4" s="5"/>
      <c r="H4" s="11" cm="1">
        <f t="array" ref="H4">_xlfn.IFS(E4="","",E4="Grand Total",SUM(H$2:H3),TRUE,IF(COUNTIF(Transactions[Custom Category],E4)&gt;0,SUMIFS(Transactions[Amount],Transactions[Custom Category],E4,Transactions[Month],Sel_Month),SUMIFS(Transactions[Amount],Transactions[Name],E4,Transactions[Month],Sel_Month)))</f>
        <v>0</v>
      </c>
      <c r="I4" s="12" t="str">
        <f t="shared" ref="I4:I67" si="0">IF(G4="","",IF(G4=0,0,1-((G4-H4)/G4)))</f>
        <v/>
      </c>
    </row>
    <row r="5" spans="1:18" x14ac:dyDescent="0.25">
      <c r="A5" s="18" t="s">
        <v>45</v>
      </c>
      <c r="C5" s="19"/>
      <c r="E5" s="2" t="s">
        <v>44</v>
      </c>
      <c r="F5" s="5"/>
      <c r="G5" s="5"/>
      <c r="H5" s="11" cm="1">
        <f t="array" ref="H5">_xlfn.IFS(E5="","",E5="Grand Total",SUM(H$2:H4),TRUE,IF(COUNTIF(Transactions[Custom Category],E5)&gt;0,SUMIFS(Transactions[Amount],Transactions[Custom Category],E5,Transactions[Month],Sel_Month),SUMIFS(Transactions[Amount],Transactions[Name],E5,Transactions[Month],Sel_Month)))</f>
        <v>0</v>
      </c>
      <c r="I5" s="12" t="str">
        <f t="shared" si="0"/>
        <v/>
      </c>
    </row>
    <row r="6" spans="1:18" x14ac:dyDescent="0.25">
      <c r="A6" s="2" t="s">
        <v>64</v>
      </c>
      <c r="C6" s="19"/>
      <c r="H6" s="11" t="str" cm="1">
        <f t="array" ref="H6">_xlfn.IFS(E6="","",E6="Grand Total",SUM(H$2:H5),TRUE,IF(COUNTIF(Transactions[Custom Category],E6)&gt;0,SUMIFS(Transactions[Amount],Transactions[Custom Category],E6,Transactions[Month],Sel_Month),SUMIFS(Transactions[Amount],Transactions[Name],E6,Transactions[Month],Sel_Month)))</f>
        <v/>
      </c>
      <c r="I6" s="12" t="str">
        <f t="shared" si="0"/>
        <v/>
      </c>
    </row>
    <row r="7" spans="1:18" x14ac:dyDescent="0.25">
      <c r="H7" s="11" t="str" cm="1">
        <f t="array" ref="H7">_xlfn.IFS(E7="","",E7="Grand Total",SUM(H$2:H6),TRUE,IF(COUNTIF(Transactions[Custom Category],E7)&gt;0,SUMIFS(Transactions[Amount],Transactions[Custom Category],E7,Transactions[Month],Sel_Month),SUMIFS(Transactions[Amount],Transactions[Name],E7,Transactions[Month],Sel_Month)))</f>
        <v/>
      </c>
      <c r="I7" s="12" t="str">
        <f t="shared" si="0"/>
        <v/>
      </c>
    </row>
    <row r="8" spans="1:18" x14ac:dyDescent="0.25">
      <c r="D8" s="11"/>
      <c r="H8" s="11" t="str" cm="1">
        <f t="array" ref="H8">_xlfn.IFS(E8="","",E8="Grand Total",SUM(H$2:H7),TRUE,IF(COUNTIF(Transactions[Custom Category],E8)&gt;0,SUMIFS(Transactions[Amount],Transactions[Custom Category],E8,Transactions[Month],Sel_Month),SUMIFS(Transactions[Amount],Transactions[Name],E8,Transactions[Month],Sel_Month)))</f>
        <v/>
      </c>
      <c r="I8" s="12" t="str">
        <f t="shared" si="0"/>
        <v/>
      </c>
    </row>
    <row r="9" spans="1:18" x14ac:dyDescent="0.25">
      <c r="D9" s="11"/>
      <c r="H9" s="11" t="str" cm="1">
        <f t="array" ref="H9">_xlfn.IFS(E9="","",E9="Grand Total",SUM(H$2:H8),TRUE,IF(COUNTIF(Transactions[Custom Category],E9)&gt;0,SUMIFS(Transactions[Amount],Transactions[Custom Category],E9,Transactions[Month],Sel_Month),SUMIFS(Transactions[Amount],Transactions[Name],E9,Transactions[Month],Sel_Month)))</f>
        <v/>
      </c>
      <c r="I9" s="12" t="str">
        <f t="shared" si="0"/>
        <v/>
      </c>
    </row>
    <row r="10" spans="1:18" x14ac:dyDescent="0.25">
      <c r="D10" s="11"/>
      <c r="H10" s="11" t="str" cm="1">
        <f t="array" ref="H10">_xlfn.IFS(E10="","",E10="Grand Total",SUM(H$2:H9),TRUE,IF(COUNTIF(Transactions[Custom Category],E10)&gt;0,SUMIFS(Transactions[Amount],Transactions[Custom Category],E10,Transactions[Month],Sel_Month),SUMIFS(Transactions[Amount],Transactions[Name],E10,Transactions[Month],Sel_Month)))</f>
        <v/>
      </c>
      <c r="I10" s="12" t="str">
        <f t="shared" si="0"/>
        <v/>
      </c>
    </row>
    <row r="11" spans="1:18" x14ac:dyDescent="0.25">
      <c r="D11" s="11"/>
      <c r="H11" s="11" t="str" cm="1">
        <f t="array" ref="H11">_xlfn.IFS(E11="","",E11="Grand Total",SUM(H$2:H10),TRUE,IF(COUNTIF(Transactions[Custom Category],E11)&gt;0,SUMIFS(Transactions[Amount],Transactions[Custom Category],E11,Transactions[Month],Sel_Month),SUMIFS(Transactions[Amount],Transactions[Name],E11,Transactions[Month],Sel_Month)))</f>
        <v/>
      </c>
      <c r="I11" s="12" t="str">
        <f t="shared" si="0"/>
        <v/>
      </c>
    </row>
    <row r="12" spans="1:18" x14ac:dyDescent="0.25">
      <c r="H12" s="11" t="str" cm="1">
        <f t="array" ref="H12">_xlfn.IFS(E12="","",E12="Grand Total",SUM(H$2:H11),TRUE,IF(COUNTIF(Transactions[Custom Category],E12)&gt;0,SUMIFS(Transactions[Amount],Transactions[Custom Category],E12,Transactions[Month],Sel_Month),SUMIFS(Transactions[Amount],Transactions[Name],E12,Transactions[Month],Sel_Month)))</f>
        <v/>
      </c>
      <c r="I12" s="12" t="str">
        <f t="shared" si="0"/>
        <v/>
      </c>
    </row>
    <row r="13" spans="1:18" x14ac:dyDescent="0.25">
      <c r="H13" s="11" t="str" cm="1">
        <f t="array" ref="H13">_xlfn.IFS(E13="","",E13="Grand Total",SUM(H$2:H12),TRUE,IF(COUNTIF(Transactions[Custom Category],E13)&gt;0,SUMIFS(Transactions[Amount],Transactions[Custom Category],E13,Transactions[Month],Sel_Month),SUMIFS(Transactions[Amount],Transactions[Name],E13,Transactions[Month],Sel_Month)))</f>
        <v/>
      </c>
      <c r="I13" s="12" t="str">
        <f t="shared" si="0"/>
        <v/>
      </c>
    </row>
    <row r="14" spans="1:18" x14ac:dyDescent="0.25">
      <c r="H14" s="11" t="str" cm="1">
        <f t="array" ref="H14">_xlfn.IFS(E14="","",E14="Grand Total",SUM(H$2:H13),TRUE,IF(COUNTIF(Transactions[Custom Category],E14)&gt;0,SUMIFS(Transactions[Amount],Transactions[Custom Category],E14,Transactions[Month],Sel_Month),SUMIFS(Transactions[Amount],Transactions[Name],E14,Transactions[Month],Sel_Month)))</f>
        <v/>
      </c>
      <c r="I14" s="12" t="str">
        <f t="shared" si="0"/>
        <v/>
      </c>
    </row>
    <row r="15" spans="1:18" x14ac:dyDescent="0.25">
      <c r="H15" s="11" t="str" cm="1">
        <f t="array" ref="H15">_xlfn.IFS(E15="","",E15="Grand Total",SUM(H$2:H14),TRUE,IF(COUNTIF(Transactions[Custom Category],E15)&gt;0,SUMIFS(Transactions[Amount],Transactions[Custom Category],E15,Transactions[Month],Sel_Month),SUMIFS(Transactions[Amount],Transactions[Name],E15,Transactions[Month],Sel_Month)))</f>
        <v/>
      </c>
      <c r="I15" s="12" t="str">
        <f t="shared" si="0"/>
        <v/>
      </c>
    </row>
    <row r="16" spans="1:18" x14ac:dyDescent="0.25">
      <c r="H16" s="11" t="str" cm="1">
        <f t="array" ref="H16">_xlfn.IFS(E16="","",E16="Grand Total",SUM(H$2:H15),TRUE,IF(COUNTIF(Transactions[Custom Category],E16)&gt;0,SUMIFS(Transactions[Amount],Transactions[Custom Category],E16,Transactions[Month],Sel_Month),SUMIFS(Transactions[Amount],Transactions[Name],E16,Transactions[Month],Sel_Month)))</f>
        <v/>
      </c>
      <c r="I16" s="12" t="str">
        <f t="shared" si="0"/>
        <v/>
      </c>
    </row>
    <row r="17" spans="4:9" x14ac:dyDescent="0.25">
      <c r="D17" s="11"/>
      <c r="H17" s="11" t="str" cm="1">
        <f t="array" ref="H17">_xlfn.IFS(E17="","",E17="Grand Total",SUM(H$2:H16),TRUE,IF(COUNTIF(Transactions[Custom Category],E17)&gt;0,SUMIFS(Transactions[Amount],Transactions[Custom Category],E17,Transactions[Month],Sel_Month),SUMIFS(Transactions[Amount],Transactions[Name],E17,Transactions[Month],Sel_Month)))</f>
        <v/>
      </c>
      <c r="I17" s="12" t="str">
        <f t="shared" si="0"/>
        <v/>
      </c>
    </row>
    <row r="18" spans="4:9" x14ac:dyDescent="0.25">
      <c r="D18" s="11"/>
      <c r="H18" s="11" t="str" cm="1">
        <f t="array" ref="H18">_xlfn.IFS(E18="","",E18="Grand Total",SUM(H$2:H17),TRUE,IF(COUNTIF(Transactions[Custom Category],E18)&gt;0,SUMIFS(Transactions[Amount],Transactions[Custom Category],E18,Transactions[Month],Sel_Month),SUMIFS(Transactions[Amount],Transactions[Name],E18,Transactions[Month],Sel_Month)))</f>
        <v/>
      </c>
      <c r="I18" s="12" t="str">
        <f t="shared" si="0"/>
        <v/>
      </c>
    </row>
    <row r="19" spans="4:9" x14ac:dyDescent="0.25">
      <c r="D19" s="11"/>
      <c r="H19" s="11" t="str" cm="1">
        <f t="array" ref="H19">_xlfn.IFS(E19="","",E19="Grand Total",SUM(H$2:H18),TRUE,IF(COUNTIF(Transactions[Custom Category],E19)&gt;0,SUMIFS(Transactions[Amount],Transactions[Custom Category],E19,Transactions[Month],Sel_Month),SUMIFS(Transactions[Amount],Transactions[Name],E19,Transactions[Month],Sel_Month)))</f>
        <v/>
      </c>
      <c r="I19" s="12" t="str">
        <f t="shared" si="0"/>
        <v/>
      </c>
    </row>
    <row r="20" spans="4:9" x14ac:dyDescent="0.25">
      <c r="D20" s="11"/>
      <c r="H20" s="11" t="str" cm="1">
        <f t="array" ref="H20">_xlfn.IFS(E20="","",E20="Grand Total",SUM(H$2:H19),TRUE,IF(COUNTIF(Transactions[Custom Category],E20)&gt;0,SUMIFS(Transactions[Amount],Transactions[Custom Category],E20,Transactions[Month],Sel_Month),SUMIFS(Transactions[Amount],Transactions[Name],E20,Transactions[Month],Sel_Month)))</f>
        <v/>
      </c>
      <c r="I20" s="12" t="str">
        <f t="shared" si="0"/>
        <v/>
      </c>
    </row>
    <row r="21" spans="4:9" x14ac:dyDescent="0.25">
      <c r="D21" s="11"/>
      <c r="H21" s="11" t="str" cm="1">
        <f t="array" ref="H21">_xlfn.IFS(E21="","",E21="Grand Total",SUM(H$2:H20),TRUE,IF(COUNTIF(Transactions[Custom Category],E21)&gt;0,SUMIFS(Transactions[Amount],Transactions[Custom Category],E21,Transactions[Month],Sel_Month),SUMIFS(Transactions[Amount],Transactions[Name],E21,Transactions[Month],Sel_Month)))</f>
        <v/>
      </c>
      <c r="I21" s="12" t="str">
        <f t="shared" si="0"/>
        <v/>
      </c>
    </row>
    <row r="22" spans="4:9" x14ac:dyDescent="0.25">
      <c r="D22" s="11"/>
      <c r="H22" s="11" t="str" cm="1">
        <f t="array" ref="H22">_xlfn.IFS(E22="","",E22="Grand Total",SUM(H$2:H21),TRUE,IF(COUNTIF(Transactions[Custom Category],E22)&gt;0,SUMIFS(Transactions[Amount],Transactions[Custom Category],E22,Transactions[Month],Sel_Month),SUMIFS(Transactions[Amount],Transactions[Name],E22,Transactions[Month],Sel_Month)))</f>
        <v/>
      </c>
      <c r="I22" s="12" t="str">
        <f t="shared" si="0"/>
        <v/>
      </c>
    </row>
    <row r="23" spans="4:9" x14ac:dyDescent="0.25">
      <c r="D23" s="11"/>
      <c r="H23" s="11" t="str" cm="1">
        <f t="array" ref="H23">_xlfn.IFS(E23="","",E23="Grand Total",SUM(H$2:H22),TRUE,IF(COUNTIF(Transactions[Custom Category],E23)&gt;0,SUMIFS(Transactions[Amount],Transactions[Custom Category],E23,Transactions[Month],Sel_Month),SUMIFS(Transactions[Amount],Transactions[Name],E23,Transactions[Month],Sel_Month)))</f>
        <v/>
      </c>
      <c r="I23" s="12" t="str">
        <f t="shared" si="0"/>
        <v/>
      </c>
    </row>
    <row r="24" spans="4:9" x14ac:dyDescent="0.25">
      <c r="D24" s="11"/>
      <c r="H24" s="11" t="str" cm="1">
        <f t="array" ref="H24">_xlfn.IFS(E24="","",E24="Grand Total",SUM(H$2:H23),TRUE,IF(COUNTIF(Transactions[Custom Category],E24)&gt;0,SUMIFS(Transactions[Amount],Transactions[Custom Category],E24,Transactions[Month],Sel_Month),SUMIFS(Transactions[Amount],Transactions[Name],E24,Transactions[Month],Sel_Month)))</f>
        <v/>
      </c>
      <c r="I24" s="12" t="str">
        <f t="shared" si="0"/>
        <v/>
      </c>
    </row>
    <row r="25" spans="4:9" x14ac:dyDescent="0.25">
      <c r="D25" s="11"/>
      <c r="H25" s="11" t="str" cm="1">
        <f t="array" ref="H25">_xlfn.IFS(E25="","",E25="Grand Total",SUM(H$2:H24),TRUE,IF(COUNTIF(Transactions[Custom Category],E25)&gt;0,SUMIFS(Transactions[Amount],Transactions[Custom Category],E25,Transactions[Month],Sel_Month),SUMIFS(Transactions[Amount],Transactions[Name],E25,Transactions[Month],Sel_Month)))</f>
        <v/>
      </c>
      <c r="I25" s="12" t="str">
        <f t="shared" si="0"/>
        <v/>
      </c>
    </row>
    <row r="26" spans="4:9" x14ac:dyDescent="0.25">
      <c r="D26" s="11"/>
      <c r="H26" s="11" t="str" cm="1">
        <f t="array" ref="H26">_xlfn.IFS(E26="","",E26="Grand Total",SUM(H$2:H25),TRUE,IF(COUNTIF(Transactions[Custom Category],E26)&gt;0,SUMIFS(Transactions[Amount],Transactions[Custom Category],E26,Transactions[Month],Sel_Month),SUMIFS(Transactions[Amount],Transactions[Name],E26,Transactions[Month],Sel_Month)))</f>
        <v/>
      </c>
      <c r="I26" s="12" t="str">
        <f t="shared" si="0"/>
        <v/>
      </c>
    </row>
    <row r="27" spans="4:9" x14ac:dyDescent="0.25">
      <c r="D27" s="11"/>
      <c r="H27" s="11" t="str" cm="1">
        <f t="array" ref="H27">_xlfn.IFS(E27="","",E27="Grand Total",SUM(H$2:H26),TRUE,IF(COUNTIF(Transactions[Custom Category],E27)&gt;0,SUMIFS(Transactions[Amount],Transactions[Custom Category],E27,Transactions[Month],Sel_Month),SUMIFS(Transactions[Amount],Transactions[Name],E27,Transactions[Month],Sel_Month)))</f>
        <v/>
      </c>
      <c r="I27" s="12" t="str">
        <f t="shared" si="0"/>
        <v/>
      </c>
    </row>
    <row r="28" spans="4:9" x14ac:dyDescent="0.25">
      <c r="D28" s="11"/>
      <c r="H28" s="11" t="str" cm="1">
        <f t="array" ref="H28">_xlfn.IFS(E28="","",E28="Grand Total",SUM(H$2:H27),TRUE,IF(COUNTIF(Transactions[Custom Category],E28)&gt;0,SUMIFS(Transactions[Amount],Transactions[Custom Category],E28,Transactions[Month],Sel_Month),SUMIFS(Transactions[Amount],Transactions[Name],E28,Transactions[Month],Sel_Month)))</f>
        <v/>
      </c>
      <c r="I28" s="12" t="str">
        <f t="shared" si="0"/>
        <v/>
      </c>
    </row>
    <row r="29" spans="4:9" x14ac:dyDescent="0.25">
      <c r="D29" s="11"/>
      <c r="H29" s="11" t="str" cm="1">
        <f t="array" ref="H29">_xlfn.IFS(E29="","",E29="Grand Total",SUM(H$2:H28),TRUE,IF(COUNTIF(Transactions[Custom Category],E29)&gt;0,SUMIFS(Transactions[Amount],Transactions[Custom Category],E29,Transactions[Month],Sel_Month),SUMIFS(Transactions[Amount],Transactions[Name],E29,Transactions[Month],Sel_Month)))</f>
        <v/>
      </c>
      <c r="I29" s="12" t="str">
        <f t="shared" si="0"/>
        <v/>
      </c>
    </row>
    <row r="30" spans="4:9" x14ac:dyDescent="0.25">
      <c r="D30" s="11"/>
      <c r="H30" s="11" t="str" cm="1">
        <f t="array" ref="H30">_xlfn.IFS(E30="","",E30="Grand Total",SUM(H$2:H29),TRUE,IF(COUNTIF(Transactions[Custom Category],E30)&gt;0,SUMIFS(Transactions[Amount],Transactions[Custom Category],E30,Transactions[Month],Sel_Month),SUMIFS(Transactions[Amount],Transactions[Name],E30,Transactions[Month],Sel_Month)))</f>
        <v/>
      </c>
      <c r="I30" s="12" t="str">
        <f t="shared" si="0"/>
        <v/>
      </c>
    </row>
    <row r="31" spans="4:9" x14ac:dyDescent="0.25">
      <c r="D31" s="11"/>
      <c r="H31" s="11" t="str" cm="1">
        <f t="array" ref="H31">_xlfn.IFS(E31="","",E31="Grand Total",SUM(H$2:H30),TRUE,IF(COUNTIF(Transactions[Custom Category],E31)&gt;0,SUMIFS(Transactions[Amount],Transactions[Custom Category],E31,Transactions[Month],Sel_Month),SUMIFS(Transactions[Amount],Transactions[Name],E31,Transactions[Month],Sel_Month)))</f>
        <v/>
      </c>
      <c r="I31" s="12" t="str">
        <f t="shared" si="0"/>
        <v/>
      </c>
    </row>
    <row r="32" spans="4:9" x14ac:dyDescent="0.25">
      <c r="D32" s="11"/>
      <c r="H32" s="11" t="str" cm="1">
        <f t="array" ref="H32">_xlfn.IFS(E32="","",E32="Grand Total",SUM(H$2:H31),TRUE,IF(COUNTIF(Transactions[Custom Category],E32)&gt;0,SUMIFS(Transactions[Amount],Transactions[Custom Category],E32,Transactions[Month],Sel_Month),SUMIFS(Transactions[Amount],Transactions[Name],E32,Transactions[Month],Sel_Month)))</f>
        <v/>
      </c>
      <c r="I32" s="12" t="str">
        <f t="shared" si="0"/>
        <v/>
      </c>
    </row>
    <row r="33" spans="4:9" x14ac:dyDescent="0.25">
      <c r="D33" s="11"/>
      <c r="H33" s="11" t="str" cm="1">
        <f t="array" ref="H33">_xlfn.IFS(E33="","",E33="Grand Total",SUM(H$2:H32),TRUE,IF(COUNTIF(Transactions[Custom Category],E33)&gt;0,SUMIFS(Transactions[Amount],Transactions[Custom Category],E33,Transactions[Month],Sel_Month),SUMIFS(Transactions[Amount],Transactions[Name],E33,Transactions[Month],Sel_Month)))</f>
        <v/>
      </c>
      <c r="I33" s="12" t="str">
        <f t="shared" si="0"/>
        <v/>
      </c>
    </row>
    <row r="34" spans="4:9" x14ac:dyDescent="0.25">
      <c r="D34" s="11"/>
      <c r="H34" s="11" t="str" cm="1">
        <f t="array" ref="H34">_xlfn.IFS(E34="","",E34="Grand Total",SUM(H$2:H33),TRUE,IF(COUNTIF(Transactions[Custom Category],E34)&gt;0,SUMIFS(Transactions[Amount],Transactions[Custom Category],E34,Transactions[Month],Sel_Month),SUMIFS(Transactions[Amount],Transactions[Name],E34,Transactions[Month],Sel_Month)))</f>
        <v/>
      </c>
      <c r="I34" s="12" t="str">
        <f t="shared" si="0"/>
        <v/>
      </c>
    </row>
    <row r="35" spans="4:9" x14ac:dyDescent="0.25">
      <c r="D35" s="11"/>
      <c r="H35" s="11" t="str" cm="1">
        <f t="array" ref="H35">_xlfn.IFS(E35="","",E35="Grand Total",SUM(H$2:H34),TRUE,IF(COUNTIF(Transactions[Custom Category],E35)&gt;0,SUMIFS(Transactions[Amount],Transactions[Custom Category],E35,Transactions[Month],Sel_Month),SUMIFS(Transactions[Amount],Transactions[Name],E35,Transactions[Month],Sel_Month)))</f>
        <v/>
      </c>
      <c r="I35" s="12" t="str">
        <f t="shared" si="0"/>
        <v/>
      </c>
    </row>
    <row r="36" spans="4:9" x14ac:dyDescent="0.25">
      <c r="D36" s="11"/>
      <c r="H36" s="11" t="str" cm="1">
        <f t="array" ref="H36">_xlfn.IFS(E36="","",E36="Grand Total",SUM(H$2:H35),TRUE,IF(COUNTIF(Transactions[Custom Category],E36)&gt;0,SUMIFS(Transactions[Amount],Transactions[Custom Category],E36,Transactions[Month],Sel_Month),SUMIFS(Transactions[Amount],Transactions[Name],E36,Transactions[Month],Sel_Month)))</f>
        <v/>
      </c>
      <c r="I36" s="12" t="str">
        <f t="shared" si="0"/>
        <v/>
      </c>
    </row>
    <row r="37" spans="4:9" x14ac:dyDescent="0.25">
      <c r="D37" s="11"/>
      <c r="H37" s="11" t="str" cm="1">
        <f t="array" ref="H37">_xlfn.IFS(E37="","",E37="Grand Total",SUM(H$2:H36),TRUE,IF(COUNTIF(Transactions[Custom Category],E37)&gt;0,SUMIFS(Transactions[Amount],Transactions[Custom Category],E37,Transactions[Month],Sel_Month),SUMIFS(Transactions[Amount],Transactions[Name],E37,Transactions[Month],Sel_Month)))</f>
        <v/>
      </c>
      <c r="I37" s="12" t="str">
        <f t="shared" si="0"/>
        <v/>
      </c>
    </row>
    <row r="38" spans="4:9" x14ac:dyDescent="0.25">
      <c r="D38" s="11"/>
      <c r="H38" s="11" t="str" cm="1">
        <f t="array" ref="H38">_xlfn.IFS(E38="","",E38="Grand Total",SUM(H$2:H37),TRUE,IF(COUNTIF(Transactions[Custom Category],E38)&gt;0,SUMIFS(Transactions[Amount],Transactions[Custom Category],E38,Transactions[Month],Sel_Month),SUMIFS(Transactions[Amount],Transactions[Name],E38,Transactions[Month],Sel_Month)))</f>
        <v/>
      </c>
      <c r="I38" s="12" t="str">
        <f t="shared" si="0"/>
        <v/>
      </c>
    </row>
    <row r="39" spans="4:9" x14ac:dyDescent="0.25">
      <c r="D39" s="11"/>
      <c r="H39" s="11" t="str" cm="1">
        <f t="array" ref="H39">_xlfn.IFS(E39="","",E39="Grand Total",SUM(H$2:H38),TRUE,IF(COUNTIF(Transactions[Custom Category],E39)&gt;0,SUMIFS(Transactions[Amount],Transactions[Custom Category],E39,Transactions[Month],Sel_Month),SUMIFS(Transactions[Amount],Transactions[Name],E39,Transactions[Month],Sel_Month)))</f>
        <v/>
      </c>
      <c r="I39" s="12" t="str">
        <f t="shared" si="0"/>
        <v/>
      </c>
    </row>
    <row r="40" spans="4:9" x14ac:dyDescent="0.25">
      <c r="D40" s="11"/>
      <c r="H40" s="11" t="str" cm="1">
        <f t="array" ref="H40">_xlfn.IFS(E40="","",E40="Grand Total",SUM(H$2:H39),TRUE,IF(COUNTIF(Transactions[Custom Category],E40)&gt;0,SUMIFS(Transactions[Amount],Transactions[Custom Category],E40,Transactions[Month],Sel_Month),SUMIFS(Transactions[Amount],Transactions[Name],E40,Transactions[Month],Sel_Month)))</f>
        <v/>
      </c>
      <c r="I40" s="12" t="str">
        <f t="shared" si="0"/>
        <v/>
      </c>
    </row>
    <row r="41" spans="4:9" x14ac:dyDescent="0.25">
      <c r="D41" s="11"/>
      <c r="H41" s="11" t="str" cm="1">
        <f t="array" ref="H41">_xlfn.IFS(E41="","",E41="Grand Total",SUM(H$2:H40),TRUE,IF(COUNTIF(Transactions[Custom Category],E41)&gt;0,SUMIFS(Transactions[Amount],Transactions[Custom Category],E41,Transactions[Month],Sel_Month),SUMIFS(Transactions[Amount],Transactions[Name],E41,Transactions[Month],Sel_Month)))</f>
        <v/>
      </c>
      <c r="I41" s="12" t="str">
        <f t="shared" si="0"/>
        <v/>
      </c>
    </row>
    <row r="42" spans="4:9" x14ac:dyDescent="0.25">
      <c r="D42" s="11"/>
      <c r="H42" s="11" t="str" cm="1">
        <f t="array" ref="H42">_xlfn.IFS(E42="","",E42="Grand Total",SUM(H$2:H41),TRUE,IF(COUNTIF(Transactions[Custom Category],E42)&gt;0,SUMIFS(Transactions[Amount],Transactions[Custom Category],E42,Transactions[Month],Sel_Month),SUMIFS(Transactions[Amount],Transactions[Name],E42,Transactions[Month],Sel_Month)))</f>
        <v/>
      </c>
      <c r="I42" s="12" t="str">
        <f t="shared" si="0"/>
        <v/>
      </c>
    </row>
    <row r="43" spans="4:9" x14ac:dyDescent="0.25">
      <c r="D43" s="11"/>
      <c r="H43" s="11" t="str" cm="1">
        <f t="array" ref="H43">_xlfn.IFS(E43="","",E43="Grand Total",SUM(H$2:H42),TRUE,IF(COUNTIF(Transactions[Custom Category],E43)&gt;0,SUMIFS(Transactions[Amount],Transactions[Custom Category],E43,Transactions[Month],Sel_Month),SUMIFS(Transactions[Amount],Transactions[Name],E43,Transactions[Month],Sel_Month)))</f>
        <v/>
      </c>
      <c r="I43" s="12" t="str">
        <f t="shared" si="0"/>
        <v/>
      </c>
    </row>
    <row r="44" spans="4:9" x14ac:dyDescent="0.25">
      <c r="D44" s="11"/>
      <c r="H44" s="11" t="str" cm="1">
        <f t="array" ref="H44">_xlfn.IFS(E44="","",E44="Grand Total",SUM(H$2:H43),TRUE,IF(COUNTIF(Transactions[Custom Category],E44)&gt;0,SUMIFS(Transactions[Amount],Transactions[Custom Category],E44,Transactions[Month],Sel_Month),SUMIFS(Transactions[Amount],Transactions[Name],E44,Transactions[Month],Sel_Month)))</f>
        <v/>
      </c>
      <c r="I44" s="12" t="str">
        <f t="shared" si="0"/>
        <v/>
      </c>
    </row>
    <row r="45" spans="4:9" x14ac:dyDescent="0.25">
      <c r="D45" s="11"/>
      <c r="H45" s="11" t="str" cm="1">
        <f t="array" ref="H45">_xlfn.IFS(E45="","",E45="Grand Total",SUM(H$2:H44),TRUE,IF(COUNTIF(Transactions[Custom Category],E45)&gt;0,SUMIFS(Transactions[Amount],Transactions[Custom Category],E45,Transactions[Month],Sel_Month),SUMIFS(Transactions[Amount],Transactions[Name],E45,Transactions[Month],Sel_Month)))</f>
        <v/>
      </c>
      <c r="I45" s="12" t="str">
        <f t="shared" si="0"/>
        <v/>
      </c>
    </row>
    <row r="46" spans="4:9" x14ac:dyDescent="0.25">
      <c r="D46" s="11"/>
      <c r="H46" s="11" t="str" cm="1">
        <f t="array" ref="H46">_xlfn.IFS(E46="","",E46="Grand Total",SUM(H$2:H45),TRUE,IF(COUNTIF(Transactions[Custom Category],E46)&gt;0,SUMIFS(Transactions[Amount],Transactions[Custom Category],E46,Transactions[Month],Sel_Month),SUMIFS(Transactions[Amount],Transactions[Name],E46,Transactions[Month],Sel_Month)))</f>
        <v/>
      </c>
      <c r="I46" s="12" t="str">
        <f t="shared" si="0"/>
        <v/>
      </c>
    </row>
    <row r="47" spans="4:9" x14ac:dyDescent="0.25">
      <c r="D47" s="11"/>
      <c r="H47" s="11" t="str" cm="1">
        <f t="array" ref="H47">_xlfn.IFS(E47="","",E47="Grand Total",SUM(H$2:H46),TRUE,IF(COUNTIF(Transactions[Custom Category],E47)&gt;0,SUMIFS(Transactions[Amount],Transactions[Custom Category],E47,Transactions[Month],Sel_Month),SUMIFS(Transactions[Amount],Transactions[Name],E47,Transactions[Month],Sel_Month)))</f>
        <v/>
      </c>
      <c r="I47" s="12" t="str">
        <f t="shared" si="0"/>
        <v/>
      </c>
    </row>
    <row r="48" spans="4:9" x14ac:dyDescent="0.25">
      <c r="D48" s="11"/>
      <c r="H48" s="11" t="str" cm="1">
        <f t="array" ref="H48">_xlfn.IFS(E48="","",E48="Grand Total",SUM(H$2:H47),TRUE,IF(COUNTIF(Transactions[Custom Category],E48)&gt;0,SUMIFS(Transactions[Amount],Transactions[Custom Category],E48,Transactions[Month],Sel_Month),SUMIFS(Transactions[Amount],Transactions[Name],E48,Transactions[Month],Sel_Month)))</f>
        <v/>
      </c>
      <c r="I48" s="12" t="str">
        <f t="shared" si="0"/>
        <v/>
      </c>
    </row>
    <row r="49" spans="4:9" x14ac:dyDescent="0.25">
      <c r="D49" s="11"/>
      <c r="H49" s="11" t="str" cm="1">
        <f t="array" ref="H49">_xlfn.IFS(E49="","",E49="Grand Total",SUM(H$2:H48),TRUE,IF(COUNTIF(Transactions[Custom Category],E49)&gt;0,SUMIFS(Transactions[Amount],Transactions[Custom Category],E49,Transactions[Month],Sel_Month),SUMIFS(Transactions[Amount],Transactions[Name],E49,Transactions[Month],Sel_Month)))</f>
        <v/>
      </c>
      <c r="I49" s="12" t="str">
        <f t="shared" si="0"/>
        <v/>
      </c>
    </row>
    <row r="50" spans="4:9" x14ac:dyDescent="0.25">
      <c r="D50" s="11"/>
      <c r="H50" s="11" t="str" cm="1">
        <f t="array" ref="H50">_xlfn.IFS(E50="","",E50="Grand Total",SUM(H$2:H49),TRUE,IF(COUNTIF(Transactions[Custom Category],E50)&gt;0,SUMIFS(Transactions[Amount],Transactions[Custom Category],E50,Transactions[Month],Sel_Month),SUMIFS(Transactions[Amount],Transactions[Name],E50,Transactions[Month],Sel_Month)))</f>
        <v/>
      </c>
      <c r="I50" s="12" t="str">
        <f t="shared" si="0"/>
        <v/>
      </c>
    </row>
    <row r="51" spans="4:9" x14ac:dyDescent="0.25">
      <c r="D51" s="11"/>
      <c r="H51" s="11" t="str" cm="1">
        <f t="array" ref="H51">_xlfn.IFS(E51="","",E51="Grand Total",SUM(H$2:H50),TRUE,IF(COUNTIF(Transactions[Custom Category],E51)&gt;0,SUMIFS(Transactions[Amount],Transactions[Custom Category],E51,Transactions[Month],Sel_Month),SUMIFS(Transactions[Amount],Transactions[Name],E51,Transactions[Month],Sel_Month)))</f>
        <v/>
      </c>
      <c r="I51" s="12" t="str">
        <f t="shared" si="0"/>
        <v/>
      </c>
    </row>
    <row r="52" spans="4:9" x14ac:dyDescent="0.25">
      <c r="D52" s="11"/>
      <c r="H52" s="11" t="str" cm="1">
        <f t="array" ref="H52">_xlfn.IFS(E52="","",E52="Grand Total",SUM(H$2:H51),TRUE,IF(COUNTIF(Transactions[Custom Category],E52)&gt;0,SUMIFS(Transactions[Amount],Transactions[Custom Category],E52,Transactions[Month],Sel_Month),SUMIFS(Transactions[Amount],Transactions[Name],E52,Transactions[Month],Sel_Month)))</f>
        <v/>
      </c>
      <c r="I52" s="12" t="str">
        <f t="shared" si="0"/>
        <v/>
      </c>
    </row>
    <row r="53" spans="4:9" x14ac:dyDescent="0.25">
      <c r="D53" s="11"/>
      <c r="H53" s="11" t="str" cm="1">
        <f t="array" ref="H53">_xlfn.IFS(E53="","",E53="Grand Total",SUM(H$2:H52),TRUE,IF(COUNTIF(Transactions[Custom Category],E53)&gt;0,SUMIFS(Transactions[Amount],Transactions[Custom Category],E53,Transactions[Month],Sel_Month),SUMIFS(Transactions[Amount],Transactions[Name],E53,Transactions[Month],Sel_Month)))</f>
        <v/>
      </c>
      <c r="I53" s="12" t="str">
        <f t="shared" si="0"/>
        <v/>
      </c>
    </row>
    <row r="54" spans="4:9" x14ac:dyDescent="0.25">
      <c r="D54" s="11"/>
      <c r="H54" s="11" t="str" cm="1">
        <f t="array" ref="H54">_xlfn.IFS(E54="","",E54="Grand Total",SUM(H$2:H53),TRUE,IF(COUNTIF(Transactions[Custom Category],E54)&gt;0,SUMIFS(Transactions[Amount],Transactions[Custom Category],E54,Transactions[Month],Sel_Month),SUMIFS(Transactions[Amount],Transactions[Name],E54,Transactions[Month],Sel_Month)))</f>
        <v/>
      </c>
      <c r="I54" s="12" t="str">
        <f t="shared" si="0"/>
        <v/>
      </c>
    </row>
    <row r="55" spans="4:9" x14ac:dyDescent="0.25">
      <c r="D55" s="11"/>
      <c r="H55" s="11" t="str" cm="1">
        <f t="array" ref="H55">_xlfn.IFS(E55="","",E55="Grand Total",SUM(H$2:H54),TRUE,IF(COUNTIF(Transactions[Custom Category],E55)&gt;0,SUMIFS(Transactions[Amount],Transactions[Custom Category],E55,Transactions[Month],Sel_Month),SUMIFS(Transactions[Amount],Transactions[Name],E55,Transactions[Month],Sel_Month)))</f>
        <v/>
      </c>
      <c r="I55" s="12" t="str">
        <f t="shared" si="0"/>
        <v/>
      </c>
    </row>
    <row r="56" spans="4:9" x14ac:dyDescent="0.25">
      <c r="D56" s="11"/>
      <c r="H56" s="11" t="str" cm="1">
        <f t="array" ref="H56">_xlfn.IFS(E56="","",E56="Grand Total",SUM(H$2:H55),TRUE,IF(COUNTIF(Transactions[Custom Category],E56)&gt;0,SUMIFS(Transactions[Amount],Transactions[Custom Category],E56,Transactions[Month],Sel_Month),SUMIFS(Transactions[Amount],Transactions[Name],E56,Transactions[Month],Sel_Month)))</f>
        <v/>
      </c>
      <c r="I56" s="12" t="str">
        <f t="shared" si="0"/>
        <v/>
      </c>
    </row>
    <row r="57" spans="4:9" x14ac:dyDescent="0.25">
      <c r="D57" s="11"/>
      <c r="H57" s="11" t="str" cm="1">
        <f t="array" ref="H57">_xlfn.IFS(E57="","",E57="Grand Total",SUM(H$2:H56),TRUE,IF(COUNTIF(Transactions[Custom Category],E57)&gt;0,SUMIFS(Transactions[Amount],Transactions[Custom Category],E57,Transactions[Month],Sel_Month),SUMIFS(Transactions[Amount],Transactions[Name],E57,Transactions[Month],Sel_Month)))</f>
        <v/>
      </c>
      <c r="I57" s="12" t="str">
        <f t="shared" si="0"/>
        <v/>
      </c>
    </row>
    <row r="58" spans="4:9" x14ac:dyDescent="0.25">
      <c r="D58" s="11"/>
      <c r="H58" s="11" t="str" cm="1">
        <f t="array" ref="H58">_xlfn.IFS(E58="","",E58="Grand Total",SUM(H$2:H57),TRUE,IF(COUNTIF(Transactions[Custom Category],E58)&gt;0,SUMIFS(Transactions[Amount],Transactions[Custom Category],E58,Transactions[Month],Sel_Month),SUMIFS(Transactions[Amount],Transactions[Name],E58,Transactions[Month],Sel_Month)))</f>
        <v/>
      </c>
      <c r="I58" s="12" t="str">
        <f t="shared" si="0"/>
        <v/>
      </c>
    </row>
    <row r="59" spans="4:9" x14ac:dyDescent="0.25">
      <c r="D59" s="11"/>
      <c r="H59" s="11" t="str" cm="1">
        <f t="array" ref="H59">_xlfn.IFS(E59="","",E59="Grand Total",SUM(H$2:H58),TRUE,IF(COUNTIF(Transactions[Custom Category],E59)&gt;0,SUMIFS(Transactions[Amount],Transactions[Custom Category],E59,Transactions[Month],Sel_Month),SUMIFS(Transactions[Amount],Transactions[Name],E59,Transactions[Month],Sel_Month)))</f>
        <v/>
      </c>
      <c r="I59" s="12" t="str">
        <f t="shared" si="0"/>
        <v/>
      </c>
    </row>
    <row r="60" spans="4:9" x14ac:dyDescent="0.25">
      <c r="D60" s="11"/>
      <c r="H60" s="11" t="str" cm="1">
        <f t="array" ref="H60">_xlfn.IFS(E60="","",E60="Grand Total",SUM(H$2:H59),TRUE,IF(COUNTIF(Transactions[Custom Category],E60)&gt;0,SUMIFS(Transactions[Amount],Transactions[Custom Category],E60,Transactions[Month],Sel_Month),SUMIFS(Transactions[Amount],Transactions[Name],E60,Transactions[Month],Sel_Month)))</f>
        <v/>
      </c>
      <c r="I60" s="12" t="str">
        <f t="shared" si="0"/>
        <v/>
      </c>
    </row>
    <row r="61" spans="4:9" x14ac:dyDescent="0.25">
      <c r="D61" s="11"/>
      <c r="H61" s="11" t="str" cm="1">
        <f t="array" ref="H61">_xlfn.IFS(E61="","",E61="Grand Total",SUM(H$2:H60),TRUE,IF(COUNTIF(Transactions[Custom Category],E61)&gt;0,SUMIFS(Transactions[Amount],Transactions[Custom Category],E61,Transactions[Month],Sel_Month),SUMIFS(Transactions[Amount],Transactions[Name],E61,Transactions[Month],Sel_Month)))</f>
        <v/>
      </c>
      <c r="I61" s="12" t="str">
        <f t="shared" si="0"/>
        <v/>
      </c>
    </row>
    <row r="62" spans="4:9" x14ac:dyDescent="0.25">
      <c r="D62" s="11"/>
      <c r="H62" s="11" t="str" cm="1">
        <f t="array" ref="H62">_xlfn.IFS(E62="","",E62="Grand Total",SUM(H$2:H61),TRUE,IF(COUNTIF(Transactions[Custom Category],E62)&gt;0,SUMIFS(Transactions[Amount],Transactions[Custom Category],E62,Transactions[Month],Sel_Month),SUMIFS(Transactions[Amount],Transactions[Name],E62,Transactions[Month],Sel_Month)))</f>
        <v/>
      </c>
      <c r="I62" s="12" t="str">
        <f t="shared" si="0"/>
        <v/>
      </c>
    </row>
    <row r="63" spans="4:9" x14ac:dyDescent="0.25">
      <c r="D63" s="11"/>
      <c r="H63" s="11" t="str" cm="1">
        <f t="array" ref="H63">_xlfn.IFS(E63="","",E63="Grand Total",SUM(H$2:H62),TRUE,IF(COUNTIF(Transactions[Custom Category],E63)&gt;0,SUMIFS(Transactions[Amount],Transactions[Custom Category],E63,Transactions[Month],Sel_Month),SUMIFS(Transactions[Amount],Transactions[Name],E63,Transactions[Month],Sel_Month)))</f>
        <v/>
      </c>
      <c r="I63" s="12" t="str">
        <f t="shared" si="0"/>
        <v/>
      </c>
    </row>
    <row r="64" spans="4:9" x14ac:dyDescent="0.25">
      <c r="D64" s="11"/>
      <c r="H64" s="11" t="str" cm="1">
        <f t="array" ref="H64">_xlfn.IFS(E64="","",E64="Grand Total",SUM(H$2:H63),TRUE,IF(COUNTIF(Transactions[Custom Category],E64)&gt;0,SUMIFS(Transactions[Amount],Transactions[Custom Category],E64,Transactions[Month],Sel_Month),SUMIFS(Transactions[Amount],Transactions[Name],E64,Transactions[Month],Sel_Month)))</f>
        <v/>
      </c>
      <c r="I64" s="12" t="str">
        <f t="shared" si="0"/>
        <v/>
      </c>
    </row>
    <row r="65" spans="4:9" x14ac:dyDescent="0.25">
      <c r="D65" s="11"/>
      <c r="H65" s="11" t="str" cm="1">
        <f t="array" ref="H65">_xlfn.IFS(E65="","",E65="Grand Total",SUM(H$2:H64),TRUE,IF(COUNTIF(Transactions[Custom Category],E65)&gt;0,SUMIFS(Transactions[Amount],Transactions[Custom Category],E65,Transactions[Month],Sel_Month),SUMIFS(Transactions[Amount],Transactions[Name],E65,Transactions[Month],Sel_Month)))</f>
        <v/>
      </c>
      <c r="I65" s="12" t="str">
        <f t="shared" si="0"/>
        <v/>
      </c>
    </row>
    <row r="66" spans="4:9" x14ac:dyDescent="0.25">
      <c r="D66" s="11"/>
      <c r="H66" s="11" t="str" cm="1">
        <f t="array" ref="H66">_xlfn.IFS(E66="","",E66="Grand Total",SUM(H$2:H65),TRUE,IF(COUNTIF(Transactions[Custom Category],E66)&gt;0,SUMIFS(Transactions[Amount],Transactions[Custom Category],E66,Transactions[Month],Sel_Month),SUMIFS(Transactions[Amount],Transactions[Name],E66,Transactions[Month],Sel_Month)))</f>
        <v/>
      </c>
      <c r="I66" s="12" t="str">
        <f t="shared" si="0"/>
        <v/>
      </c>
    </row>
    <row r="67" spans="4:9" x14ac:dyDescent="0.25">
      <c r="D67" s="11"/>
      <c r="H67" s="11" t="str" cm="1">
        <f t="array" ref="H67">_xlfn.IFS(E67="","",E67="Grand Total",SUM(H$2:H66),TRUE,IF(COUNTIF(Transactions[Custom Category],E67)&gt;0,SUMIFS(Transactions[Amount],Transactions[Custom Category],E67,Transactions[Month],Sel_Month),SUMIFS(Transactions[Amount],Transactions[Name],E67,Transactions[Month],Sel_Month)))</f>
        <v/>
      </c>
      <c r="I67" s="12" t="str">
        <f t="shared" si="0"/>
        <v/>
      </c>
    </row>
    <row r="68" spans="4:9" x14ac:dyDescent="0.25">
      <c r="D68" s="11"/>
      <c r="H68" s="11" t="str" cm="1">
        <f t="array" ref="H68">_xlfn.IFS(E68="","",E68="Grand Total",SUM(H$2:H67),TRUE,IF(COUNTIF(Transactions[Custom Category],E68)&gt;0,SUMIFS(Transactions[Amount],Transactions[Custom Category],E68,Transactions[Month],Sel_Month),SUMIFS(Transactions[Amount],Transactions[Name],E68,Transactions[Month],Sel_Month)))</f>
        <v/>
      </c>
      <c r="I68" s="12" t="str">
        <f t="shared" ref="I68:I131" si="1">IF(G68="","",IF(G68=0,0,1-((G68-H68)/G68)))</f>
        <v/>
      </c>
    </row>
    <row r="69" spans="4:9" x14ac:dyDescent="0.25">
      <c r="D69" s="11"/>
      <c r="H69" s="11" t="str" cm="1">
        <f t="array" ref="H69">_xlfn.IFS(E69="","",E69="Grand Total",SUM(H$2:H68),TRUE,IF(COUNTIF(Transactions[Custom Category],E69)&gt;0,SUMIFS(Transactions[Amount],Transactions[Custom Category],E69,Transactions[Month],Sel_Month),SUMIFS(Transactions[Amount],Transactions[Name],E69,Transactions[Month],Sel_Month)))</f>
        <v/>
      </c>
      <c r="I69" s="12" t="str">
        <f t="shared" si="1"/>
        <v/>
      </c>
    </row>
    <row r="70" spans="4:9" x14ac:dyDescent="0.25">
      <c r="D70" s="11"/>
      <c r="H70" s="11" t="str" cm="1">
        <f t="array" ref="H70">_xlfn.IFS(E70="","",E70="Grand Total",SUM(H$2:H69),TRUE,IF(COUNTIF(Transactions[Custom Category],E70)&gt;0,SUMIFS(Transactions[Amount],Transactions[Custom Category],E70,Transactions[Month],Sel_Month),SUMIFS(Transactions[Amount],Transactions[Name],E70,Transactions[Month],Sel_Month)))</f>
        <v/>
      </c>
      <c r="I70" s="12" t="str">
        <f t="shared" si="1"/>
        <v/>
      </c>
    </row>
    <row r="71" spans="4:9" x14ac:dyDescent="0.25">
      <c r="D71" s="11"/>
      <c r="H71" s="11" t="str" cm="1">
        <f t="array" ref="H71">_xlfn.IFS(E71="","",E71="Grand Total",SUM(H$2:H70),TRUE,IF(COUNTIF(Transactions[Custom Category],E71)&gt;0,SUMIFS(Transactions[Amount],Transactions[Custom Category],E71,Transactions[Month],Sel_Month),SUMIFS(Transactions[Amount],Transactions[Name],E71,Transactions[Month],Sel_Month)))</f>
        <v/>
      </c>
      <c r="I71" s="12" t="str">
        <f t="shared" si="1"/>
        <v/>
      </c>
    </row>
    <row r="72" spans="4:9" x14ac:dyDescent="0.25">
      <c r="D72" s="11"/>
      <c r="H72" s="11" t="str" cm="1">
        <f t="array" ref="H72">_xlfn.IFS(E72="","",E72="Grand Total",SUM(H$2:H71),TRUE,IF(COUNTIF(Transactions[Custom Category],E72)&gt;0,SUMIFS(Transactions[Amount],Transactions[Custom Category],E72,Transactions[Month],Sel_Month),SUMIFS(Transactions[Amount],Transactions[Name],E72,Transactions[Month],Sel_Month)))</f>
        <v/>
      </c>
      <c r="I72" s="12" t="str">
        <f t="shared" si="1"/>
        <v/>
      </c>
    </row>
    <row r="73" spans="4:9" x14ac:dyDescent="0.25">
      <c r="D73" s="11"/>
      <c r="H73" s="11" t="str" cm="1">
        <f t="array" ref="H73">_xlfn.IFS(E73="","",E73="Grand Total",SUM(H$2:H72),TRUE,IF(COUNTIF(Transactions[Custom Category],E73)&gt;0,SUMIFS(Transactions[Amount],Transactions[Custom Category],E73,Transactions[Month],Sel_Month),SUMIFS(Transactions[Amount],Transactions[Name],E73,Transactions[Month],Sel_Month)))</f>
        <v/>
      </c>
      <c r="I73" s="12" t="str">
        <f t="shared" si="1"/>
        <v/>
      </c>
    </row>
    <row r="74" spans="4:9" x14ac:dyDescent="0.25">
      <c r="D74" s="11"/>
      <c r="H74" s="11" t="str" cm="1">
        <f t="array" ref="H74">_xlfn.IFS(E74="","",E74="Grand Total",SUM(H$2:H73),TRUE,IF(COUNTIF(Transactions[Custom Category],E74)&gt;0,SUMIFS(Transactions[Amount],Transactions[Custom Category],E74,Transactions[Month],Sel_Month),SUMIFS(Transactions[Amount],Transactions[Name],E74,Transactions[Month],Sel_Month)))</f>
        <v/>
      </c>
      <c r="I74" s="12" t="str">
        <f t="shared" si="1"/>
        <v/>
      </c>
    </row>
    <row r="75" spans="4:9" x14ac:dyDescent="0.25">
      <c r="D75" s="11"/>
      <c r="H75" s="11" t="str" cm="1">
        <f t="array" ref="H75">_xlfn.IFS(E75="","",E75="Grand Total",SUM(H$2:H74),TRUE,IF(COUNTIF(Transactions[Custom Category],E75)&gt;0,SUMIFS(Transactions[Amount],Transactions[Custom Category],E75,Transactions[Month],Sel_Month),SUMIFS(Transactions[Amount],Transactions[Name],E75,Transactions[Month],Sel_Month)))</f>
        <v/>
      </c>
      <c r="I75" s="12" t="str">
        <f t="shared" si="1"/>
        <v/>
      </c>
    </row>
    <row r="76" spans="4:9" x14ac:dyDescent="0.25">
      <c r="D76" s="11"/>
      <c r="H76" s="11" t="str" cm="1">
        <f t="array" ref="H76">_xlfn.IFS(E76="","",E76="Grand Total",SUM(H$2:H75),TRUE,IF(COUNTIF(Transactions[Custom Category],E76)&gt;0,SUMIFS(Transactions[Amount],Transactions[Custom Category],E76,Transactions[Month],Sel_Month),SUMIFS(Transactions[Amount],Transactions[Name],E76,Transactions[Month],Sel_Month)))</f>
        <v/>
      </c>
      <c r="I76" s="12" t="str">
        <f t="shared" si="1"/>
        <v/>
      </c>
    </row>
    <row r="77" spans="4:9" x14ac:dyDescent="0.25">
      <c r="D77" s="11"/>
      <c r="H77" s="11" t="str" cm="1">
        <f t="array" ref="H77">_xlfn.IFS(E77="","",E77="Grand Total",SUM(H$2:H76),TRUE,IF(COUNTIF(Transactions[Custom Category],E77)&gt;0,SUMIFS(Transactions[Amount],Transactions[Custom Category],E77,Transactions[Month],Sel_Month),SUMIFS(Transactions[Amount],Transactions[Name],E77,Transactions[Month],Sel_Month)))</f>
        <v/>
      </c>
      <c r="I77" s="12" t="str">
        <f t="shared" si="1"/>
        <v/>
      </c>
    </row>
    <row r="78" spans="4:9" x14ac:dyDescent="0.25">
      <c r="D78" s="11"/>
      <c r="H78" s="11" t="str" cm="1">
        <f t="array" ref="H78">_xlfn.IFS(E78="","",E78="Grand Total",SUM(H$2:H77),TRUE,IF(COUNTIF(Transactions[Custom Category],E78)&gt;0,SUMIFS(Transactions[Amount],Transactions[Custom Category],E78,Transactions[Month],Sel_Month),SUMIFS(Transactions[Amount],Transactions[Name],E78,Transactions[Month],Sel_Month)))</f>
        <v/>
      </c>
      <c r="I78" s="12" t="str">
        <f t="shared" si="1"/>
        <v/>
      </c>
    </row>
    <row r="79" spans="4:9" x14ac:dyDescent="0.25">
      <c r="D79" s="11"/>
      <c r="H79" s="11" t="str" cm="1">
        <f t="array" ref="H79">_xlfn.IFS(E79="","",E79="Grand Total",SUM(H$2:H78),TRUE,IF(COUNTIF(Transactions[Custom Category],E79)&gt;0,SUMIFS(Transactions[Amount],Transactions[Custom Category],E79,Transactions[Month],Sel_Month),SUMIFS(Transactions[Amount],Transactions[Name],E79,Transactions[Month],Sel_Month)))</f>
        <v/>
      </c>
      <c r="I79" s="12" t="str">
        <f t="shared" si="1"/>
        <v/>
      </c>
    </row>
    <row r="80" spans="4:9" x14ac:dyDescent="0.25">
      <c r="D80" s="11"/>
      <c r="H80" s="11" t="str" cm="1">
        <f t="array" ref="H80">_xlfn.IFS(E80="","",E80="Grand Total",SUM(H$2:H79),TRUE,IF(COUNTIF(Transactions[Custom Category],E80)&gt;0,SUMIFS(Transactions[Amount],Transactions[Custom Category],E80,Transactions[Month],Sel_Month),SUMIFS(Transactions[Amount],Transactions[Name],E80,Transactions[Month],Sel_Month)))</f>
        <v/>
      </c>
      <c r="I80" s="12" t="str">
        <f t="shared" si="1"/>
        <v/>
      </c>
    </row>
    <row r="81" spans="4:9" x14ac:dyDescent="0.25">
      <c r="D81" s="11"/>
      <c r="H81" s="11" t="str" cm="1">
        <f t="array" ref="H81">_xlfn.IFS(E81="","",E81="Grand Total",SUM(H$2:H80),TRUE,IF(COUNTIF(Transactions[Custom Category],E81)&gt;0,SUMIFS(Transactions[Amount],Transactions[Custom Category],E81,Transactions[Month],Sel_Month),SUMIFS(Transactions[Amount],Transactions[Name],E81,Transactions[Month],Sel_Month)))</f>
        <v/>
      </c>
      <c r="I81" s="12" t="str">
        <f t="shared" si="1"/>
        <v/>
      </c>
    </row>
    <row r="82" spans="4:9" x14ac:dyDescent="0.25">
      <c r="D82" s="11"/>
      <c r="H82" s="11" t="str" cm="1">
        <f t="array" ref="H82">_xlfn.IFS(E82="","",E82="Grand Total",SUM(H$2:H81),TRUE,IF(COUNTIF(Transactions[Custom Category],E82)&gt;0,SUMIFS(Transactions[Amount],Transactions[Custom Category],E82,Transactions[Month],Sel_Month),SUMIFS(Transactions[Amount],Transactions[Name],E82,Transactions[Month],Sel_Month)))</f>
        <v/>
      </c>
      <c r="I82" s="12" t="str">
        <f t="shared" si="1"/>
        <v/>
      </c>
    </row>
    <row r="83" spans="4:9" x14ac:dyDescent="0.25">
      <c r="D83" s="11"/>
      <c r="H83" s="11" t="str" cm="1">
        <f t="array" ref="H83">_xlfn.IFS(E83="","",E83="Grand Total",SUM(H$2:H82),TRUE,IF(COUNTIF(Transactions[Custom Category],E83)&gt;0,SUMIFS(Transactions[Amount],Transactions[Custom Category],E83,Transactions[Month],Sel_Month),SUMIFS(Transactions[Amount],Transactions[Name],E83,Transactions[Month],Sel_Month)))</f>
        <v/>
      </c>
      <c r="I83" s="12" t="str">
        <f t="shared" si="1"/>
        <v/>
      </c>
    </row>
    <row r="84" spans="4:9" x14ac:dyDescent="0.25">
      <c r="D84" s="11"/>
      <c r="H84" s="11" t="str" cm="1">
        <f t="array" ref="H84">_xlfn.IFS(E84="","",E84="Grand Total",SUM(H$2:H83),TRUE,IF(COUNTIF(Transactions[Custom Category],E84)&gt;0,SUMIFS(Transactions[Amount],Transactions[Custom Category],E84,Transactions[Month],Sel_Month),SUMIFS(Transactions[Amount],Transactions[Name],E84,Transactions[Month],Sel_Month)))</f>
        <v/>
      </c>
      <c r="I84" s="12" t="str">
        <f t="shared" si="1"/>
        <v/>
      </c>
    </row>
    <row r="85" spans="4:9" x14ac:dyDescent="0.25">
      <c r="D85" s="11"/>
      <c r="H85" s="11" t="str" cm="1">
        <f t="array" ref="H85">_xlfn.IFS(E85="","",E85="Grand Total",SUM(H$2:H84),TRUE,IF(COUNTIF(Transactions[Custom Category],E85)&gt;0,SUMIFS(Transactions[Amount],Transactions[Custom Category],E85,Transactions[Month],Sel_Month),SUMIFS(Transactions[Amount],Transactions[Name],E85,Transactions[Month],Sel_Month)))</f>
        <v/>
      </c>
      <c r="I85" s="12" t="str">
        <f t="shared" si="1"/>
        <v/>
      </c>
    </row>
    <row r="86" spans="4:9" x14ac:dyDescent="0.25">
      <c r="D86" s="11"/>
      <c r="H86" s="11" t="str" cm="1">
        <f t="array" ref="H86">_xlfn.IFS(E86="","",E86="Grand Total",SUM(H$2:H85),TRUE,IF(COUNTIF(Transactions[Custom Category],E86)&gt;0,SUMIFS(Transactions[Amount],Transactions[Custom Category],E86,Transactions[Month],Sel_Month),SUMIFS(Transactions[Amount],Transactions[Name],E86,Transactions[Month],Sel_Month)))</f>
        <v/>
      </c>
      <c r="I86" s="12" t="str">
        <f t="shared" si="1"/>
        <v/>
      </c>
    </row>
    <row r="87" spans="4:9" x14ac:dyDescent="0.25">
      <c r="D87" s="11"/>
      <c r="H87" s="11" t="str" cm="1">
        <f t="array" ref="H87">_xlfn.IFS(E87="","",E87="Grand Total",SUM(H$2:H86),TRUE,IF(COUNTIF(Transactions[Custom Category],E87)&gt;0,SUMIFS(Transactions[Amount],Transactions[Custom Category],E87,Transactions[Month],Sel_Month),SUMIFS(Transactions[Amount],Transactions[Name],E87,Transactions[Month],Sel_Month)))</f>
        <v/>
      </c>
      <c r="I87" s="12" t="str">
        <f t="shared" si="1"/>
        <v/>
      </c>
    </row>
    <row r="88" spans="4:9" x14ac:dyDescent="0.25">
      <c r="D88" s="11"/>
      <c r="H88" s="11" t="str" cm="1">
        <f t="array" ref="H88">_xlfn.IFS(E88="","",E88="Grand Total",SUM(H$2:H87),TRUE,IF(COUNTIF(Transactions[Custom Category],E88)&gt;0,SUMIFS(Transactions[Amount],Transactions[Custom Category],E88,Transactions[Month],Sel_Month),SUMIFS(Transactions[Amount],Transactions[Name],E88,Transactions[Month],Sel_Month)))</f>
        <v/>
      </c>
      <c r="I88" s="12" t="str">
        <f t="shared" si="1"/>
        <v/>
      </c>
    </row>
    <row r="89" spans="4:9" x14ac:dyDescent="0.25">
      <c r="D89" s="11"/>
      <c r="H89" s="11" t="str" cm="1">
        <f t="array" ref="H89">_xlfn.IFS(E89="","",E89="Grand Total",SUM(H$2:H88),TRUE,IF(COUNTIF(Transactions[Custom Category],E89)&gt;0,SUMIFS(Transactions[Amount],Transactions[Custom Category],E89,Transactions[Month],Sel_Month),SUMIFS(Transactions[Amount],Transactions[Name],E89,Transactions[Month],Sel_Month)))</f>
        <v/>
      </c>
      <c r="I89" s="12" t="str">
        <f t="shared" si="1"/>
        <v/>
      </c>
    </row>
    <row r="90" spans="4:9" x14ac:dyDescent="0.25">
      <c r="D90" s="11"/>
      <c r="H90" s="11" t="str" cm="1">
        <f t="array" ref="H90">_xlfn.IFS(E90="","",E90="Grand Total",SUM(H$2:H89),TRUE,IF(COUNTIF(Transactions[Custom Category],E90)&gt;0,SUMIFS(Transactions[Amount],Transactions[Custom Category],E90,Transactions[Month],Sel_Month),SUMIFS(Transactions[Amount],Transactions[Name],E90,Transactions[Month],Sel_Month)))</f>
        <v/>
      </c>
      <c r="I90" s="12" t="str">
        <f t="shared" si="1"/>
        <v/>
      </c>
    </row>
    <row r="91" spans="4:9" x14ac:dyDescent="0.25">
      <c r="D91" s="11"/>
      <c r="H91" s="11" t="str" cm="1">
        <f t="array" ref="H91">_xlfn.IFS(E91="","",E91="Grand Total",SUM(H$2:H90),TRUE,IF(COUNTIF(Transactions[Custom Category],E91)&gt;0,SUMIFS(Transactions[Amount],Transactions[Custom Category],E91,Transactions[Month],Sel_Month),SUMIFS(Transactions[Amount],Transactions[Name],E91,Transactions[Month],Sel_Month)))</f>
        <v/>
      </c>
      <c r="I91" s="12" t="str">
        <f t="shared" si="1"/>
        <v/>
      </c>
    </row>
    <row r="92" spans="4:9" x14ac:dyDescent="0.25">
      <c r="D92" s="11"/>
      <c r="H92" s="11" t="str" cm="1">
        <f t="array" ref="H92">_xlfn.IFS(E92="","",E92="Grand Total",SUM(H$2:H91),TRUE,IF(COUNTIF(Transactions[Custom Category],E92)&gt;0,SUMIFS(Transactions[Amount],Transactions[Custom Category],E92,Transactions[Month],Sel_Month),SUMIFS(Transactions[Amount],Transactions[Name],E92,Transactions[Month],Sel_Month)))</f>
        <v/>
      </c>
      <c r="I92" s="12" t="str">
        <f t="shared" si="1"/>
        <v/>
      </c>
    </row>
    <row r="93" spans="4:9" x14ac:dyDescent="0.25">
      <c r="D93" s="11"/>
      <c r="H93" s="11" t="str" cm="1">
        <f t="array" ref="H93">_xlfn.IFS(E93="","",E93="Grand Total",SUM(H$2:H92),TRUE,IF(COUNTIF(Transactions[Custom Category],E93)&gt;0,SUMIFS(Transactions[Amount],Transactions[Custom Category],E93,Transactions[Month],Sel_Month),SUMIFS(Transactions[Amount],Transactions[Name],E93,Transactions[Month],Sel_Month)))</f>
        <v/>
      </c>
      <c r="I93" s="12" t="str">
        <f t="shared" si="1"/>
        <v/>
      </c>
    </row>
    <row r="94" spans="4:9" x14ac:dyDescent="0.25">
      <c r="D94" s="11"/>
      <c r="H94" s="11" t="str" cm="1">
        <f t="array" ref="H94">_xlfn.IFS(E94="","",E94="Grand Total",SUM(H$2:H93),TRUE,IF(COUNTIF(Transactions[Custom Category],E94)&gt;0,SUMIFS(Transactions[Amount],Transactions[Custom Category],E94,Transactions[Month],Sel_Month),SUMIFS(Transactions[Amount],Transactions[Name],E94,Transactions[Month],Sel_Month)))</f>
        <v/>
      </c>
      <c r="I94" s="12" t="str">
        <f t="shared" si="1"/>
        <v/>
      </c>
    </row>
    <row r="95" spans="4:9" x14ac:dyDescent="0.25">
      <c r="D95" s="11"/>
      <c r="H95" s="11" t="str" cm="1">
        <f t="array" ref="H95">_xlfn.IFS(E95="","",E95="Grand Total",SUM(H$2:H94),TRUE,IF(COUNTIF(Transactions[Custom Category],E95)&gt;0,SUMIFS(Transactions[Amount],Transactions[Custom Category],E95,Transactions[Month],Sel_Month),SUMIFS(Transactions[Amount],Transactions[Name],E95,Transactions[Month],Sel_Month)))</f>
        <v/>
      </c>
      <c r="I95" s="12" t="str">
        <f t="shared" si="1"/>
        <v/>
      </c>
    </row>
    <row r="96" spans="4:9" x14ac:dyDescent="0.25">
      <c r="D96" s="11"/>
      <c r="H96" s="11" t="str" cm="1">
        <f t="array" ref="H96">_xlfn.IFS(E96="","",E96="Grand Total",SUM(H$2:H95),TRUE,IF(COUNTIF(Transactions[Custom Category],E96)&gt;0,SUMIFS(Transactions[Amount],Transactions[Custom Category],E96,Transactions[Month],Sel_Month),SUMIFS(Transactions[Amount],Transactions[Name],E96,Transactions[Month],Sel_Month)))</f>
        <v/>
      </c>
      <c r="I96" s="12" t="str">
        <f t="shared" si="1"/>
        <v/>
      </c>
    </row>
    <row r="97" spans="4:9" x14ac:dyDescent="0.25">
      <c r="D97" s="11"/>
      <c r="H97" s="11" t="str" cm="1">
        <f t="array" ref="H97">_xlfn.IFS(E97="","",E97="Grand Total",SUM(H$2:H96),TRUE,IF(COUNTIF(Transactions[Custom Category],E97)&gt;0,SUMIFS(Transactions[Amount],Transactions[Custom Category],E97,Transactions[Month],Sel_Month),SUMIFS(Transactions[Amount],Transactions[Name],E97,Transactions[Month],Sel_Month)))</f>
        <v/>
      </c>
      <c r="I97" s="12" t="str">
        <f t="shared" si="1"/>
        <v/>
      </c>
    </row>
    <row r="98" spans="4:9" x14ac:dyDescent="0.25">
      <c r="D98" s="11"/>
      <c r="H98" s="11" t="str" cm="1">
        <f t="array" ref="H98">_xlfn.IFS(E98="","",E98="Grand Total",SUM(H$2:H97),TRUE,IF(COUNTIF(Transactions[Custom Category],E98)&gt;0,SUMIFS(Transactions[Amount],Transactions[Custom Category],E98,Transactions[Month],Sel_Month),SUMIFS(Transactions[Amount],Transactions[Name],E98,Transactions[Month],Sel_Month)))</f>
        <v/>
      </c>
      <c r="I98" s="12" t="str">
        <f t="shared" si="1"/>
        <v/>
      </c>
    </row>
    <row r="99" spans="4:9" x14ac:dyDescent="0.25">
      <c r="D99" s="11"/>
      <c r="H99" s="11" t="str" cm="1">
        <f t="array" ref="H99">_xlfn.IFS(E99="","",E99="Grand Total",SUM(H$2:H98),TRUE,IF(COUNTIF(Transactions[Custom Category],E99)&gt;0,SUMIFS(Transactions[Amount],Transactions[Custom Category],E99,Transactions[Month],Sel_Month),SUMIFS(Transactions[Amount],Transactions[Name],E99,Transactions[Month],Sel_Month)))</f>
        <v/>
      </c>
      <c r="I99" s="12" t="str">
        <f t="shared" si="1"/>
        <v/>
      </c>
    </row>
    <row r="100" spans="4:9" x14ac:dyDescent="0.25">
      <c r="D100" s="11"/>
      <c r="H100" s="11" t="str" cm="1">
        <f t="array" ref="H100">_xlfn.IFS(E100="","",E100="Grand Total",SUM(H$2:H99),TRUE,IF(COUNTIF(Transactions[Custom Category],E100)&gt;0,SUMIFS(Transactions[Amount],Transactions[Custom Category],E100,Transactions[Month],Sel_Month),SUMIFS(Transactions[Amount],Transactions[Name],E100,Transactions[Month],Sel_Month)))</f>
        <v/>
      </c>
      <c r="I100" s="12" t="str">
        <f t="shared" si="1"/>
        <v/>
      </c>
    </row>
    <row r="101" spans="4:9" x14ac:dyDescent="0.25">
      <c r="D101" s="11"/>
      <c r="H101" s="11" t="str" cm="1">
        <f t="array" ref="H101">_xlfn.IFS(E101="","",E101="Grand Total",SUM(H$2:H100),TRUE,IF(COUNTIF(Transactions[Custom Category],E101)&gt;0,SUMIFS(Transactions[Amount],Transactions[Custom Category],E101,Transactions[Month],Sel_Month),SUMIFS(Transactions[Amount],Transactions[Name],E101,Transactions[Month],Sel_Month)))</f>
        <v/>
      </c>
      <c r="I101" s="12" t="str">
        <f t="shared" si="1"/>
        <v/>
      </c>
    </row>
    <row r="102" spans="4:9" x14ac:dyDescent="0.25">
      <c r="D102" s="11"/>
      <c r="H102" s="11" t="str" cm="1">
        <f t="array" ref="H102">_xlfn.IFS(E102="","",E102="Grand Total",SUM(H$2:H101),TRUE,IF(COUNTIF(Transactions[Custom Category],E102)&gt;0,SUMIFS(Transactions[Amount],Transactions[Custom Category],E102,Transactions[Month],Sel_Month),SUMIFS(Transactions[Amount],Transactions[Name],E102,Transactions[Month],Sel_Month)))</f>
        <v/>
      </c>
      <c r="I102" s="12" t="str">
        <f t="shared" si="1"/>
        <v/>
      </c>
    </row>
    <row r="103" spans="4:9" x14ac:dyDescent="0.25">
      <c r="D103" s="11"/>
      <c r="H103" s="11" t="str" cm="1">
        <f t="array" ref="H103">_xlfn.IFS(E103="","",E103="Grand Total",SUM(H$2:H102),TRUE,IF(COUNTIF(Transactions[Custom Category],E103)&gt;0,SUMIFS(Transactions[Amount],Transactions[Custom Category],E103,Transactions[Month],Sel_Month),SUMIFS(Transactions[Amount],Transactions[Name],E103,Transactions[Month],Sel_Month)))</f>
        <v/>
      </c>
      <c r="I103" s="12" t="str">
        <f t="shared" si="1"/>
        <v/>
      </c>
    </row>
    <row r="104" spans="4:9" x14ac:dyDescent="0.25">
      <c r="D104" s="11"/>
      <c r="H104" s="11" t="str" cm="1">
        <f t="array" ref="H104">_xlfn.IFS(E104="","",E104="Grand Total",SUM(H$2:H103),TRUE,IF(COUNTIF(Transactions[Custom Category],E104)&gt;0,SUMIFS(Transactions[Amount],Transactions[Custom Category],E104,Transactions[Month],Sel_Month),SUMIFS(Transactions[Amount],Transactions[Name],E104,Transactions[Month],Sel_Month)))</f>
        <v/>
      </c>
      <c r="I104" s="12" t="str">
        <f t="shared" si="1"/>
        <v/>
      </c>
    </row>
    <row r="105" spans="4:9" x14ac:dyDescent="0.25">
      <c r="D105" s="11"/>
      <c r="H105" s="11" t="str" cm="1">
        <f t="array" ref="H105">_xlfn.IFS(E105="","",E105="Grand Total",SUM(H$2:H104),TRUE,IF(COUNTIF(Transactions[Custom Category],E105)&gt;0,SUMIFS(Transactions[Amount],Transactions[Custom Category],E105,Transactions[Month],Sel_Month),SUMIFS(Transactions[Amount],Transactions[Name],E105,Transactions[Month],Sel_Month)))</f>
        <v/>
      </c>
      <c r="I105" s="12" t="str">
        <f t="shared" si="1"/>
        <v/>
      </c>
    </row>
    <row r="106" spans="4:9" x14ac:dyDescent="0.25">
      <c r="D106" s="11"/>
      <c r="H106" s="11" t="str" cm="1">
        <f t="array" ref="H106">_xlfn.IFS(E106="","",E106="Grand Total",SUM(H$2:H105),TRUE,IF(COUNTIF(Transactions[Custom Category],E106)&gt;0,SUMIFS(Transactions[Amount],Transactions[Custom Category],E106,Transactions[Month],Sel_Month),SUMIFS(Transactions[Amount],Transactions[Name],E106,Transactions[Month],Sel_Month)))</f>
        <v/>
      </c>
      <c r="I106" s="12" t="str">
        <f t="shared" si="1"/>
        <v/>
      </c>
    </row>
    <row r="107" spans="4:9" x14ac:dyDescent="0.25">
      <c r="D107" s="11"/>
      <c r="H107" s="11" t="str" cm="1">
        <f t="array" ref="H107">_xlfn.IFS(E107="","",E107="Grand Total",SUM(H$2:H106),TRUE,IF(COUNTIF(Transactions[Custom Category],E107)&gt;0,SUMIFS(Transactions[Amount],Transactions[Custom Category],E107,Transactions[Month],Sel_Month),SUMIFS(Transactions[Amount],Transactions[Name],E107,Transactions[Month],Sel_Month)))</f>
        <v/>
      </c>
      <c r="I107" s="12" t="str">
        <f t="shared" si="1"/>
        <v/>
      </c>
    </row>
    <row r="108" spans="4:9" x14ac:dyDescent="0.25">
      <c r="D108" s="11"/>
      <c r="H108" s="11" t="str" cm="1">
        <f t="array" ref="H108">_xlfn.IFS(E108="","",E108="Grand Total",SUM(H$2:H107),TRUE,IF(COUNTIF(Transactions[Custom Category],E108)&gt;0,SUMIFS(Transactions[Amount],Transactions[Custom Category],E108,Transactions[Month],Sel_Month),SUMIFS(Transactions[Amount],Transactions[Name],E108,Transactions[Month],Sel_Month)))</f>
        <v/>
      </c>
      <c r="I108" s="12" t="str">
        <f t="shared" si="1"/>
        <v/>
      </c>
    </row>
    <row r="109" spans="4:9" x14ac:dyDescent="0.25">
      <c r="D109" s="11"/>
      <c r="H109" s="11" t="str" cm="1">
        <f t="array" ref="H109">_xlfn.IFS(E109="","",E109="Grand Total",SUM(H$2:H108),TRUE,IF(COUNTIF(Transactions[Custom Category],E109)&gt;0,SUMIFS(Transactions[Amount],Transactions[Custom Category],E109,Transactions[Month],Sel_Month),SUMIFS(Transactions[Amount],Transactions[Name],E109,Transactions[Month],Sel_Month)))</f>
        <v/>
      </c>
      <c r="I109" s="12" t="str">
        <f t="shared" si="1"/>
        <v/>
      </c>
    </row>
    <row r="110" spans="4:9" x14ac:dyDescent="0.25">
      <c r="D110" s="11"/>
      <c r="H110" s="11" t="str" cm="1">
        <f t="array" ref="H110">_xlfn.IFS(E110="","",E110="Grand Total",SUM(H$2:H109),TRUE,IF(COUNTIF(Transactions[Custom Category],E110)&gt;0,SUMIFS(Transactions[Amount],Transactions[Custom Category],E110,Transactions[Month],Sel_Month),SUMIFS(Transactions[Amount],Transactions[Name],E110,Transactions[Month],Sel_Month)))</f>
        <v/>
      </c>
      <c r="I110" s="12" t="str">
        <f t="shared" si="1"/>
        <v/>
      </c>
    </row>
    <row r="111" spans="4:9" x14ac:dyDescent="0.25">
      <c r="D111" s="11"/>
      <c r="H111" s="11" t="str" cm="1">
        <f t="array" ref="H111">_xlfn.IFS(E111="","",E111="Grand Total",SUM(H$2:H110),TRUE,IF(COUNTIF(Transactions[Custom Category],E111)&gt;0,SUMIFS(Transactions[Amount],Transactions[Custom Category],E111,Transactions[Month],Sel_Month),SUMIFS(Transactions[Amount],Transactions[Name],E111,Transactions[Month],Sel_Month)))</f>
        <v/>
      </c>
      <c r="I111" s="12" t="str">
        <f t="shared" si="1"/>
        <v/>
      </c>
    </row>
    <row r="112" spans="4:9" x14ac:dyDescent="0.25">
      <c r="D112" s="11"/>
      <c r="H112" s="11" t="str" cm="1">
        <f t="array" ref="H112">_xlfn.IFS(E112="","",E112="Grand Total",SUM(H$2:H111),TRUE,IF(COUNTIF(Transactions[Custom Category],E112)&gt;0,SUMIFS(Transactions[Amount],Transactions[Custom Category],E112,Transactions[Month],Sel_Month),SUMIFS(Transactions[Amount],Transactions[Name],E112,Transactions[Month],Sel_Month)))</f>
        <v/>
      </c>
      <c r="I112" s="12" t="str">
        <f t="shared" si="1"/>
        <v/>
      </c>
    </row>
    <row r="113" spans="4:9" x14ac:dyDescent="0.25">
      <c r="D113" s="11"/>
      <c r="H113" s="11" t="str" cm="1">
        <f t="array" ref="H113">_xlfn.IFS(E113="","",E113="Grand Total",SUM(H$2:H112),TRUE,IF(COUNTIF(Transactions[Custom Category],E113)&gt;0,SUMIFS(Transactions[Amount],Transactions[Custom Category],E113,Transactions[Month],Sel_Month),SUMIFS(Transactions[Amount],Transactions[Name],E113,Transactions[Month],Sel_Month)))</f>
        <v/>
      </c>
      <c r="I113" s="12" t="str">
        <f t="shared" si="1"/>
        <v/>
      </c>
    </row>
    <row r="114" spans="4:9" x14ac:dyDescent="0.25">
      <c r="D114" s="11"/>
      <c r="H114" s="11" t="str" cm="1">
        <f t="array" ref="H114">_xlfn.IFS(E114="","",E114="Grand Total",SUM(H$2:H113),TRUE,IF(COUNTIF(Transactions[Custom Category],E114)&gt;0,SUMIFS(Transactions[Amount],Transactions[Custom Category],E114,Transactions[Month],Sel_Month),SUMIFS(Transactions[Amount],Transactions[Name],E114,Transactions[Month],Sel_Month)))</f>
        <v/>
      </c>
      <c r="I114" s="12" t="str">
        <f t="shared" si="1"/>
        <v/>
      </c>
    </row>
    <row r="115" spans="4:9" x14ac:dyDescent="0.25">
      <c r="D115" s="11"/>
      <c r="H115" s="11" t="str" cm="1">
        <f t="array" ref="H115">_xlfn.IFS(E115="","",E115="Grand Total",SUM(H$2:H114),TRUE,IF(COUNTIF(Transactions[Custom Category],E115)&gt;0,SUMIFS(Transactions[Amount],Transactions[Custom Category],E115,Transactions[Month],Sel_Month),SUMIFS(Transactions[Amount],Transactions[Name],E115,Transactions[Month],Sel_Month)))</f>
        <v/>
      </c>
      <c r="I115" s="12" t="str">
        <f t="shared" si="1"/>
        <v/>
      </c>
    </row>
    <row r="116" spans="4:9" x14ac:dyDescent="0.25">
      <c r="D116" s="11"/>
      <c r="H116" s="11" t="str" cm="1">
        <f t="array" ref="H116">_xlfn.IFS(E116="","",E116="Grand Total",SUM(H$2:H115),TRUE,IF(COUNTIF(Transactions[Custom Category],E116)&gt;0,SUMIFS(Transactions[Amount],Transactions[Custom Category],E116,Transactions[Month],Sel_Month),SUMIFS(Transactions[Amount],Transactions[Name],E116,Transactions[Month],Sel_Month)))</f>
        <v/>
      </c>
      <c r="I116" s="12" t="str">
        <f t="shared" si="1"/>
        <v/>
      </c>
    </row>
    <row r="117" spans="4:9" x14ac:dyDescent="0.25">
      <c r="D117" s="11"/>
      <c r="H117" s="11" t="str" cm="1">
        <f t="array" ref="H117">_xlfn.IFS(E117="","",E117="Grand Total",SUM(H$2:H116),TRUE,IF(COUNTIF(Transactions[Custom Category],E117)&gt;0,SUMIFS(Transactions[Amount],Transactions[Custom Category],E117,Transactions[Month],Sel_Month),SUMIFS(Transactions[Amount],Transactions[Name],E117,Transactions[Month],Sel_Month)))</f>
        <v/>
      </c>
      <c r="I117" s="12" t="str">
        <f t="shared" si="1"/>
        <v/>
      </c>
    </row>
    <row r="118" spans="4:9" x14ac:dyDescent="0.25">
      <c r="D118" s="11"/>
      <c r="H118" s="11" t="str" cm="1">
        <f t="array" ref="H118">_xlfn.IFS(E118="","",E118="Grand Total",SUM(H$2:H117),TRUE,IF(COUNTIF(Transactions[Custom Category],E118)&gt;0,SUMIFS(Transactions[Amount],Transactions[Custom Category],E118,Transactions[Month],Sel_Month),SUMIFS(Transactions[Amount],Transactions[Name],E118,Transactions[Month],Sel_Month)))</f>
        <v/>
      </c>
      <c r="I118" s="12" t="str">
        <f t="shared" si="1"/>
        <v/>
      </c>
    </row>
    <row r="119" spans="4:9" x14ac:dyDescent="0.25">
      <c r="D119" s="11"/>
      <c r="H119" s="11" t="str" cm="1">
        <f t="array" ref="H119">_xlfn.IFS(E119="","",E119="Grand Total",SUM(H$2:H118),TRUE,IF(COUNTIF(Transactions[Custom Category],E119)&gt;0,SUMIFS(Transactions[Amount],Transactions[Custom Category],E119,Transactions[Month],Sel_Month),SUMIFS(Transactions[Amount],Transactions[Name],E119,Transactions[Month],Sel_Month)))</f>
        <v/>
      </c>
      <c r="I119" s="12" t="str">
        <f t="shared" si="1"/>
        <v/>
      </c>
    </row>
    <row r="120" spans="4:9" x14ac:dyDescent="0.25">
      <c r="D120" s="11"/>
      <c r="H120" s="11" t="str" cm="1">
        <f t="array" ref="H120">_xlfn.IFS(E120="","",E120="Grand Total",SUM(H$2:H119),TRUE,IF(COUNTIF(Transactions[Custom Category],E120)&gt;0,SUMIFS(Transactions[Amount],Transactions[Custom Category],E120,Transactions[Month],Sel_Month),SUMIFS(Transactions[Amount],Transactions[Name],E120,Transactions[Month],Sel_Month)))</f>
        <v/>
      </c>
      <c r="I120" s="12" t="str">
        <f t="shared" si="1"/>
        <v/>
      </c>
    </row>
    <row r="121" spans="4:9" x14ac:dyDescent="0.25">
      <c r="D121" s="11"/>
      <c r="H121" s="11" t="str" cm="1">
        <f t="array" ref="H121">_xlfn.IFS(E121="","",E121="Grand Total",SUM(H$2:H120),TRUE,IF(COUNTIF(Transactions[Custom Category],E121)&gt;0,SUMIFS(Transactions[Amount],Transactions[Custom Category],E121,Transactions[Month],Sel_Month),SUMIFS(Transactions[Amount],Transactions[Name],E121,Transactions[Month],Sel_Month)))</f>
        <v/>
      </c>
      <c r="I121" s="12" t="str">
        <f t="shared" si="1"/>
        <v/>
      </c>
    </row>
    <row r="122" spans="4:9" x14ac:dyDescent="0.25">
      <c r="D122" s="11"/>
      <c r="H122" s="11" t="str" cm="1">
        <f t="array" ref="H122">_xlfn.IFS(E122="","",E122="Grand Total",SUM(H$2:H121),TRUE,IF(COUNTIF(Transactions[Custom Category],E122)&gt;0,SUMIFS(Transactions[Amount],Transactions[Custom Category],E122,Transactions[Month],Sel_Month),SUMIFS(Transactions[Amount],Transactions[Name],E122,Transactions[Month],Sel_Month)))</f>
        <v/>
      </c>
      <c r="I122" s="12" t="str">
        <f t="shared" si="1"/>
        <v/>
      </c>
    </row>
    <row r="123" spans="4:9" x14ac:dyDescent="0.25">
      <c r="D123" s="11"/>
      <c r="H123" s="11" t="str" cm="1">
        <f t="array" ref="H123">_xlfn.IFS(E123="","",E123="Grand Total",SUM(H$2:H122),TRUE,IF(COUNTIF(Transactions[Custom Category],E123)&gt;0,SUMIFS(Transactions[Amount],Transactions[Custom Category],E123,Transactions[Month],Sel_Month),SUMIFS(Transactions[Amount],Transactions[Name],E123,Transactions[Month],Sel_Month)))</f>
        <v/>
      </c>
      <c r="I123" s="12" t="str">
        <f t="shared" si="1"/>
        <v/>
      </c>
    </row>
    <row r="124" spans="4:9" x14ac:dyDescent="0.25">
      <c r="D124" s="11"/>
      <c r="H124" s="11" t="str" cm="1">
        <f t="array" ref="H124">_xlfn.IFS(E124="","",E124="Grand Total",SUM(H$2:H123),TRUE,IF(COUNTIF(Transactions[Custom Category],E124)&gt;0,SUMIFS(Transactions[Amount],Transactions[Custom Category],E124,Transactions[Month],Sel_Month),SUMIFS(Transactions[Amount],Transactions[Name],E124,Transactions[Month],Sel_Month)))</f>
        <v/>
      </c>
      <c r="I124" s="12" t="str">
        <f t="shared" si="1"/>
        <v/>
      </c>
    </row>
    <row r="125" spans="4:9" x14ac:dyDescent="0.25">
      <c r="D125" s="11"/>
      <c r="H125" s="11" t="str" cm="1">
        <f t="array" ref="H125">_xlfn.IFS(E125="","",E125="Grand Total",SUM(H$2:H124),TRUE,IF(COUNTIF(Transactions[Custom Category],E125)&gt;0,SUMIFS(Transactions[Amount],Transactions[Custom Category],E125,Transactions[Month],Sel_Month),SUMIFS(Transactions[Amount],Transactions[Name],E125,Transactions[Month],Sel_Month)))</f>
        <v/>
      </c>
      <c r="I125" s="12" t="str">
        <f t="shared" si="1"/>
        <v/>
      </c>
    </row>
    <row r="126" spans="4:9" x14ac:dyDescent="0.25">
      <c r="D126" s="11"/>
      <c r="H126" s="11" t="str" cm="1">
        <f t="array" ref="H126">_xlfn.IFS(E126="","",E126="Grand Total",SUM(H$2:H125),TRUE,IF(COUNTIF(Transactions[Custom Category],E126)&gt;0,SUMIFS(Transactions[Amount],Transactions[Custom Category],E126,Transactions[Month],Sel_Month),SUMIFS(Transactions[Amount],Transactions[Name],E126,Transactions[Month],Sel_Month)))</f>
        <v/>
      </c>
      <c r="I126" s="12" t="str">
        <f t="shared" si="1"/>
        <v/>
      </c>
    </row>
    <row r="127" spans="4:9" x14ac:dyDescent="0.25">
      <c r="D127" s="11"/>
      <c r="H127" s="11" t="str" cm="1">
        <f t="array" ref="H127">_xlfn.IFS(E127="","",E127="Grand Total",SUM(H$2:H126),TRUE,IF(COUNTIF(Transactions[Custom Category],E127)&gt;0,SUMIFS(Transactions[Amount],Transactions[Custom Category],E127,Transactions[Month],Sel_Month),SUMIFS(Transactions[Amount],Transactions[Name],E127,Transactions[Month],Sel_Month)))</f>
        <v/>
      </c>
      <c r="I127" s="12" t="str">
        <f t="shared" si="1"/>
        <v/>
      </c>
    </row>
    <row r="128" spans="4:9" x14ac:dyDescent="0.25">
      <c r="D128" s="11"/>
      <c r="H128" s="11" t="str" cm="1">
        <f t="array" ref="H128">_xlfn.IFS(E128="","",E128="Grand Total",SUM(H$2:H127),TRUE,IF(COUNTIF(Transactions[Custom Category],E128)&gt;0,SUMIFS(Transactions[Amount],Transactions[Custom Category],E128,Transactions[Month],Sel_Month),SUMIFS(Transactions[Amount],Transactions[Name],E128,Transactions[Month],Sel_Month)))</f>
        <v/>
      </c>
      <c r="I128" s="12" t="str">
        <f t="shared" si="1"/>
        <v/>
      </c>
    </row>
    <row r="129" spans="4:9" x14ac:dyDescent="0.25">
      <c r="D129" s="11"/>
      <c r="H129" s="11" t="str" cm="1">
        <f t="array" ref="H129">_xlfn.IFS(E129="","",E129="Grand Total",SUM(H$2:H128),TRUE,IF(COUNTIF(Transactions[Custom Category],E129)&gt;0,SUMIFS(Transactions[Amount],Transactions[Custom Category],E129,Transactions[Month],Sel_Month),SUMIFS(Transactions[Amount],Transactions[Name],E129,Transactions[Month],Sel_Month)))</f>
        <v/>
      </c>
      <c r="I129" s="12" t="str">
        <f t="shared" si="1"/>
        <v/>
      </c>
    </row>
    <row r="130" spans="4:9" x14ac:dyDescent="0.25">
      <c r="D130" s="11"/>
      <c r="H130" s="11" t="str" cm="1">
        <f t="array" ref="H130">_xlfn.IFS(E130="","",E130="Grand Total",SUM(H$2:H129),TRUE,IF(COUNTIF(Transactions[Custom Category],E130)&gt;0,SUMIFS(Transactions[Amount],Transactions[Custom Category],E130,Transactions[Month],Sel_Month),SUMIFS(Transactions[Amount],Transactions[Name],E130,Transactions[Month],Sel_Month)))</f>
        <v/>
      </c>
      <c r="I130" s="12" t="str">
        <f t="shared" si="1"/>
        <v/>
      </c>
    </row>
    <row r="131" spans="4:9" x14ac:dyDescent="0.25">
      <c r="D131" s="11"/>
      <c r="H131" s="11" t="str" cm="1">
        <f t="array" ref="H131">_xlfn.IFS(E131="","",E131="Grand Total",SUM(H$2:H130),TRUE,IF(COUNTIF(Transactions[Custom Category],E131)&gt;0,SUMIFS(Transactions[Amount],Transactions[Custom Category],E131,Transactions[Month],Sel_Month),SUMIFS(Transactions[Amount],Transactions[Name],E131,Transactions[Month],Sel_Month)))</f>
        <v/>
      </c>
      <c r="I131" s="12" t="str">
        <f t="shared" si="1"/>
        <v/>
      </c>
    </row>
    <row r="132" spans="4:9" x14ac:dyDescent="0.25">
      <c r="D132" s="11"/>
      <c r="H132" s="11" t="str" cm="1">
        <f t="array" ref="H132">_xlfn.IFS(E132="","",E132="Grand Total",SUM(H$2:H131),TRUE,IF(COUNTIF(Transactions[Custom Category],E132)&gt;0,SUMIFS(Transactions[Amount],Transactions[Custom Category],E132,Transactions[Month],Sel_Month),SUMIFS(Transactions[Amount],Transactions[Name],E132,Transactions[Month],Sel_Month)))</f>
        <v/>
      </c>
      <c r="I132" s="12" t="str">
        <f t="shared" ref="I132:I195" si="2">IF(G132="","",IF(G132=0,0,1-((G132-H132)/G132)))</f>
        <v/>
      </c>
    </row>
    <row r="133" spans="4:9" x14ac:dyDescent="0.25">
      <c r="D133" s="11"/>
      <c r="H133" s="11" t="str" cm="1">
        <f t="array" ref="H133">_xlfn.IFS(E133="","",E133="Grand Total",SUM(H$2:H132),TRUE,IF(COUNTIF(Transactions[Custom Category],E133)&gt;0,SUMIFS(Transactions[Amount],Transactions[Custom Category],E133,Transactions[Month],Sel_Month),SUMIFS(Transactions[Amount],Transactions[Name],E133,Transactions[Month],Sel_Month)))</f>
        <v/>
      </c>
      <c r="I133" s="12" t="str">
        <f t="shared" si="2"/>
        <v/>
      </c>
    </row>
    <row r="134" spans="4:9" x14ac:dyDescent="0.25">
      <c r="D134" s="11"/>
      <c r="H134" s="11" t="str" cm="1">
        <f t="array" ref="H134">_xlfn.IFS(E134="","",E134="Grand Total",SUM(H$2:H133),TRUE,IF(COUNTIF(Transactions[Custom Category],E134)&gt;0,SUMIFS(Transactions[Amount],Transactions[Custom Category],E134,Transactions[Month],Sel_Month),SUMIFS(Transactions[Amount],Transactions[Name],E134,Transactions[Month],Sel_Month)))</f>
        <v/>
      </c>
      <c r="I134" s="12" t="str">
        <f t="shared" si="2"/>
        <v/>
      </c>
    </row>
    <row r="135" spans="4:9" x14ac:dyDescent="0.25">
      <c r="D135" s="11"/>
      <c r="H135" s="11" t="str" cm="1">
        <f t="array" ref="H135">_xlfn.IFS(E135="","",E135="Grand Total",SUM(H$2:H134),TRUE,IF(COUNTIF(Transactions[Custom Category],E135)&gt;0,SUMIFS(Transactions[Amount],Transactions[Custom Category],E135,Transactions[Month],Sel_Month),SUMIFS(Transactions[Amount],Transactions[Name],E135,Transactions[Month],Sel_Month)))</f>
        <v/>
      </c>
      <c r="I135" s="12" t="str">
        <f t="shared" si="2"/>
        <v/>
      </c>
    </row>
    <row r="136" spans="4:9" x14ac:dyDescent="0.25">
      <c r="D136" s="11"/>
      <c r="H136" s="11" t="str" cm="1">
        <f t="array" ref="H136">_xlfn.IFS(E136="","",E136="Grand Total",SUM(H$2:H135),TRUE,IF(COUNTIF(Transactions[Custom Category],E136)&gt;0,SUMIFS(Transactions[Amount],Transactions[Custom Category],E136,Transactions[Month],Sel_Month),SUMIFS(Transactions[Amount],Transactions[Name],E136,Transactions[Month],Sel_Month)))</f>
        <v/>
      </c>
      <c r="I136" s="12" t="str">
        <f t="shared" si="2"/>
        <v/>
      </c>
    </row>
    <row r="137" spans="4:9" x14ac:dyDescent="0.25">
      <c r="D137" s="11"/>
      <c r="H137" s="11" t="str" cm="1">
        <f t="array" ref="H137">_xlfn.IFS(E137="","",E137="Grand Total",SUM(H$2:H136),TRUE,IF(COUNTIF(Transactions[Custom Category],E137)&gt;0,SUMIFS(Transactions[Amount],Transactions[Custom Category],E137,Transactions[Month],Sel_Month),SUMIFS(Transactions[Amount],Transactions[Name],E137,Transactions[Month],Sel_Month)))</f>
        <v/>
      </c>
      <c r="I137" s="12" t="str">
        <f t="shared" si="2"/>
        <v/>
      </c>
    </row>
    <row r="138" spans="4:9" x14ac:dyDescent="0.25">
      <c r="D138" s="11"/>
      <c r="H138" s="11" t="str" cm="1">
        <f t="array" ref="H138">_xlfn.IFS(E138="","",E138="Grand Total",SUM(H$2:H137),TRUE,IF(COUNTIF(Transactions[Custom Category],E138)&gt;0,SUMIFS(Transactions[Amount],Transactions[Custom Category],E138,Transactions[Month],Sel_Month),SUMIFS(Transactions[Amount],Transactions[Name],E138,Transactions[Month],Sel_Month)))</f>
        <v/>
      </c>
      <c r="I138" s="12" t="str">
        <f t="shared" si="2"/>
        <v/>
      </c>
    </row>
    <row r="139" spans="4:9" x14ac:dyDescent="0.25">
      <c r="D139" s="11"/>
      <c r="H139" s="11" t="str" cm="1">
        <f t="array" ref="H139">_xlfn.IFS(E139="","",E139="Grand Total",SUM(H$2:H138),TRUE,IF(COUNTIF(Transactions[Custom Category],E139)&gt;0,SUMIFS(Transactions[Amount],Transactions[Custom Category],E139,Transactions[Month],Sel_Month),SUMIFS(Transactions[Amount],Transactions[Name],E139,Transactions[Month],Sel_Month)))</f>
        <v/>
      </c>
      <c r="I139" s="12" t="str">
        <f t="shared" si="2"/>
        <v/>
      </c>
    </row>
    <row r="140" spans="4:9" x14ac:dyDescent="0.25">
      <c r="D140" s="11"/>
      <c r="H140" s="11" t="str" cm="1">
        <f t="array" ref="H140">_xlfn.IFS(E140="","",E140="Grand Total",SUM(H$2:H139),TRUE,IF(COUNTIF(Transactions[Custom Category],E140)&gt;0,SUMIFS(Transactions[Amount],Transactions[Custom Category],E140,Transactions[Month],Sel_Month),SUMIFS(Transactions[Amount],Transactions[Name],E140,Transactions[Month],Sel_Month)))</f>
        <v/>
      </c>
      <c r="I140" s="12" t="str">
        <f t="shared" si="2"/>
        <v/>
      </c>
    </row>
    <row r="141" spans="4:9" x14ac:dyDescent="0.25">
      <c r="D141" s="11"/>
      <c r="H141" s="11" t="str" cm="1">
        <f t="array" ref="H141">_xlfn.IFS(E141="","",E141="Grand Total",SUM(H$2:H140),TRUE,IF(COUNTIF(Transactions[Custom Category],E141)&gt;0,SUMIFS(Transactions[Amount],Transactions[Custom Category],E141,Transactions[Month],Sel_Month),SUMIFS(Transactions[Amount],Transactions[Name],E141,Transactions[Month],Sel_Month)))</f>
        <v/>
      </c>
      <c r="I141" s="12" t="str">
        <f t="shared" si="2"/>
        <v/>
      </c>
    </row>
    <row r="142" spans="4:9" x14ac:dyDescent="0.25">
      <c r="D142" s="11"/>
      <c r="H142" s="11" t="str" cm="1">
        <f t="array" ref="H142">_xlfn.IFS(E142="","",E142="Grand Total",SUM(H$2:H141),TRUE,IF(COUNTIF(Transactions[Custom Category],E142)&gt;0,SUMIFS(Transactions[Amount],Transactions[Custom Category],E142,Transactions[Month],Sel_Month),SUMIFS(Transactions[Amount],Transactions[Name],E142,Transactions[Month],Sel_Month)))</f>
        <v/>
      </c>
      <c r="I142" s="12" t="str">
        <f t="shared" si="2"/>
        <v/>
      </c>
    </row>
    <row r="143" spans="4:9" x14ac:dyDescent="0.25">
      <c r="D143" s="11"/>
      <c r="H143" s="11" t="str" cm="1">
        <f t="array" ref="H143">_xlfn.IFS(E143="","",E143="Grand Total",SUM(H$2:H142),TRUE,IF(COUNTIF(Transactions[Custom Category],E143)&gt;0,SUMIFS(Transactions[Amount],Transactions[Custom Category],E143,Transactions[Month],Sel_Month),SUMIFS(Transactions[Amount],Transactions[Name],E143,Transactions[Month],Sel_Month)))</f>
        <v/>
      </c>
      <c r="I143" s="12" t="str">
        <f t="shared" si="2"/>
        <v/>
      </c>
    </row>
    <row r="144" spans="4:9" x14ac:dyDescent="0.25">
      <c r="D144" s="11"/>
      <c r="H144" s="11" t="str" cm="1">
        <f t="array" ref="H144">_xlfn.IFS(E144="","",E144="Grand Total",SUM(H$2:H143),TRUE,IF(COUNTIF(Transactions[Custom Category],E144)&gt;0,SUMIFS(Transactions[Amount],Transactions[Custom Category],E144,Transactions[Month],Sel_Month),SUMIFS(Transactions[Amount],Transactions[Name],E144,Transactions[Month],Sel_Month)))</f>
        <v/>
      </c>
      <c r="I144" s="12" t="str">
        <f t="shared" si="2"/>
        <v/>
      </c>
    </row>
    <row r="145" spans="4:9" x14ac:dyDescent="0.25">
      <c r="D145" s="11"/>
      <c r="H145" s="11" t="str" cm="1">
        <f t="array" ref="H145">_xlfn.IFS(E145="","",E145="Grand Total",SUM(H$2:H144),TRUE,IF(COUNTIF(Transactions[Custom Category],E145)&gt;0,SUMIFS(Transactions[Amount],Transactions[Custom Category],E145,Transactions[Month],Sel_Month),SUMIFS(Transactions[Amount],Transactions[Name],E145,Transactions[Month],Sel_Month)))</f>
        <v/>
      </c>
      <c r="I145" s="12" t="str">
        <f t="shared" si="2"/>
        <v/>
      </c>
    </row>
    <row r="146" spans="4:9" x14ac:dyDescent="0.25">
      <c r="D146" s="11"/>
      <c r="H146" s="11" t="str" cm="1">
        <f t="array" ref="H146">_xlfn.IFS(E146="","",E146="Grand Total",SUM(H$2:H145),TRUE,IF(COUNTIF(Transactions[Custom Category],E146)&gt;0,SUMIFS(Transactions[Amount],Transactions[Custom Category],E146,Transactions[Month],Sel_Month),SUMIFS(Transactions[Amount],Transactions[Name],E146,Transactions[Month],Sel_Month)))</f>
        <v/>
      </c>
      <c r="I146" s="12" t="str">
        <f t="shared" si="2"/>
        <v/>
      </c>
    </row>
    <row r="147" spans="4:9" x14ac:dyDescent="0.25">
      <c r="D147" s="11"/>
      <c r="H147" s="11" t="str" cm="1">
        <f t="array" ref="H147">_xlfn.IFS(E147="","",E147="Grand Total",SUM(H$2:H146),TRUE,IF(COUNTIF(Transactions[Custom Category],E147)&gt;0,SUMIFS(Transactions[Amount],Transactions[Custom Category],E147,Transactions[Month],Sel_Month),SUMIFS(Transactions[Amount],Transactions[Name],E147,Transactions[Month],Sel_Month)))</f>
        <v/>
      </c>
      <c r="I147" s="12" t="str">
        <f t="shared" si="2"/>
        <v/>
      </c>
    </row>
    <row r="148" spans="4:9" x14ac:dyDescent="0.25">
      <c r="D148" s="11"/>
      <c r="H148" s="11" t="str" cm="1">
        <f t="array" ref="H148">_xlfn.IFS(E148="","",E148="Grand Total",SUM(H$2:H147),TRUE,IF(COUNTIF(Transactions[Custom Category],E148)&gt;0,SUMIFS(Transactions[Amount],Transactions[Custom Category],E148,Transactions[Month],Sel_Month),SUMIFS(Transactions[Amount],Transactions[Name],E148,Transactions[Month],Sel_Month)))</f>
        <v/>
      </c>
      <c r="I148" s="12" t="str">
        <f t="shared" si="2"/>
        <v/>
      </c>
    </row>
    <row r="149" spans="4:9" x14ac:dyDescent="0.25">
      <c r="D149" s="11"/>
      <c r="H149" s="11" t="str" cm="1">
        <f t="array" ref="H149">_xlfn.IFS(E149="","",E149="Grand Total",SUM(H$2:H148),TRUE,IF(COUNTIF(Transactions[Custom Category],E149)&gt;0,SUMIFS(Transactions[Amount],Transactions[Custom Category],E149,Transactions[Month],Sel_Month),SUMIFS(Transactions[Amount],Transactions[Name],E149,Transactions[Month],Sel_Month)))</f>
        <v/>
      </c>
      <c r="I149" s="12" t="str">
        <f t="shared" si="2"/>
        <v/>
      </c>
    </row>
    <row r="150" spans="4:9" x14ac:dyDescent="0.25">
      <c r="D150" s="11"/>
      <c r="H150" s="11" t="str" cm="1">
        <f t="array" ref="H150">_xlfn.IFS(E150="","",E150="Grand Total",SUM(H$2:H149),TRUE,IF(COUNTIF(Transactions[Custom Category],E150)&gt;0,SUMIFS(Transactions[Amount],Transactions[Custom Category],E150,Transactions[Month],Sel_Month),SUMIFS(Transactions[Amount],Transactions[Name],E150,Transactions[Month],Sel_Month)))</f>
        <v/>
      </c>
      <c r="I150" s="12" t="str">
        <f t="shared" si="2"/>
        <v/>
      </c>
    </row>
    <row r="151" spans="4:9" x14ac:dyDescent="0.25">
      <c r="D151" s="11"/>
      <c r="H151" s="11" t="str" cm="1">
        <f t="array" ref="H151">_xlfn.IFS(E151="","",E151="Grand Total",SUM(H$2:H150),TRUE,IF(COUNTIF(Transactions[Custom Category],E151)&gt;0,SUMIFS(Transactions[Amount],Transactions[Custom Category],E151,Transactions[Month],Sel_Month),SUMIFS(Transactions[Amount],Transactions[Name],E151,Transactions[Month],Sel_Month)))</f>
        <v/>
      </c>
      <c r="I151" s="12" t="str">
        <f t="shared" si="2"/>
        <v/>
      </c>
    </row>
    <row r="152" spans="4:9" x14ac:dyDescent="0.25">
      <c r="D152" s="11"/>
      <c r="H152" s="11" t="str" cm="1">
        <f t="array" ref="H152">_xlfn.IFS(E152="","",E152="Grand Total",SUM(H$2:H151),TRUE,IF(COUNTIF(Transactions[Custom Category],E152)&gt;0,SUMIFS(Transactions[Amount],Transactions[Custom Category],E152,Transactions[Month],Sel_Month),SUMIFS(Transactions[Amount],Transactions[Name],E152,Transactions[Month],Sel_Month)))</f>
        <v/>
      </c>
      <c r="I152" s="12" t="str">
        <f t="shared" si="2"/>
        <v/>
      </c>
    </row>
    <row r="153" spans="4:9" x14ac:dyDescent="0.25">
      <c r="D153" s="11"/>
      <c r="H153" s="11" t="str" cm="1">
        <f t="array" ref="H153">_xlfn.IFS(E153="","",E153="Grand Total",SUM(H$2:H152),TRUE,IF(COUNTIF(Transactions[Custom Category],E153)&gt;0,SUMIFS(Transactions[Amount],Transactions[Custom Category],E153,Transactions[Month],Sel_Month),SUMIFS(Transactions[Amount],Transactions[Name],E153,Transactions[Month],Sel_Month)))</f>
        <v/>
      </c>
      <c r="I153" s="12" t="str">
        <f t="shared" si="2"/>
        <v/>
      </c>
    </row>
    <row r="154" spans="4:9" x14ac:dyDescent="0.25">
      <c r="D154" s="11"/>
      <c r="H154" s="11" t="str" cm="1">
        <f t="array" ref="H154">_xlfn.IFS(E154="","",E154="Grand Total",SUM(H$2:H153),TRUE,IF(COUNTIF(Transactions[Custom Category],E154)&gt;0,SUMIFS(Transactions[Amount],Transactions[Custom Category],E154,Transactions[Month],Sel_Month),SUMIFS(Transactions[Amount],Transactions[Name],E154,Transactions[Month],Sel_Month)))</f>
        <v/>
      </c>
      <c r="I154" s="12" t="str">
        <f t="shared" si="2"/>
        <v/>
      </c>
    </row>
    <row r="155" spans="4:9" x14ac:dyDescent="0.25">
      <c r="D155" s="11"/>
      <c r="H155" s="11" t="str" cm="1">
        <f t="array" ref="H155">_xlfn.IFS(E155="","",E155="Grand Total",SUM(H$2:H154),TRUE,IF(COUNTIF(Transactions[Custom Category],E155)&gt;0,SUMIFS(Transactions[Amount],Transactions[Custom Category],E155,Transactions[Month],Sel_Month),SUMIFS(Transactions[Amount],Transactions[Name],E155,Transactions[Month],Sel_Month)))</f>
        <v/>
      </c>
      <c r="I155" s="12" t="str">
        <f t="shared" si="2"/>
        <v/>
      </c>
    </row>
    <row r="156" spans="4:9" x14ac:dyDescent="0.25">
      <c r="D156" s="11"/>
      <c r="H156" s="11" t="str" cm="1">
        <f t="array" ref="H156">_xlfn.IFS(E156="","",E156="Grand Total",SUM(H$2:H155),TRUE,IF(COUNTIF(Transactions[Custom Category],E156)&gt;0,SUMIFS(Transactions[Amount],Transactions[Custom Category],E156,Transactions[Month],Sel_Month),SUMIFS(Transactions[Amount],Transactions[Name],E156,Transactions[Month],Sel_Month)))</f>
        <v/>
      </c>
      <c r="I156" s="12" t="str">
        <f t="shared" si="2"/>
        <v/>
      </c>
    </row>
    <row r="157" spans="4:9" x14ac:dyDescent="0.25">
      <c r="D157" s="11"/>
      <c r="H157" s="11" t="str" cm="1">
        <f t="array" ref="H157">_xlfn.IFS(E157="","",E157="Grand Total",SUM(H$2:H156),TRUE,IF(COUNTIF(Transactions[Custom Category],E157)&gt;0,SUMIFS(Transactions[Amount],Transactions[Custom Category],E157,Transactions[Month],Sel_Month),SUMIFS(Transactions[Amount],Transactions[Name],E157,Transactions[Month],Sel_Month)))</f>
        <v/>
      </c>
      <c r="I157" s="12" t="str">
        <f t="shared" si="2"/>
        <v/>
      </c>
    </row>
    <row r="158" spans="4:9" x14ac:dyDescent="0.25">
      <c r="D158" s="11"/>
      <c r="H158" s="11" t="str" cm="1">
        <f t="array" ref="H158">_xlfn.IFS(E158="","",E158="Grand Total",SUM(H$2:H157),TRUE,IF(COUNTIF(Transactions[Custom Category],E158)&gt;0,SUMIFS(Transactions[Amount],Transactions[Custom Category],E158,Transactions[Month],Sel_Month),SUMIFS(Transactions[Amount],Transactions[Name],E158,Transactions[Month],Sel_Month)))</f>
        <v/>
      </c>
      <c r="I158" s="12" t="str">
        <f t="shared" si="2"/>
        <v/>
      </c>
    </row>
    <row r="159" spans="4:9" x14ac:dyDescent="0.25">
      <c r="D159" s="11"/>
      <c r="H159" s="11" t="str" cm="1">
        <f t="array" ref="H159">_xlfn.IFS(E159="","",E159="Grand Total",SUM(H$2:H158),TRUE,IF(COUNTIF(Transactions[Custom Category],E159)&gt;0,SUMIFS(Transactions[Amount],Transactions[Custom Category],E159,Transactions[Month],Sel_Month),SUMIFS(Transactions[Amount],Transactions[Name],E159,Transactions[Month],Sel_Month)))</f>
        <v/>
      </c>
      <c r="I159" s="12" t="str">
        <f t="shared" si="2"/>
        <v/>
      </c>
    </row>
    <row r="160" spans="4:9" x14ac:dyDescent="0.25">
      <c r="D160" s="11"/>
      <c r="H160" s="11" t="str" cm="1">
        <f t="array" ref="H160">_xlfn.IFS(E160="","",E160="Grand Total",SUM(H$2:H159),TRUE,IF(COUNTIF(Transactions[Custom Category],E160)&gt;0,SUMIFS(Transactions[Amount],Transactions[Custom Category],E160,Transactions[Month],Sel_Month),SUMIFS(Transactions[Amount],Transactions[Name],E160,Transactions[Month],Sel_Month)))</f>
        <v/>
      </c>
      <c r="I160" s="12" t="str">
        <f t="shared" si="2"/>
        <v/>
      </c>
    </row>
    <row r="161" spans="4:9" x14ac:dyDescent="0.25">
      <c r="D161" s="11"/>
      <c r="H161" s="11" t="str" cm="1">
        <f t="array" ref="H161">_xlfn.IFS(E161="","",E161="Grand Total",SUM(H$2:H160),TRUE,IF(COUNTIF(Transactions[Custom Category],E161)&gt;0,SUMIFS(Transactions[Amount],Transactions[Custom Category],E161,Transactions[Month],Sel_Month),SUMIFS(Transactions[Amount],Transactions[Name],E161,Transactions[Month],Sel_Month)))</f>
        <v/>
      </c>
      <c r="I161" s="12" t="str">
        <f t="shared" si="2"/>
        <v/>
      </c>
    </row>
    <row r="162" spans="4:9" x14ac:dyDescent="0.25">
      <c r="D162" s="11"/>
      <c r="H162" s="11" t="str" cm="1">
        <f t="array" ref="H162">_xlfn.IFS(E162="","",E162="Grand Total",SUM(H$2:H161),TRUE,IF(COUNTIF(Transactions[Custom Category],E162)&gt;0,SUMIFS(Transactions[Amount],Transactions[Custom Category],E162,Transactions[Month],Sel_Month),SUMIFS(Transactions[Amount],Transactions[Name],E162,Transactions[Month],Sel_Month)))</f>
        <v/>
      </c>
      <c r="I162" s="12" t="str">
        <f t="shared" si="2"/>
        <v/>
      </c>
    </row>
    <row r="163" spans="4:9" x14ac:dyDescent="0.25">
      <c r="D163" s="11"/>
      <c r="H163" s="11" t="str" cm="1">
        <f t="array" ref="H163">_xlfn.IFS(E163="","",E163="Grand Total",SUM(H$2:H162),TRUE,IF(COUNTIF(Transactions[Custom Category],E163)&gt;0,SUMIFS(Transactions[Amount],Transactions[Custom Category],E163,Transactions[Month],Sel_Month),SUMIFS(Transactions[Amount],Transactions[Name],E163,Transactions[Month],Sel_Month)))</f>
        <v/>
      </c>
      <c r="I163" s="12" t="str">
        <f t="shared" si="2"/>
        <v/>
      </c>
    </row>
    <row r="164" spans="4:9" x14ac:dyDescent="0.25">
      <c r="D164" s="11"/>
      <c r="H164" s="11" t="str" cm="1">
        <f t="array" ref="H164">_xlfn.IFS(E164="","",E164="Grand Total",SUM(H$2:H163),TRUE,IF(COUNTIF(Transactions[Custom Category],E164)&gt;0,SUMIFS(Transactions[Amount],Transactions[Custom Category],E164,Transactions[Month],Sel_Month),SUMIFS(Transactions[Amount],Transactions[Name],E164,Transactions[Month],Sel_Month)))</f>
        <v/>
      </c>
      <c r="I164" s="12" t="str">
        <f t="shared" si="2"/>
        <v/>
      </c>
    </row>
    <row r="165" spans="4:9" x14ac:dyDescent="0.25">
      <c r="D165" s="11"/>
      <c r="H165" s="11" t="str" cm="1">
        <f t="array" ref="H165">_xlfn.IFS(E165="","",E165="Grand Total",SUM(H$2:H164),TRUE,IF(COUNTIF(Transactions[Custom Category],E165)&gt;0,SUMIFS(Transactions[Amount],Transactions[Custom Category],E165,Transactions[Month],Sel_Month),SUMIFS(Transactions[Amount],Transactions[Name],E165,Transactions[Month],Sel_Month)))</f>
        <v/>
      </c>
      <c r="I165" s="12" t="str">
        <f t="shared" si="2"/>
        <v/>
      </c>
    </row>
    <row r="166" spans="4:9" x14ac:dyDescent="0.25">
      <c r="D166" s="11"/>
      <c r="H166" s="11" t="str" cm="1">
        <f t="array" ref="H166">_xlfn.IFS(E166="","",E166="Grand Total",SUM(H$2:H165),TRUE,IF(COUNTIF(Transactions[Custom Category],E166)&gt;0,SUMIFS(Transactions[Amount],Transactions[Custom Category],E166,Transactions[Month],Sel_Month),SUMIFS(Transactions[Amount],Transactions[Name],E166,Transactions[Month],Sel_Month)))</f>
        <v/>
      </c>
      <c r="I166" s="12" t="str">
        <f t="shared" si="2"/>
        <v/>
      </c>
    </row>
    <row r="167" spans="4:9" x14ac:dyDescent="0.25">
      <c r="D167" s="11"/>
      <c r="H167" s="11" t="str" cm="1">
        <f t="array" ref="H167">_xlfn.IFS(E167="","",E167="Grand Total",SUM(H$2:H166),TRUE,IF(COUNTIF(Transactions[Custom Category],E167)&gt;0,SUMIFS(Transactions[Amount],Transactions[Custom Category],E167,Transactions[Month],Sel_Month),SUMIFS(Transactions[Amount],Transactions[Name],E167,Transactions[Month],Sel_Month)))</f>
        <v/>
      </c>
      <c r="I167" s="12" t="str">
        <f t="shared" si="2"/>
        <v/>
      </c>
    </row>
    <row r="168" spans="4:9" x14ac:dyDescent="0.25">
      <c r="D168" s="11"/>
      <c r="H168" s="11" t="str" cm="1">
        <f t="array" ref="H168">_xlfn.IFS(E168="","",E168="Grand Total",SUM(H$2:H167),TRUE,IF(COUNTIF(Transactions[Custom Category],E168)&gt;0,SUMIFS(Transactions[Amount],Transactions[Custom Category],E168,Transactions[Month],Sel_Month),SUMIFS(Transactions[Amount],Transactions[Name],E168,Transactions[Month],Sel_Month)))</f>
        <v/>
      </c>
      <c r="I168" s="12" t="str">
        <f t="shared" si="2"/>
        <v/>
      </c>
    </row>
    <row r="169" spans="4:9" x14ac:dyDescent="0.25">
      <c r="D169" s="11"/>
      <c r="H169" s="11" t="str" cm="1">
        <f t="array" ref="H169">_xlfn.IFS(E169="","",E169="Grand Total",SUM(H$2:H168),TRUE,IF(COUNTIF(Transactions[Custom Category],E169)&gt;0,SUMIFS(Transactions[Amount],Transactions[Custom Category],E169,Transactions[Month],Sel_Month),SUMIFS(Transactions[Amount],Transactions[Name],E169,Transactions[Month],Sel_Month)))</f>
        <v/>
      </c>
      <c r="I169" s="12" t="str">
        <f t="shared" si="2"/>
        <v/>
      </c>
    </row>
    <row r="170" spans="4:9" x14ac:dyDescent="0.25">
      <c r="D170" s="11"/>
      <c r="H170" s="11" t="str" cm="1">
        <f t="array" ref="H170">_xlfn.IFS(E170="","",E170="Grand Total",SUM(H$2:H169),TRUE,IF(COUNTIF(Transactions[Custom Category],E170)&gt;0,SUMIFS(Transactions[Amount],Transactions[Custom Category],E170,Transactions[Month],Sel_Month),SUMIFS(Transactions[Amount],Transactions[Name],E170,Transactions[Month],Sel_Month)))</f>
        <v/>
      </c>
      <c r="I170" s="12" t="str">
        <f t="shared" si="2"/>
        <v/>
      </c>
    </row>
    <row r="171" spans="4:9" x14ac:dyDescent="0.25">
      <c r="D171" s="11"/>
      <c r="H171" s="11" t="str" cm="1">
        <f t="array" ref="H171">_xlfn.IFS(E171="","",E171="Grand Total",SUM(H$2:H170),TRUE,IF(COUNTIF(Transactions[Custom Category],E171)&gt;0,SUMIFS(Transactions[Amount],Transactions[Custom Category],E171,Transactions[Month],Sel_Month),SUMIFS(Transactions[Amount],Transactions[Name],E171,Transactions[Month],Sel_Month)))</f>
        <v/>
      </c>
      <c r="I171" s="12" t="str">
        <f t="shared" si="2"/>
        <v/>
      </c>
    </row>
    <row r="172" spans="4:9" x14ac:dyDescent="0.25">
      <c r="D172" s="11"/>
      <c r="H172" s="11" t="str" cm="1">
        <f t="array" ref="H172">_xlfn.IFS(E172="","",E172="Grand Total",SUM(H$2:H171),TRUE,IF(COUNTIF(Transactions[Custom Category],E172)&gt;0,SUMIFS(Transactions[Amount],Transactions[Custom Category],E172,Transactions[Month],Sel_Month),SUMIFS(Transactions[Amount],Transactions[Name],E172,Transactions[Month],Sel_Month)))</f>
        <v/>
      </c>
      <c r="I172" s="12" t="str">
        <f t="shared" si="2"/>
        <v/>
      </c>
    </row>
    <row r="173" spans="4:9" x14ac:dyDescent="0.25">
      <c r="D173" s="11"/>
      <c r="H173" s="11" t="str" cm="1">
        <f t="array" ref="H173">_xlfn.IFS(E173="","",E173="Grand Total",SUM(H$2:H172),TRUE,IF(COUNTIF(Transactions[Custom Category],E173)&gt;0,SUMIFS(Transactions[Amount],Transactions[Custom Category],E173,Transactions[Month],Sel_Month),SUMIFS(Transactions[Amount],Transactions[Name],E173,Transactions[Month],Sel_Month)))</f>
        <v/>
      </c>
      <c r="I173" s="12" t="str">
        <f t="shared" si="2"/>
        <v/>
      </c>
    </row>
    <row r="174" spans="4:9" x14ac:dyDescent="0.25">
      <c r="D174" s="11"/>
      <c r="H174" s="11" t="str" cm="1">
        <f t="array" ref="H174">_xlfn.IFS(E174="","",E174="Grand Total",SUM(H$2:H173),TRUE,IF(COUNTIF(Transactions[Custom Category],E174)&gt;0,SUMIFS(Transactions[Amount],Transactions[Custom Category],E174,Transactions[Month],Sel_Month),SUMIFS(Transactions[Amount],Transactions[Name],E174,Transactions[Month],Sel_Month)))</f>
        <v/>
      </c>
      <c r="I174" s="12" t="str">
        <f t="shared" si="2"/>
        <v/>
      </c>
    </row>
    <row r="175" spans="4:9" x14ac:dyDescent="0.25">
      <c r="D175" s="11"/>
      <c r="H175" s="11" t="str" cm="1">
        <f t="array" ref="H175">_xlfn.IFS(E175="","",E175="Grand Total",SUM(H$2:H174),TRUE,IF(COUNTIF(Transactions[Custom Category],E175)&gt;0,SUMIFS(Transactions[Amount],Transactions[Custom Category],E175,Transactions[Month],Sel_Month),SUMIFS(Transactions[Amount],Transactions[Name],E175,Transactions[Month],Sel_Month)))</f>
        <v/>
      </c>
      <c r="I175" s="12" t="str">
        <f t="shared" si="2"/>
        <v/>
      </c>
    </row>
    <row r="176" spans="4:9" x14ac:dyDescent="0.25">
      <c r="D176" s="11"/>
      <c r="H176" s="11" t="str" cm="1">
        <f t="array" ref="H176">_xlfn.IFS(E176="","",E176="Grand Total",SUM(H$2:H175),TRUE,IF(COUNTIF(Transactions[Custom Category],E176)&gt;0,SUMIFS(Transactions[Amount],Transactions[Custom Category],E176,Transactions[Month],Sel_Month),SUMIFS(Transactions[Amount],Transactions[Name],E176,Transactions[Month],Sel_Month)))</f>
        <v/>
      </c>
      <c r="I176" s="12" t="str">
        <f t="shared" si="2"/>
        <v/>
      </c>
    </row>
    <row r="177" spans="4:9" x14ac:dyDescent="0.25">
      <c r="D177" s="11"/>
      <c r="H177" s="11" t="str" cm="1">
        <f t="array" ref="H177">_xlfn.IFS(E177="","",E177="Grand Total",SUM(H$2:H176),TRUE,IF(COUNTIF(Transactions[Custom Category],E177)&gt;0,SUMIFS(Transactions[Amount],Transactions[Custom Category],E177,Transactions[Month],Sel_Month),SUMIFS(Transactions[Amount],Transactions[Name],E177,Transactions[Month],Sel_Month)))</f>
        <v/>
      </c>
      <c r="I177" s="12" t="str">
        <f t="shared" si="2"/>
        <v/>
      </c>
    </row>
    <row r="178" spans="4:9" x14ac:dyDescent="0.25">
      <c r="D178" s="11"/>
      <c r="H178" s="11" t="str" cm="1">
        <f t="array" ref="H178">_xlfn.IFS(E178="","",E178="Grand Total",SUM(H$2:H177),TRUE,IF(COUNTIF(Transactions[Custom Category],E178)&gt;0,SUMIFS(Transactions[Amount],Transactions[Custom Category],E178,Transactions[Month],Sel_Month),SUMIFS(Transactions[Amount],Transactions[Name],E178,Transactions[Month],Sel_Month)))</f>
        <v/>
      </c>
      <c r="I178" s="12" t="str">
        <f t="shared" si="2"/>
        <v/>
      </c>
    </row>
    <row r="179" spans="4:9" x14ac:dyDescent="0.25">
      <c r="D179" s="11"/>
      <c r="H179" s="11" t="str" cm="1">
        <f t="array" ref="H179">_xlfn.IFS(E179="","",E179="Grand Total",SUM(H$2:H178),TRUE,IF(COUNTIF(Transactions[Custom Category],E179)&gt;0,SUMIFS(Transactions[Amount],Transactions[Custom Category],E179,Transactions[Month],Sel_Month),SUMIFS(Transactions[Amount],Transactions[Name],E179,Transactions[Month],Sel_Month)))</f>
        <v/>
      </c>
      <c r="I179" s="12" t="str">
        <f t="shared" si="2"/>
        <v/>
      </c>
    </row>
    <row r="180" spans="4:9" x14ac:dyDescent="0.25">
      <c r="D180" s="11"/>
      <c r="H180" s="11" t="str" cm="1">
        <f t="array" ref="H180">_xlfn.IFS(E180="","",E180="Grand Total",SUM(H$2:H179),TRUE,IF(COUNTIF(Transactions[Custom Category],E180)&gt;0,SUMIFS(Transactions[Amount],Transactions[Custom Category],E180,Transactions[Month],Sel_Month),SUMIFS(Transactions[Amount],Transactions[Name],E180,Transactions[Month],Sel_Month)))</f>
        <v/>
      </c>
      <c r="I180" s="12" t="str">
        <f t="shared" si="2"/>
        <v/>
      </c>
    </row>
    <row r="181" spans="4:9" x14ac:dyDescent="0.25">
      <c r="D181" s="11"/>
      <c r="H181" s="11" t="str" cm="1">
        <f t="array" ref="H181">_xlfn.IFS(E181="","",E181="Grand Total",SUM(H$2:H180),TRUE,IF(COUNTIF(Transactions[Custom Category],E181)&gt;0,SUMIFS(Transactions[Amount],Transactions[Custom Category],E181,Transactions[Month],Sel_Month),SUMIFS(Transactions[Amount],Transactions[Name],E181,Transactions[Month],Sel_Month)))</f>
        <v/>
      </c>
      <c r="I181" s="12" t="str">
        <f t="shared" si="2"/>
        <v/>
      </c>
    </row>
    <row r="182" spans="4:9" x14ac:dyDescent="0.25">
      <c r="D182" s="11"/>
      <c r="H182" s="11" t="str" cm="1">
        <f t="array" ref="H182">_xlfn.IFS(E182="","",E182="Grand Total",SUM(H$2:H181),TRUE,IF(COUNTIF(Transactions[Custom Category],E182)&gt;0,SUMIFS(Transactions[Amount],Transactions[Custom Category],E182,Transactions[Month],Sel_Month),SUMIFS(Transactions[Amount],Transactions[Name],E182,Transactions[Month],Sel_Month)))</f>
        <v/>
      </c>
      <c r="I182" s="12" t="str">
        <f t="shared" si="2"/>
        <v/>
      </c>
    </row>
    <row r="183" spans="4:9" x14ac:dyDescent="0.25">
      <c r="D183" s="11"/>
      <c r="H183" s="11" t="str" cm="1">
        <f t="array" ref="H183">_xlfn.IFS(E183="","",E183="Grand Total",SUM(H$2:H182),TRUE,IF(COUNTIF(Transactions[Custom Category],E183)&gt;0,SUMIFS(Transactions[Amount],Transactions[Custom Category],E183,Transactions[Month],Sel_Month),SUMIFS(Transactions[Amount],Transactions[Name],E183,Transactions[Month],Sel_Month)))</f>
        <v/>
      </c>
      <c r="I183" s="12" t="str">
        <f t="shared" si="2"/>
        <v/>
      </c>
    </row>
    <row r="184" spans="4:9" x14ac:dyDescent="0.25">
      <c r="D184" s="11"/>
      <c r="H184" s="11" t="str" cm="1">
        <f t="array" ref="H184">_xlfn.IFS(E184="","",E184="Grand Total",SUM(H$2:H183),TRUE,IF(COUNTIF(Transactions[Custom Category],E184)&gt;0,SUMIFS(Transactions[Amount],Transactions[Custom Category],E184,Transactions[Month],Sel_Month),SUMIFS(Transactions[Amount],Transactions[Name],E184,Transactions[Month],Sel_Month)))</f>
        <v/>
      </c>
      <c r="I184" s="12" t="str">
        <f t="shared" si="2"/>
        <v/>
      </c>
    </row>
    <row r="185" spans="4:9" x14ac:dyDescent="0.25">
      <c r="D185" s="11"/>
      <c r="H185" s="11" t="str" cm="1">
        <f t="array" ref="H185">_xlfn.IFS(E185="","",E185="Grand Total",SUM(H$2:H184),TRUE,IF(COUNTIF(Transactions[Custom Category],E185)&gt;0,SUMIFS(Transactions[Amount],Transactions[Custom Category],E185,Transactions[Month],Sel_Month),SUMIFS(Transactions[Amount],Transactions[Name],E185,Transactions[Month],Sel_Month)))</f>
        <v/>
      </c>
      <c r="I185" s="12" t="str">
        <f t="shared" si="2"/>
        <v/>
      </c>
    </row>
    <row r="186" spans="4:9" x14ac:dyDescent="0.25">
      <c r="D186" s="11"/>
      <c r="H186" s="11" t="str" cm="1">
        <f t="array" ref="H186">_xlfn.IFS(E186="","",E186="Grand Total",SUM(H$2:H185),TRUE,IF(COUNTIF(Transactions[Custom Category],E186)&gt;0,SUMIFS(Transactions[Amount],Transactions[Custom Category],E186,Transactions[Month],Sel_Month),SUMIFS(Transactions[Amount],Transactions[Name],E186,Transactions[Month],Sel_Month)))</f>
        <v/>
      </c>
      <c r="I186" s="12" t="str">
        <f t="shared" si="2"/>
        <v/>
      </c>
    </row>
    <row r="187" spans="4:9" x14ac:dyDescent="0.25">
      <c r="D187" s="11"/>
      <c r="H187" s="11" t="str" cm="1">
        <f t="array" ref="H187">_xlfn.IFS(E187="","",E187="Grand Total",SUM(H$2:H186),TRUE,IF(COUNTIF(Transactions[Custom Category],E187)&gt;0,SUMIFS(Transactions[Amount],Transactions[Custom Category],E187,Transactions[Month],Sel_Month),SUMIFS(Transactions[Amount],Transactions[Name],E187,Transactions[Month],Sel_Month)))</f>
        <v/>
      </c>
      <c r="I187" s="12" t="str">
        <f t="shared" si="2"/>
        <v/>
      </c>
    </row>
    <row r="188" spans="4:9" x14ac:dyDescent="0.25">
      <c r="D188" s="11"/>
      <c r="H188" s="11" t="str" cm="1">
        <f t="array" ref="H188">_xlfn.IFS(E188="","",E188="Grand Total",SUM(H$2:H187),TRUE,IF(COUNTIF(Transactions[Custom Category],E188)&gt;0,SUMIFS(Transactions[Amount],Transactions[Custom Category],E188,Transactions[Month],Sel_Month),SUMIFS(Transactions[Amount],Transactions[Name],E188,Transactions[Month],Sel_Month)))</f>
        <v/>
      </c>
      <c r="I188" s="12" t="str">
        <f t="shared" si="2"/>
        <v/>
      </c>
    </row>
    <row r="189" spans="4:9" x14ac:dyDescent="0.25">
      <c r="D189" s="11"/>
      <c r="H189" s="11" t="str" cm="1">
        <f t="array" ref="H189">_xlfn.IFS(E189="","",E189="Grand Total",SUM(H$2:H188),TRUE,IF(COUNTIF(Transactions[Custom Category],E189)&gt;0,SUMIFS(Transactions[Amount],Transactions[Custom Category],E189,Transactions[Month],Sel_Month),SUMIFS(Transactions[Amount],Transactions[Name],E189,Transactions[Month],Sel_Month)))</f>
        <v/>
      </c>
      <c r="I189" s="12" t="str">
        <f t="shared" si="2"/>
        <v/>
      </c>
    </row>
    <row r="190" spans="4:9" x14ac:dyDescent="0.25">
      <c r="D190" s="11"/>
      <c r="H190" s="11" t="str" cm="1">
        <f t="array" ref="H190">_xlfn.IFS(E190="","",E190="Grand Total",SUM(H$2:H189),TRUE,IF(COUNTIF(Transactions[Custom Category],E190)&gt;0,SUMIFS(Transactions[Amount],Transactions[Custom Category],E190,Transactions[Month],Sel_Month),SUMIFS(Transactions[Amount],Transactions[Name],E190,Transactions[Month],Sel_Month)))</f>
        <v/>
      </c>
      <c r="I190" s="12" t="str">
        <f t="shared" si="2"/>
        <v/>
      </c>
    </row>
    <row r="191" spans="4:9" x14ac:dyDescent="0.25">
      <c r="D191" s="11"/>
      <c r="H191" s="11" t="str" cm="1">
        <f t="array" ref="H191">_xlfn.IFS(E191="","",E191="Grand Total",SUM(H$2:H190),TRUE,IF(COUNTIF(Transactions[Custom Category],E191)&gt;0,SUMIFS(Transactions[Amount],Transactions[Custom Category],E191,Transactions[Month],Sel_Month),SUMIFS(Transactions[Amount],Transactions[Name],E191,Transactions[Month],Sel_Month)))</f>
        <v/>
      </c>
      <c r="I191" s="12" t="str">
        <f t="shared" si="2"/>
        <v/>
      </c>
    </row>
    <row r="192" spans="4:9" x14ac:dyDescent="0.25">
      <c r="D192" s="11"/>
      <c r="H192" s="11" t="str" cm="1">
        <f t="array" ref="H192">_xlfn.IFS(E192="","",E192="Grand Total",SUM(H$2:H191),TRUE,IF(COUNTIF(Transactions[Custom Category],E192)&gt;0,SUMIFS(Transactions[Amount],Transactions[Custom Category],E192,Transactions[Month],Sel_Month),SUMIFS(Transactions[Amount],Transactions[Name],E192,Transactions[Month],Sel_Month)))</f>
        <v/>
      </c>
      <c r="I192" s="12" t="str">
        <f t="shared" si="2"/>
        <v/>
      </c>
    </row>
    <row r="193" spans="4:9" x14ac:dyDescent="0.25">
      <c r="D193" s="11"/>
      <c r="H193" s="11" t="str" cm="1">
        <f t="array" ref="H193">_xlfn.IFS(E193="","",E193="Grand Total",SUM(H$2:H192),TRUE,IF(COUNTIF(Transactions[Custom Category],E193)&gt;0,SUMIFS(Transactions[Amount],Transactions[Custom Category],E193,Transactions[Month],Sel_Month),SUMIFS(Transactions[Amount],Transactions[Name],E193,Transactions[Month],Sel_Month)))</f>
        <v/>
      </c>
      <c r="I193" s="12" t="str">
        <f t="shared" si="2"/>
        <v/>
      </c>
    </row>
    <row r="194" spans="4:9" x14ac:dyDescent="0.25">
      <c r="D194" s="11"/>
      <c r="H194" s="11" t="str" cm="1">
        <f t="array" ref="H194">_xlfn.IFS(E194="","",E194="Grand Total",SUM(H$2:H193),TRUE,IF(COUNTIF(Transactions[Custom Category],E194)&gt;0,SUMIFS(Transactions[Amount],Transactions[Custom Category],E194,Transactions[Month],Sel_Month),SUMIFS(Transactions[Amount],Transactions[Name],E194,Transactions[Month],Sel_Month)))</f>
        <v/>
      </c>
      <c r="I194" s="12" t="str">
        <f t="shared" si="2"/>
        <v/>
      </c>
    </row>
    <row r="195" spans="4:9" x14ac:dyDescent="0.25">
      <c r="D195" s="11"/>
      <c r="H195" s="11" t="str" cm="1">
        <f t="array" ref="H195">_xlfn.IFS(E195="","",E195="Grand Total",SUM(H$2:H194),TRUE,IF(COUNTIF(Transactions[Custom Category],E195)&gt;0,SUMIFS(Transactions[Amount],Transactions[Custom Category],E195,Transactions[Month],Sel_Month),SUMIFS(Transactions[Amount],Transactions[Name],E195,Transactions[Month],Sel_Month)))</f>
        <v/>
      </c>
      <c r="I195" s="12" t="str">
        <f t="shared" si="2"/>
        <v/>
      </c>
    </row>
    <row r="196" spans="4:9" x14ac:dyDescent="0.25">
      <c r="D196" s="11"/>
      <c r="H196" s="11" t="str" cm="1">
        <f t="array" ref="H196">_xlfn.IFS(E196="","",E196="Grand Total",SUM(H$2:H195),TRUE,IF(COUNTIF(Transactions[Custom Category],E196)&gt;0,SUMIFS(Transactions[Amount],Transactions[Custom Category],E196,Transactions[Month],Sel_Month),SUMIFS(Transactions[Amount],Transactions[Name],E196,Transactions[Month],Sel_Month)))</f>
        <v/>
      </c>
      <c r="I196" s="12" t="str">
        <f t="shared" ref="I196:I259" si="3">IF(G196="","",IF(G196=0,0,1-((G196-H196)/G196)))</f>
        <v/>
      </c>
    </row>
    <row r="197" spans="4:9" x14ac:dyDescent="0.25">
      <c r="D197" s="11"/>
      <c r="H197" s="11" t="str" cm="1">
        <f t="array" ref="H197">_xlfn.IFS(E197="","",E197="Grand Total",SUM(H$2:H196),TRUE,IF(COUNTIF(Transactions[Custom Category],E197)&gt;0,SUMIFS(Transactions[Amount],Transactions[Custom Category],E197,Transactions[Month],Sel_Month),SUMIFS(Transactions[Amount],Transactions[Name],E197,Transactions[Month],Sel_Month)))</f>
        <v/>
      </c>
      <c r="I197" s="12" t="str">
        <f t="shared" si="3"/>
        <v/>
      </c>
    </row>
    <row r="198" spans="4:9" x14ac:dyDescent="0.25">
      <c r="D198" s="11"/>
      <c r="H198" s="11" t="str" cm="1">
        <f t="array" ref="H198">_xlfn.IFS(E198="","",E198="Grand Total",SUM(H$2:H197),TRUE,IF(COUNTIF(Transactions[Custom Category],E198)&gt;0,SUMIFS(Transactions[Amount],Transactions[Custom Category],E198,Transactions[Month],Sel_Month),SUMIFS(Transactions[Amount],Transactions[Name],E198,Transactions[Month],Sel_Month)))</f>
        <v/>
      </c>
      <c r="I198" s="12" t="str">
        <f t="shared" si="3"/>
        <v/>
      </c>
    </row>
    <row r="199" spans="4:9" x14ac:dyDescent="0.25">
      <c r="D199" s="11"/>
      <c r="H199" s="11" t="str" cm="1">
        <f t="array" ref="H199">_xlfn.IFS(E199="","",E199="Grand Total",SUM(H$2:H198),TRUE,IF(COUNTIF(Transactions[Custom Category],E199)&gt;0,SUMIFS(Transactions[Amount],Transactions[Custom Category],E199,Transactions[Month],Sel_Month),SUMIFS(Transactions[Amount],Transactions[Name],E199,Transactions[Month],Sel_Month)))</f>
        <v/>
      </c>
      <c r="I199" s="12" t="str">
        <f t="shared" si="3"/>
        <v/>
      </c>
    </row>
    <row r="200" spans="4:9" x14ac:dyDescent="0.25">
      <c r="D200" s="11"/>
      <c r="H200" s="11" t="str" cm="1">
        <f t="array" ref="H200">_xlfn.IFS(E200="","",E200="Grand Total",SUM(H$2:H199),TRUE,IF(COUNTIF(Transactions[Custom Category],E200)&gt;0,SUMIFS(Transactions[Amount],Transactions[Custom Category],E200,Transactions[Month],Sel_Month),SUMIFS(Transactions[Amount],Transactions[Name],E200,Transactions[Month],Sel_Month)))</f>
        <v/>
      </c>
      <c r="I200" s="12" t="str">
        <f t="shared" si="3"/>
        <v/>
      </c>
    </row>
    <row r="201" spans="4:9" x14ac:dyDescent="0.25">
      <c r="D201" s="11"/>
      <c r="H201" s="11" t="str" cm="1">
        <f t="array" ref="H201">_xlfn.IFS(E201="","",E201="Grand Total",SUM(H$2:H200),TRUE,IF(COUNTIF(Transactions[Custom Category],E201)&gt;0,SUMIFS(Transactions[Amount],Transactions[Custom Category],E201,Transactions[Month],Sel_Month),SUMIFS(Transactions[Amount],Transactions[Name],E201,Transactions[Month],Sel_Month)))</f>
        <v/>
      </c>
      <c r="I201" s="12" t="str">
        <f t="shared" si="3"/>
        <v/>
      </c>
    </row>
    <row r="202" spans="4:9" x14ac:dyDescent="0.25">
      <c r="D202" s="11"/>
      <c r="H202" s="11" t="str" cm="1">
        <f t="array" ref="H202">_xlfn.IFS(E202="","",E202="Grand Total",SUM(H$2:H201),TRUE,IF(COUNTIF(Transactions[Custom Category],E202)&gt;0,SUMIFS(Transactions[Amount],Transactions[Custom Category],E202,Transactions[Month],Sel_Month),SUMIFS(Transactions[Amount],Transactions[Name],E202,Transactions[Month],Sel_Month)))</f>
        <v/>
      </c>
      <c r="I202" s="12" t="str">
        <f t="shared" si="3"/>
        <v/>
      </c>
    </row>
    <row r="203" spans="4:9" x14ac:dyDescent="0.25">
      <c r="D203" s="11"/>
      <c r="H203" s="11" t="str" cm="1">
        <f t="array" ref="H203">_xlfn.IFS(E203="","",E203="Grand Total",SUM(H$2:H202),TRUE,IF(COUNTIF(Transactions[Custom Category],E203)&gt;0,SUMIFS(Transactions[Amount],Transactions[Custom Category],E203,Transactions[Month],Sel_Month),SUMIFS(Transactions[Amount],Transactions[Name],E203,Transactions[Month],Sel_Month)))</f>
        <v/>
      </c>
      <c r="I203" s="12" t="str">
        <f t="shared" si="3"/>
        <v/>
      </c>
    </row>
    <row r="204" spans="4:9" x14ac:dyDescent="0.25">
      <c r="D204" s="11"/>
      <c r="H204" s="11" t="str" cm="1">
        <f t="array" ref="H204">_xlfn.IFS(E204="","",E204="Grand Total",SUM(H$2:H203),TRUE,IF(COUNTIF(Transactions[Custom Category],E204)&gt;0,SUMIFS(Transactions[Amount],Transactions[Custom Category],E204,Transactions[Month],Sel_Month),SUMIFS(Transactions[Amount],Transactions[Name],E204,Transactions[Month],Sel_Month)))</f>
        <v/>
      </c>
      <c r="I204" s="12" t="str">
        <f t="shared" si="3"/>
        <v/>
      </c>
    </row>
    <row r="205" spans="4:9" x14ac:dyDescent="0.25">
      <c r="D205" s="11"/>
      <c r="H205" s="11" t="str" cm="1">
        <f t="array" ref="H205">_xlfn.IFS(E205="","",E205="Grand Total",SUM(H$2:H204),TRUE,IF(COUNTIF(Transactions[Custom Category],E205)&gt;0,SUMIFS(Transactions[Amount],Transactions[Custom Category],E205,Transactions[Month],Sel_Month),SUMIFS(Transactions[Amount],Transactions[Name],E205,Transactions[Month],Sel_Month)))</f>
        <v/>
      </c>
      <c r="I205" s="12" t="str">
        <f t="shared" si="3"/>
        <v/>
      </c>
    </row>
    <row r="206" spans="4:9" x14ac:dyDescent="0.25">
      <c r="D206" s="11"/>
      <c r="H206" s="11" t="str" cm="1">
        <f t="array" ref="H206">_xlfn.IFS(E206="","",E206="Grand Total",SUM(H$2:H205),TRUE,IF(COUNTIF(Transactions[Custom Category],E206)&gt;0,SUMIFS(Transactions[Amount],Transactions[Custom Category],E206,Transactions[Month],Sel_Month),SUMIFS(Transactions[Amount],Transactions[Name],E206,Transactions[Month],Sel_Month)))</f>
        <v/>
      </c>
      <c r="I206" s="12" t="str">
        <f t="shared" si="3"/>
        <v/>
      </c>
    </row>
    <row r="207" spans="4:9" x14ac:dyDescent="0.25">
      <c r="D207" s="11"/>
      <c r="H207" s="11" t="str" cm="1">
        <f t="array" ref="H207">_xlfn.IFS(E207="","",E207="Grand Total",SUM(H$2:H206),TRUE,IF(COUNTIF(Transactions[Custom Category],E207)&gt;0,SUMIFS(Transactions[Amount],Transactions[Custom Category],E207,Transactions[Month],Sel_Month),SUMIFS(Transactions[Amount],Transactions[Name],E207,Transactions[Month],Sel_Month)))</f>
        <v/>
      </c>
      <c r="I207" s="12" t="str">
        <f t="shared" si="3"/>
        <v/>
      </c>
    </row>
    <row r="208" spans="4:9" x14ac:dyDescent="0.25">
      <c r="D208" s="11"/>
      <c r="H208" s="11" t="str" cm="1">
        <f t="array" ref="H208">_xlfn.IFS(E208="","",E208="Grand Total",SUM(H$2:H207),TRUE,IF(COUNTIF(Transactions[Custom Category],E208)&gt;0,SUMIFS(Transactions[Amount],Transactions[Custom Category],E208,Transactions[Month],Sel_Month),SUMIFS(Transactions[Amount],Transactions[Name],E208,Transactions[Month],Sel_Month)))</f>
        <v/>
      </c>
      <c r="I208" s="12" t="str">
        <f t="shared" si="3"/>
        <v/>
      </c>
    </row>
    <row r="209" spans="4:9" x14ac:dyDescent="0.25">
      <c r="D209" s="11"/>
      <c r="H209" s="11" t="str" cm="1">
        <f t="array" ref="H209">_xlfn.IFS(E209="","",E209="Grand Total",SUM(H$2:H208),TRUE,IF(COUNTIF(Transactions[Custom Category],E209)&gt;0,SUMIFS(Transactions[Amount],Transactions[Custom Category],E209,Transactions[Month],Sel_Month),SUMIFS(Transactions[Amount],Transactions[Name],E209,Transactions[Month],Sel_Month)))</f>
        <v/>
      </c>
      <c r="I209" s="12" t="str">
        <f t="shared" si="3"/>
        <v/>
      </c>
    </row>
    <row r="210" spans="4:9" x14ac:dyDescent="0.25">
      <c r="D210" s="11"/>
      <c r="H210" s="11" t="str" cm="1">
        <f t="array" ref="H210">_xlfn.IFS(E210="","",E210="Grand Total",SUM(H$2:H209),TRUE,IF(COUNTIF(Transactions[Custom Category],E210)&gt;0,SUMIFS(Transactions[Amount],Transactions[Custom Category],E210,Transactions[Month],Sel_Month),SUMIFS(Transactions[Amount],Transactions[Name],E210,Transactions[Month],Sel_Month)))</f>
        <v/>
      </c>
      <c r="I210" s="12" t="str">
        <f t="shared" si="3"/>
        <v/>
      </c>
    </row>
    <row r="211" spans="4:9" x14ac:dyDescent="0.25">
      <c r="D211" s="11"/>
      <c r="H211" s="11" t="str" cm="1">
        <f t="array" ref="H211">_xlfn.IFS(E211="","",E211="Grand Total",SUM(H$2:H210),TRUE,IF(COUNTIF(Transactions[Custom Category],E211)&gt;0,SUMIFS(Transactions[Amount],Transactions[Custom Category],E211,Transactions[Month],Sel_Month),SUMIFS(Transactions[Amount],Transactions[Name],E211,Transactions[Month],Sel_Month)))</f>
        <v/>
      </c>
      <c r="I211" s="12" t="str">
        <f t="shared" si="3"/>
        <v/>
      </c>
    </row>
    <row r="212" spans="4:9" x14ac:dyDescent="0.25">
      <c r="D212" s="11"/>
      <c r="H212" s="11" t="str" cm="1">
        <f t="array" ref="H212">_xlfn.IFS(E212="","",E212="Grand Total",SUM(H$2:H211),TRUE,IF(COUNTIF(Transactions[Custom Category],E212)&gt;0,SUMIFS(Transactions[Amount],Transactions[Custom Category],E212,Transactions[Month],Sel_Month),SUMIFS(Transactions[Amount],Transactions[Name],E212,Transactions[Month],Sel_Month)))</f>
        <v/>
      </c>
      <c r="I212" s="12" t="str">
        <f t="shared" si="3"/>
        <v/>
      </c>
    </row>
    <row r="213" spans="4:9" x14ac:dyDescent="0.25">
      <c r="D213" s="11"/>
      <c r="H213" s="11" t="str" cm="1">
        <f t="array" ref="H213">_xlfn.IFS(E213="","",E213="Grand Total",SUM(H$2:H212),TRUE,IF(COUNTIF(Transactions[Custom Category],E213)&gt;0,SUMIFS(Transactions[Amount],Transactions[Custom Category],E213,Transactions[Month],Sel_Month),SUMIFS(Transactions[Amount],Transactions[Name],E213,Transactions[Month],Sel_Month)))</f>
        <v/>
      </c>
      <c r="I213" s="12" t="str">
        <f t="shared" si="3"/>
        <v/>
      </c>
    </row>
    <row r="214" spans="4:9" x14ac:dyDescent="0.25">
      <c r="D214" s="11"/>
      <c r="H214" s="11" t="str" cm="1">
        <f t="array" ref="H214">_xlfn.IFS(E214="","",E214="Grand Total",SUM(H$2:H213),TRUE,IF(COUNTIF(Transactions[Custom Category],E214)&gt;0,SUMIFS(Transactions[Amount],Transactions[Custom Category],E214,Transactions[Month],Sel_Month),SUMIFS(Transactions[Amount],Transactions[Name],E214,Transactions[Month],Sel_Month)))</f>
        <v/>
      </c>
      <c r="I214" s="12" t="str">
        <f t="shared" si="3"/>
        <v/>
      </c>
    </row>
    <row r="215" spans="4:9" x14ac:dyDescent="0.25">
      <c r="D215" s="11"/>
      <c r="H215" s="11" t="str" cm="1">
        <f t="array" ref="H215">_xlfn.IFS(E215="","",E215="Grand Total",SUM(H$2:H214),TRUE,IF(COUNTIF(Transactions[Custom Category],E215)&gt;0,SUMIFS(Transactions[Amount],Transactions[Custom Category],E215,Transactions[Month],Sel_Month),SUMIFS(Transactions[Amount],Transactions[Name],E215,Transactions[Month],Sel_Month)))</f>
        <v/>
      </c>
      <c r="I215" s="12" t="str">
        <f t="shared" si="3"/>
        <v/>
      </c>
    </row>
    <row r="216" spans="4:9" x14ac:dyDescent="0.25">
      <c r="D216" s="11"/>
      <c r="H216" s="11" t="str" cm="1">
        <f t="array" ref="H216">_xlfn.IFS(E216="","",E216="Grand Total",SUM(H$2:H215),TRUE,IF(COUNTIF(Transactions[Custom Category],E216)&gt;0,SUMIFS(Transactions[Amount],Transactions[Custom Category],E216,Transactions[Month],Sel_Month),SUMIFS(Transactions[Amount],Transactions[Name],E216,Transactions[Month],Sel_Month)))</f>
        <v/>
      </c>
      <c r="I216" s="12" t="str">
        <f t="shared" si="3"/>
        <v/>
      </c>
    </row>
    <row r="217" spans="4:9" x14ac:dyDescent="0.25">
      <c r="D217" s="11"/>
      <c r="H217" s="11" t="str" cm="1">
        <f t="array" ref="H217">_xlfn.IFS(E217="","",E217="Grand Total",SUM(H$2:H216),TRUE,IF(COUNTIF(Transactions[Custom Category],E217)&gt;0,SUMIFS(Transactions[Amount],Transactions[Custom Category],E217,Transactions[Month],Sel_Month),SUMIFS(Transactions[Amount],Transactions[Name],E217,Transactions[Month],Sel_Month)))</f>
        <v/>
      </c>
      <c r="I217" s="12" t="str">
        <f t="shared" si="3"/>
        <v/>
      </c>
    </row>
    <row r="218" spans="4:9" x14ac:dyDescent="0.25">
      <c r="D218" s="11"/>
      <c r="H218" s="11" t="str" cm="1">
        <f t="array" ref="H218">_xlfn.IFS(E218="","",E218="Grand Total",SUM(H$2:H217),TRUE,IF(COUNTIF(Transactions[Custom Category],E218)&gt;0,SUMIFS(Transactions[Amount],Transactions[Custom Category],E218,Transactions[Month],Sel_Month),SUMIFS(Transactions[Amount],Transactions[Name],E218,Transactions[Month],Sel_Month)))</f>
        <v/>
      </c>
      <c r="I218" s="12" t="str">
        <f t="shared" si="3"/>
        <v/>
      </c>
    </row>
    <row r="219" spans="4:9" x14ac:dyDescent="0.25">
      <c r="D219" s="11"/>
      <c r="H219" s="11" t="str" cm="1">
        <f t="array" ref="H219">_xlfn.IFS(E219="","",E219="Grand Total",SUM(H$2:H218),TRUE,IF(COUNTIF(Transactions[Custom Category],E219)&gt;0,SUMIFS(Transactions[Amount],Transactions[Custom Category],E219,Transactions[Month],Sel_Month),SUMIFS(Transactions[Amount],Transactions[Name],E219,Transactions[Month],Sel_Month)))</f>
        <v/>
      </c>
      <c r="I219" s="12" t="str">
        <f t="shared" si="3"/>
        <v/>
      </c>
    </row>
    <row r="220" spans="4:9" x14ac:dyDescent="0.25">
      <c r="D220" s="11"/>
      <c r="H220" s="11" t="str" cm="1">
        <f t="array" ref="H220">_xlfn.IFS(E220="","",E220="Grand Total",SUM(H$2:H219),TRUE,IF(COUNTIF(Transactions[Custom Category],E220)&gt;0,SUMIFS(Transactions[Amount],Transactions[Custom Category],E220,Transactions[Month],Sel_Month),SUMIFS(Transactions[Amount],Transactions[Name],E220,Transactions[Month],Sel_Month)))</f>
        <v/>
      </c>
      <c r="I220" s="12" t="str">
        <f t="shared" si="3"/>
        <v/>
      </c>
    </row>
    <row r="221" spans="4:9" x14ac:dyDescent="0.25">
      <c r="D221" s="11"/>
      <c r="H221" s="11" t="str" cm="1">
        <f t="array" ref="H221">_xlfn.IFS(E221="","",E221="Grand Total",SUM(H$2:H220),TRUE,IF(COUNTIF(Transactions[Custom Category],E221)&gt;0,SUMIFS(Transactions[Amount],Transactions[Custom Category],E221,Transactions[Month],Sel_Month),SUMIFS(Transactions[Amount],Transactions[Name],E221,Transactions[Month],Sel_Month)))</f>
        <v/>
      </c>
      <c r="I221" s="12" t="str">
        <f t="shared" si="3"/>
        <v/>
      </c>
    </row>
    <row r="222" spans="4:9" x14ac:dyDescent="0.25">
      <c r="D222" s="11"/>
      <c r="H222" s="11" t="str" cm="1">
        <f t="array" ref="H222">_xlfn.IFS(E222="","",E222="Grand Total",SUM(H$2:H221),TRUE,IF(COUNTIF(Transactions[Custom Category],E222)&gt;0,SUMIFS(Transactions[Amount],Transactions[Custom Category],E222,Transactions[Month],Sel_Month),SUMIFS(Transactions[Amount],Transactions[Name],E222,Transactions[Month],Sel_Month)))</f>
        <v/>
      </c>
      <c r="I222" s="12" t="str">
        <f t="shared" si="3"/>
        <v/>
      </c>
    </row>
    <row r="223" spans="4:9" x14ac:dyDescent="0.25">
      <c r="D223" s="11"/>
      <c r="H223" s="11" t="str" cm="1">
        <f t="array" ref="H223">_xlfn.IFS(E223="","",E223="Grand Total",SUM(H$2:H222),TRUE,IF(COUNTIF(Transactions[Custom Category],E223)&gt;0,SUMIFS(Transactions[Amount],Transactions[Custom Category],E223,Transactions[Month],Sel_Month),SUMIFS(Transactions[Amount],Transactions[Name],E223,Transactions[Month],Sel_Month)))</f>
        <v/>
      </c>
      <c r="I223" s="12" t="str">
        <f t="shared" si="3"/>
        <v/>
      </c>
    </row>
    <row r="224" spans="4:9" x14ac:dyDescent="0.25">
      <c r="D224" s="11"/>
      <c r="H224" s="11" t="str" cm="1">
        <f t="array" ref="H224">_xlfn.IFS(E224="","",E224="Grand Total",SUM(H$2:H223),TRUE,IF(COUNTIF(Transactions[Custom Category],E224)&gt;0,SUMIFS(Transactions[Amount],Transactions[Custom Category],E224,Transactions[Month],Sel_Month),SUMIFS(Transactions[Amount],Transactions[Name],E224,Transactions[Month],Sel_Month)))</f>
        <v/>
      </c>
      <c r="I224" s="12" t="str">
        <f t="shared" si="3"/>
        <v/>
      </c>
    </row>
    <row r="225" spans="4:9" x14ac:dyDescent="0.25">
      <c r="D225" s="11"/>
      <c r="H225" s="11" t="str" cm="1">
        <f t="array" ref="H225">_xlfn.IFS(E225="","",E225="Grand Total",SUM(H$2:H224),TRUE,IF(COUNTIF(Transactions[Custom Category],E225)&gt;0,SUMIFS(Transactions[Amount],Transactions[Custom Category],E225,Transactions[Month],Sel_Month),SUMIFS(Transactions[Amount],Transactions[Name],E225,Transactions[Month],Sel_Month)))</f>
        <v/>
      </c>
      <c r="I225" s="12" t="str">
        <f t="shared" si="3"/>
        <v/>
      </c>
    </row>
    <row r="226" spans="4:9" x14ac:dyDescent="0.25">
      <c r="D226" s="11"/>
      <c r="H226" s="11" t="str" cm="1">
        <f t="array" ref="H226">_xlfn.IFS(E226="","",E226="Grand Total",SUM(H$2:H225),TRUE,IF(COUNTIF(Transactions[Custom Category],E226)&gt;0,SUMIFS(Transactions[Amount],Transactions[Custom Category],E226,Transactions[Month],Sel_Month),SUMIFS(Transactions[Amount],Transactions[Name],E226,Transactions[Month],Sel_Month)))</f>
        <v/>
      </c>
      <c r="I226" s="12" t="str">
        <f t="shared" si="3"/>
        <v/>
      </c>
    </row>
    <row r="227" spans="4:9" x14ac:dyDescent="0.25">
      <c r="D227" s="11"/>
      <c r="H227" s="11" t="str" cm="1">
        <f t="array" ref="H227">_xlfn.IFS(E227="","",E227="Grand Total",SUM(H$2:H226),TRUE,IF(COUNTIF(Transactions[Custom Category],E227)&gt;0,SUMIFS(Transactions[Amount],Transactions[Custom Category],E227,Transactions[Month],Sel_Month),SUMIFS(Transactions[Amount],Transactions[Name],E227,Transactions[Month],Sel_Month)))</f>
        <v/>
      </c>
      <c r="I227" s="12" t="str">
        <f t="shared" si="3"/>
        <v/>
      </c>
    </row>
    <row r="228" spans="4:9" x14ac:dyDescent="0.25">
      <c r="D228" s="11"/>
      <c r="H228" s="11" t="str" cm="1">
        <f t="array" ref="H228">_xlfn.IFS(E228="","",E228="Grand Total",SUM(H$2:H227),TRUE,IF(COUNTIF(Transactions[Custom Category],E228)&gt;0,SUMIFS(Transactions[Amount],Transactions[Custom Category],E228,Transactions[Month],Sel_Month),SUMIFS(Transactions[Amount],Transactions[Name],E228,Transactions[Month],Sel_Month)))</f>
        <v/>
      </c>
      <c r="I228" s="12" t="str">
        <f t="shared" si="3"/>
        <v/>
      </c>
    </row>
    <row r="229" spans="4:9" x14ac:dyDescent="0.25">
      <c r="D229" s="11"/>
      <c r="H229" s="11" t="str" cm="1">
        <f t="array" ref="H229">_xlfn.IFS(E229="","",E229="Grand Total",SUM(H$2:H228),TRUE,IF(COUNTIF(Transactions[Custom Category],E229)&gt;0,SUMIFS(Transactions[Amount],Transactions[Custom Category],E229,Transactions[Month],Sel_Month),SUMIFS(Transactions[Amount],Transactions[Name],E229,Transactions[Month],Sel_Month)))</f>
        <v/>
      </c>
      <c r="I229" s="12" t="str">
        <f t="shared" si="3"/>
        <v/>
      </c>
    </row>
    <row r="230" spans="4:9" x14ac:dyDescent="0.25">
      <c r="D230" s="11"/>
      <c r="H230" s="11" t="str" cm="1">
        <f t="array" ref="H230">_xlfn.IFS(E230="","",E230="Grand Total",SUM(H$2:H229),TRUE,IF(COUNTIF(Transactions[Custom Category],E230)&gt;0,SUMIFS(Transactions[Amount],Transactions[Custom Category],E230,Transactions[Month],Sel_Month),SUMIFS(Transactions[Amount],Transactions[Name],E230,Transactions[Month],Sel_Month)))</f>
        <v/>
      </c>
      <c r="I230" s="12" t="str">
        <f t="shared" si="3"/>
        <v/>
      </c>
    </row>
    <row r="231" spans="4:9" x14ac:dyDescent="0.25">
      <c r="D231" s="11"/>
      <c r="H231" s="11" t="str" cm="1">
        <f t="array" ref="H231">_xlfn.IFS(E231="","",E231="Grand Total",SUM(H$2:H230),TRUE,IF(COUNTIF(Transactions[Custom Category],E231)&gt;0,SUMIFS(Transactions[Amount],Transactions[Custom Category],E231,Transactions[Month],Sel_Month),SUMIFS(Transactions[Amount],Transactions[Name],E231,Transactions[Month],Sel_Month)))</f>
        <v/>
      </c>
      <c r="I231" s="12" t="str">
        <f t="shared" si="3"/>
        <v/>
      </c>
    </row>
    <row r="232" spans="4:9" x14ac:dyDescent="0.25">
      <c r="D232" s="11"/>
      <c r="H232" s="11" t="str" cm="1">
        <f t="array" ref="H232">_xlfn.IFS(E232="","",E232="Grand Total",SUM(H$2:H231),TRUE,IF(COUNTIF(Transactions[Custom Category],E232)&gt;0,SUMIFS(Transactions[Amount],Transactions[Custom Category],E232,Transactions[Month],Sel_Month),SUMIFS(Transactions[Amount],Transactions[Name],E232,Transactions[Month],Sel_Month)))</f>
        <v/>
      </c>
      <c r="I232" s="12" t="str">
        <f t="shared" si="3"/>
        <v/>
      </c>
    </row>
    <row r="233" spans="4:9" x14ac:dyDescent="0.25">
      <c r="D233" s="11"/>
      <c r="H233" s="11" t="str" cm="1">
        <f t="array" ref="H233">_xlfn.IFS(E233="","",E233="Grand Total",SUM(H$2:H232),TRUE,IF(COUNTIF(Transactions[Custom Category],E233)&gt;0,SUMIFS(Transactions[Amount],Transactions[Custom Category],E233,Transactions[Month],Sel_Month),SUMIFS(Transactions[Amount],Transactions[Name],E233,Transactions[Month],Sel_Month)))</f>
        <v/>
      </c>
      <c r="I233" s="12" t="str">
        <f t="shared" si="3"/>
        <v/>
      </c>
    </row>
    <row r="234" spans="4:9" x14ac:dyDescent="0.25">
      <c r="D234" s="11"/>
      <c r="H234" s="11" t="str" cm="1">
        <f t="array" ref="H234">_xlfn.IFS(E234="","",E234="Grand Total",SUM(H$2:H233),TRUE,IF(COUNTIF(Transactions[Custom Category],E234)&gt;0,SUMIFS(Transactions[Amount],Transactions[Custom Category],E234,Transactions[Month],Sel_Month),SUMIFS(Transactions[Amount],Transactions[Name],E234,Transactions[Month],Sel_Month)))</f>
        <v/>
      </c>
      <c r="I234" s="12" t="str">
        <f t="shared" si="3"/>
        <v/>
      </c>
    </row>
    <row r="235" spans="4:9" x14ac:dyDescent="0.25">
      <c r="D235" s="11"/>
      <c r="H235" s="11" t="str" cm="1">
        <f t="array" ref="H235">_xlfn.IFS(E235="","",E235="Grand Total",SUM(H$2:H234),TRUE,IF(COUNTIF(Transactions[Custom Category],E235)&gt;0,SUMIFS(Transactions[Amount],Transactions[Custom Category],E235,Transactions[Month],Sel_Month),SUMIFS(Transactions[Amount],Transactions[Name],E235,Transactions[Month],Sel_Month)))</f>
        <v/>
      </c>
      <c r="I235" s="12" t="str">
        <f t="shared" si="3"/>
        <v/>
      </c>
    </row>
    <row r="236" spans="4:9" x14ac:dyDescent="0.25">
      <c r="D236" s="11"/>
      <c r="H236" s="11" t="str" cm="1">
        <f t="array" ref="H236">_xlfn.IFS(E236="","",E236="Grand Total",SUM(H$2:H235),TRUE,IF(COUNTIF(Transactions[Custom Category],E236)&gt;0,SUMIFS(Transactions[Amount],Transactions[Custom Category],E236,Transactions[Month],Sel_Month),SUMIFS(Transactions[Amount],Transactions[Name],E236,Transactions[Month],Sel_Month)))</f>
        <v/>
      </c>
      <c r="I236" s="12" t="str">
        <f t="shared" si="3"/>
        <v/>
      </c>
    </row>
    <row r="237" spans="4:9" x14ac:dyDescent="0.25">
      <c r="D237" s="11"/>
      <c r="H237" s="11" t="str" cm="1">
        <f t="array" ref="H237">_xlfn.IFS(E237="","",E237="Grand Total",SUM(H$2:H236),TRUE,IF(COUNTIF(Transactions[Custom Category],E237)&gt;0,SUMIFS(Transactions[Amount],Transactions[Custom Category],E237,Transactions[Month],Sel_Month),SUMIFS(Transactions[Amount],Transactions[Name],E237,Transactions[Month],Sel_Month)))</f>
        <v/>
      </c>
      <c r="I237" s="12" t="str">
        <f t="shared" si="3"/>
        <v/>
      </c>
    </row>
    <row r="238" spans="4:9" x14ac:dyDescent="0.25">
      <c r="D238" s="11"/>
      <c r="H238" s="11" t="str" cm="1">
        <f t="array" ref="H238">_xlfn.IFS(E238="","",E238="Grand Total",SUM(H$2:H237),TRUE,IF(COUNTIF(Transactions[Custom Category],E238)&gt;0,SUMIFS(Transactions[Amount],Transactions[Custom Category],E238,Transactions[Month],Sel_Month),SUMIFS(Transactions[Amount],Transactions[Name],E238,Transactions[Month],Sel_Month)))</f>
        <v/>
      </c>
      <c r="I238" s="12" t="str">
        <f t="shared" si="3"/>
        <v/>
      </c>
    </row>
    <row r="239" spans="4:9" x14ac:dyDescent="0.25">
      <c r="D239" s="11"/>
      <c r="H239" s="11" t="str" cm="1">
        <f t="array" ref="H239">_xlfn.IFS(E239="","",E239="Grand Total",SUM(H$2:H238),TRUE,IF(COUNTIF(Transactions[Custom Category],E239)&gt;0,SUMIFS(Transactions[Amount],Transactions[Custom Category],E239,Transactions[Month],Sel_Month),SUMIFS(Transactions[Amount],Transactions[Name],E239,Transactions[Month],Sel_Month)))</f>
        <v/>
      </c>
      <c r="I239" s="12" t="str">
        <f t="shared" si="3"/>
        <v/>
      </c>
    </row>
    <row r="240" spans="4:9" x14ac:dyDescent="0.25">
      <c r="D240" s="11"/>
      <c r="H240" s="11" t="str" cm="1">
        <f t="array" ref="H240">_xlfn.IFS(E240="","",E240="Grand Total",SUM(H$2:H239),TRUE,IF(COUNTIF(Transactions[Custom Category],E240)&gt;0,SUMIFS(Transactions[Amount],Transactions[Custom Category],E240,Transactions[Month],Sel_Month),SUMIFS(Transactions[Amount],Transactions[Name],E240,Transactions[Month],Sel_Month)))</f>
        <v/>
      </c>
      <c r="I240" s="12" t="str">
        <f t="shared" si="3"/>
        <v/>
      </c>
    </row>
    <row r="241" spans="4:9" x14ac:dyDescent="0.25">
      <c r="D241" s="11"/>
      <c r="H241" s="11" t="str" cm="1">
        <f t="array" ref="H241">_xlfn.IFS(E241="","",E241="Grand Total",SUM(H$2:H240),TRUE,IF(COUNTIF(Transactions[Custom Category],E241)&gt;0,SUMIFS(Transactions[Amount],Transactions[Custom Category],E241,Transactions[Month],Sel_Month),SUMIFS(Transactions[Amount],Transactions[Name],E241,Transactions[Month],Sel_Month)))</f>
        <v/>
      </c>
      <c r="I241" s="12" t="str">
        <f t="shared" si="3"/>
        <v/>
      </c>
    </row>
    <row r="242" spans="4:9" x14ac:dyDescent="0.25">
      <c r="D242" s="11"/>
      <c r="H242" s="11" t="str" cm="1">
        <f t="array" ref="H242">_xlfn.IFS(E242="","",E242="Grand Total",SUM(H$2:H241),TRUE,IF(COUNTIF(Transactions[Custom Category],E242)&gt;0,SUMIFS(Transactions[Amount],Transactions[Custom Category],E242,Transactions[Month],Sel_Month),SUMIFS(Transactions[Amount],Transactions[Name],E242,Transactions[Month],Sel_Month)))</f>
        <v/>
      </c>
      <c r="I242" s="12" t="str">
        <f t="shared" si="3"/>
        <v/>
      </c>
    </row>
    <row r="243" spans="4:9" x14ac:dyDescent="0.25">
      <c r="D243" s="11"/>
      <c r="H243" s="11" t="str" cm="1">
        <f t="array" ref="H243">_xlfn.IFS(E243="","",E243="Grand Total",SUM(H$2:H242),TRUE,IF(COUNTIF(Transactions[Custom Category],E243)&gt;0,SUMIFS(Transactions[Amount],Transactions[Custom Category],E243,Transactions[Month],Sel_Month),SUMIFS(Transactions[Amount],Transactions[Name],E243,Transactions[Month],Sel_Month)))</f>
        <v/>
      </c>
      <c r="I243" s="12" t="str">
        <f t="shared" si="3"/>
        <v/>
      </c>
    </row>
    <row r="244" spans="4:9" x14ac:dyDescent="0.25">
      <c r="D244" s="11"/>
      <c r="H244" s="11" t="str" cm="1">
        <f t="array" ref="H244">_xlfn.IFS(E244="","",E244="Grand Total",SUM(H$2:H243),TRUE,IF(COUNTIF(Transactions[Custom Category],E244)&gt;0,SUMIFS(Transactions[Amount],Transactions[Custom Category],E244,Transactions[Month],Sel_Month),SUMIFS(Transactions[Amount],Transactions[Name],E244,Transactions[Month],Sel_Month)))</f>
        <v/>
      </c>
      <c r="I244" s="12" t="str">
        <f t="shared" si="3"/>
        <v/>
      </c>
    </row>
    <row r="245" spans="4:9" x14ac:dyDescent="0.25">
      <c r="D245" s="11"/>
      <c r="H245" s="11" t="str" cm="1">
        <f t="array" ref="H245">_xlfn.IFS(E245="","",E245="Grand Total",SUM(H$2:H244),TRUE,IF(COUNTIF(Transactions[Custom Category],E245)&gt;0,SUMIFS(Transactions[Amount],Transactions[Custom Category],E245,Transactions[Month],Sel_Month),SUMIFS(Transactions[Amount],Transactions[Name],E245,Transactions[Month],Sel_Month)))</f>
        <v/>
      </c>
      <c r="I245" s="12" t="str">
        <f t="shared" si="3"/>
        <v/>
      </c>
    </row>
    <row r="246" spans="4:9" x14ac:dyDescent="0.25">
      <c r="D246" s="11"/>
      <c r="H246" s="11" t="str" cm="1">
        <f t="array" ref="H246">_xlfn.IFS(E246="","",E246="Grand Total",SUM(H$2:H245),TRUE,IF(COUNTIF(Transactions[Custom Category],E246)&gt;0,SUMIFS(Transactions[Amount],Transactions[Custom Category],E246,Transactions[Month],Sel_Month),SUMIFS(Transactions[Amount],Transactions[Name],E246,Transactions[Month],Sel_Month)))</f>
        <v/>
      </c>
      <c r="I246" s="12" t="str">
        <f t="shared" si="3"/>
        <v/>
      </c>
    </row>
    <row r="247" spans="4:9" x14ac:dyDescent="0.25">
      <c r="D247" s="11"/>
      <c r="H247" s="11" t="str" cm="1">
        <f t="array" ref="H247">_xlfn.IFS(E247="","",E247="Grand Total",SUM(H$2:H246),TRUE,IF(COUNTIF(Transactions[Custom Category],E247)&gt;0,SUMIFS(Transactions[Amount],Transactions[Custom Category],E247,Transactions[Month],Sel_Month),SUMIFS(Transactions[Amount],Transactions[Name],E247,Transactions[Month],Sel_Month)))</f>
        <v/>
      </c>
      <c r="I247" s="12" t="str">
        <f t="shared" si="3"/>
        <v/>
      </c>
    </row>
    <row r="248" spans="4:9" x14ac:dyDescent="0.25">
      <c r="D248" s="11"/>
      <c r="H248" s="11" t="str" cm="1">
        <f t="array" ref="H248">_xlfn.IFS(E248="","",E248="Grand Total",SUM(H$2:H247),TRUE,IF(COUNTIF(Transactions[Custom Category],E248)&gt;0,SUMIFS(Transactions[Amount],Transactions[Custom Category],E248,Transactions[Month],Sel_Month),SUMIFS(Transactions[Amount],Transactions[Name],E248,Transactions[Month],Sel_Month)))</f>
        <v/>
      </c>
      <c r="I248" s="12" t="str">
        <f t="shared" si="3"/>
        <v/>
      </c>
    </row>
    <row r="249" spans="4:9" x14ac:dyDescent="0.25">
      <c r="D249" s="11"/>
      <c r="H249" s="11" t="str" cm="1">
        <f t="array" ref="H249">_xlfn.IFS(E249="","",E249="Grand Total",SUM(H$2:H248),TRUE,IF(COUNTIF(Transactions[Custom Category],E249)&gt;0,SUMIFS(Transactions[Amount],Transactions[Custom Category],E249,Transactions[Month],Sel_Month),SUMIFS(Transactions[Amount],Transactions[Name],E249,Transactions[Month],Sel_Month)))</f>
        <v/>
      </c>
      <c r="I249" s="12" t="str">
        <f t="shared" si="3"/>
        <v/>
      </c>
    </row>
    <row r="250" spans="4:9" x14ac:dyDescent="0.25">
      <c r="D250" s="11"/>
      <c r="H250" s="11" t="str" cm="1">
        <f t="array" ref="H250">_xlfn.IFS(E250="","",E250="Grand Total",SUM(H$2:H249),TRUE,IF(COUNTIF(Transactions[Custom Category],E250)&gt;0,SUMIFS(Transactions[Amount],Transactions[Custom Category],E250,Transactions[Month],Sel_Month),SUMIFS(Transactions[Amount],Transactions[Name],E250,Transactions[Month],Sel_Month)))</f>
        <v/>
      </c>
      <c r="I250" s="12" t="str">
        <f t="shared" si="3"/>
        <v/>
      </c>
    </row>
    <row r="251" spans="4:9" x14ac:dyDescent="0.25">
      <c r="D251" s="11"/>
      <c r="H251" s="11" t="str" cm="1">
        <f t="array" ref="H251">_xlfn.IFS(E251="","",E251="Grand Total",SUM(H$2:H250),TRUE,IF(COUNTIF(Transactions[Custom Category],E251)&gt;0,SUMIFS(Transactions[Amount],Transactions[Custom Category],E251,Transactions[Month],Sel_Month),SUMIFS(Transactions[Amount],Transactions[Name],E251,Transactions[Month],Sel_Month)))</f>
        <v/>
      </c>
      <c r="I251" s="12" t="str">
        <f t="shared" si="3"/>
        <v/>
      </c>
    </row>
    <row r="252" spans="4:9" x14ac:dyDescent="0.25">
      <c r="D252" s="11"/>
      <c r="H252" s="11" t="str" cm="1">
        <f t="array" ref="H252">_xlfn.IFS(E252="","",E252="Grand Total",SUM(H$2:H251),TRUE,IF(COUNTIF(Transactions[Custom Category],E252)&gt;0,SUMIFS(Transactions[Amount],Transactions[Custom Category],E252,Transactions[Month],Sel_Month),SUMIFS(Transactions[Amount],Transactions[Name],E252,Transactions[Month],Sel_Month)))</f>
        <v/>
      </c>
      <c r="I252" s="12" t="str">
        <f t="shared" si="3"/>
        <v/>
      </c>
    </row>
    <row r="253" spans="4:9" x14ac:dyDescent="0.25">
      <c r="D253" s="11"/>
      <c r="H253" s="11" t="str" cm="1">
        <f t="array" ref="H253">_xlfn.IFS(E253="","",E253="Grand Total",SUM(H$2:H252),TRUE,IF(COUNTIF(Transactions[Custom Category],E253)&gt;0,SUMIFS(Transactions[Amount],Transactions[Custom Category],E253,Transactions[Month],Sel_Month),SUMIFS(Transactions[Amount],Transactions[Name],E253,Transactions[Month],Sel_Month)))</f>
        <v/>
      </c>
      <c r="I253" s="12" t="str">
        <f t="shared" si="3"/>
        <v/>
      </c>
    </row>
    <row r="254" spans="4:9" x14ac:dyDescent="0.25">
      <c r="D254" s="11"/>
      <c r="H254" s="11" t="str" cm="1">
        <f t="array" ref="H254">_xlfn.IFS(E254="","",E254="Grand Total",SUM(H$2:H253),TRUE,IF(COUNTIF(Transactions[Custom Category],E254)&gt;0,SUMIFS(Transactions[Amount],Transactions[Custom Category],E254,Transactions[Month],Sel_Month),SUMIFS(Transactions[Amount],Transactions[Name],E254,Transactions[Month],Sel_Month)))</f>
        <v/>
      </c>
      <c r="I254" s="12" t="str">
        <f t="shared" si="3"/>
        <v/>
      </c>
    </row>
    <row r="255" spans="4:9" x14ac:dyDescent="0.25">
      <c r="D255" s="11"/>
      <c r="H255" s="11" t="str" cm="1">
        <f t="array" ref="H255">_xlfn.IFS(E255="","",E255="Grand Total",SUM(H$2:H254),TRUE,IF(COUNTIF(Transactions[Custom Category],E255)&gt;0,SUMIFS(Transactions[Amount],Transactions[Custom Category],E255,Transactions[Month],Sel_Month),SUMIFS(Transactions[Amount],Transactions[Name],E255,Transactions[Month],Sel_Month)))</f>
        <v/>
      </c>
      <c r="I255" s="12" t="str">
        <f t="shared" si="3"/>
        <v/>
      </c>
    </row>
    <row r="256" spans="4:9" x14ac:dyDescent="0.25">
      <c r="D256" s="11"/>
      <c r="H256" s="11" t="str" cm="1">
        <f t="array" ref="H256">_xlfn.IFS(E256="","",E256="Grand Total",SUM(H$2:H255),TRUE,IF(COUNTIF(Transactions[Custom Category],E256)&gt;0,SUMIFS(Transactions[Amount],Transactions[Custom Category],E256,Transactions[Month],Sel_Month),SUMIFS(Transactions[Amount],Transactions[Name],E256,Transactions[Month],Sel_Month)))</f>
        <v/>
      </c>
      <c r="I256" s="12" t="str">
        <f t="shared" si="3"/>
        <v/>
      </c>
    </row>
    <row r="257" spans="4:9" x14ac:dyDescent="0.25">
      <c r="D257" s="11"/>
      <c r="H257" s="11" t="str" cm="1">
        <f t="array" ref="H257">_xlfn.IFS(E257="","",E257="Grand Total",SUM(H$2:H256),TRUE,IF(COUNTIF(Transactions[Custom Category],E257)&gt;0,SUMIFS(Transactions[Amount],Transactions[Custom Category],E257,Transactions[Month],Sel_Month),SUMIFS(Transactions[Amount],Transactions[Name],E257,Transactions[Month],Sel_Month)))</f>
        <v/>
      </c>
      <c r="I257" s="12" t="str">
        <f t="shared" si="3"/>
        <v/>
      </c>
    </row>
    <row r="258" spans="4:9" x14ac:dyDescent="0.25">
      <c r="D258" s="11"/>
      <c r="H258" s="11" t="str" cm="1">
        <f t="array" ref="H258">_xlfn.IFS(E258="","",E258="Grand Total",SUM(H$2:H257),TRUE,IF(COUNTIF(Transactions[Custom Category],E258)&gt;0,SUMIFS(Transactions[Amount],Transactions[Custom Category],E258,Transactions[Month],Sel_Month),SUMIFS(Transactions[Amount],Transactions[Name],E258,Transactions[Month],Sel_Month)))</f>
        <v/>
      </c>
      <c r="I258" s="12" t="str">
        <f t="shared" si="3"/>
        <v/>
      </c>
    </row>
    <row r="259" spans="4:9" x14ac:dyDescent="0.25">
      <c r="D259" s="11"/>
      <c r="H259" s="11" t="str" cm="1">
        <f t="array" ref="H259">_xlfn.IFS(E259="","",E259="Grand Total",SUM(H$2:H258),TRUE,IF(COUNTIF(Transactions[Custom Category],E259)&gt;0,SUMIFS(Transactions[Amount],Transactions[Custom Category],E259,Transactions[Month],Sel_Month),SUMIFS(Transactions[Amount],Transactions[Name],E259,Transactions[Month],Sel_Month)))</f>
        <v/>
      </c>
      <c r="I259" s="12" t="str">
        <f t="shared" si="3"/>
        <v/>
      </c>
    </row>
    <row r="260" spans="4:9" x14ac:dyDescent="0.25">
      <c r="D260" s="11"/>
      <c r="H260" s="11" t="str" cm="1">
        <f t="array" ref="H260">_xlfn.IFS(E260="","",E260="Grand Total",SUM(H$2:H259),TRUE,IF(COUNTIF(Transactions[Custom Category],E260)&gt;0,SUMIFS(Transactions[Amount],Transactions[Custom Category],E260,Transactions[Month],Sel_Month),SUMIFS(Transactions[Amount],Transactions[Name],E260,Transactions[Month],Sel_Month)))</f>
        <v/>
      </c>
      <c r="I260" s="12" t="str">
        <f t="shared" ref="I260:I323" si="4">IF(G260="","",IF(G260=0,0,1-((G260-H260)/G260)))</f>
        <v/>
      </c>
    </row>
    <row r="261" spans="4:9" x14ac:dyDescent="0.25">
      <c r="D261" s="11"/>
      <c r="H261" s="11" t="str" cm="1">
        <f t="array" ref="H261">_xlfn.IFS(E261="","",E261="Grand Total",SUM(H$2:H260),TRUE,IF(COUNTIF(Transactions[Custom Category],E261)&gt;0,SUMIFS(Transactions[Amount],Transactions[Custom Category],E261,Transactions[Month],Sel_Month),SUMIFS(Transactions[Amount],Transactions[Name],E261,Transactions[Month],Sel_Month)))</f>
        <v/>
      </c>
      <c r="I261" s="12" t="str">
        <f t="shared" si="4"/>
        <v/>
      </c>
    </row>
    <row r="262" spans="4:9" x14ac:dyDescent="0.25">
      <c r="D262" s="11"/>
      <c r="H262" s="11" t="str" cm="1">
        <f t="array" ref="H262">_xlfn.IFS(E262="","",E262="Grand Total",SUM(H$2:H261),TRUE,IF(COUNTIF(Transactions[Custom Category],E262)&gt;0,SUMIFS(Transactions[Amount],Transactions[Custom Category],E262,Transactions[Month],Sel_Month),SUMIFS(Transactions[Amount],Transactions[Name],E262,Transactions[Month],Sel_Month)))</f>
        <v/>
      </c>
      <c r="I262" s="12" t="str">
        <f t="shared" si="4"/>
        <v/>
      </c>
    </row>
    <row r="263" spans="4:9" x14ac:dyDescent="0.25">
      <c r="D263" s="11"/>
      <c r="H263" s="11" t="str" cm="1">
        <f t="array" ref="H263">_xlfn.IFS(E263="","",E263="Grand Total",SUM(H$2:H262),TRUE,IF(COUNTIF(Transactions[Custom Category],E263)&gt;0,SUMIFS(Transactions[Amount],Transactions[Custom Category],E263,Transactions[Month],Sel_Month),SUMIFS(Transactions[Amount],Transactions[Name],E263,Transactions[Month],Sel_Month)))</f>
        <v/>
      </c>
      <c r="I263" s="12" t="str">
        <f t="shared" si="4"/>
        <v/>
      </c>
    </row>
    <row r="264" spans="4:9" x14ac:dyDescent="0.25">
      <c r="D264" s="11"/>
      <c r="H264" s="11" t="str" cm="1">
        <f t="array" ref="H264">_xlfn.IFS(E264="","",E264="Grand Total",SUM(H$2:H263),TRUE,IF(COUNTIF(Transactions[Custom Category],E264)&gt;0,SUMIFS(Transactions[Amount],Transactions[Custom Category],E264,Transactions[Month],Sel_Month),SUMIFS(Transactions[Amount],Transactions[Name],E264,Transactions[Month],Sel_Month)))</f>
        <v/>
      </c>
      <c r="I264" s="12" t="str">
        <f t="shared" si="4"/>
        <v/>
      </c>
    </row>
    <row r="265" spans="4:9" x14ac:dyDescent="0.25">
      <c r="D265" s="11"/>
      <c r="H265" s="11" t="str" cm="1">
        <f t="array" ref="H265">_xlfn.IFS(E265="","",E265="Grand Total",SUM(H$2:H264),TRUE,IF(COUNTIF(Transactions[Custom Category],E265)&gt;0,SUMIFS(Transactions[Amount],Transactions[Custom Category],E265,Transactions[Month],Sel_Month),SUMIFS(Transactions[Amount],Transactions[Name],E265,Transactions[Month],Sel_Month)))</f>
        <v/>
      </c>
      <c r="I265" s="12" t="str">
        <f t="shared" si="4"/>
        <v/>
      </c>
    </row>
    <row r="266" spans="4:9" x14ac:dyDescent="0.25">
      <c r="D266" s="11"/>
      <c r="H266" s="11" t="str" cm="1">
        <f t="array" ref="H266">_xlfn.IFS(E266="","",E266="Grand Total",SUM(H$2:H265),TRUE,IF(COUNTIF(Transactions[Custom Category],E266)&gt;0,SUMIFS(Transactions[Amount],Transactions[Custom Category],E266,Transactions[Month],Sel_Month),SUMIFS(Transactions[Amount],Transactions[Name],E266,Transactions[Month],Sel_Month)))</f>
        <v/>
      </c>
      <c r="I266" s="12" t="str">
        <f t="shared" si="4"/>
        <v/>
      </c>
    </row>
    <row r="267" spans="4:9" x14ac:dyDescent="0.25">
      <c r="D267" s="11"/>
      <c r="H267" s="11" t="str" cm="1">
        <f t="array" ref="H267">_xlfn.IFS(E267="","",E267="Grand Total",SUM(H$2:H266),TRUE,IF(COUNTIF(Transactions[Custom Category],E267)&gt;0,SUMIFS(Transactions[Amount],Transactions[Custom Category],E267,Transactions[Month],Sel_Month),SUMIFS(Transactions[Amount],Transactions[Name],E267,Transactions[Month],Sel_Month)))</f>
        <v/>
      </c>
      <c r="I267" s="12" t="str">
        <f t="shared" si="4"/>
        <v/>
      </c>
    </row>
    <row r="268" spans="4:9" x14ac:dyDescent="0.25">
      <c r="D268" s="11"/>
      <c r="H268" s="11" t="str" cm="1">
        <f t="array" ref="H268">_xlfn.IFS(E268="","",E268="Grand Total",SUM(H$2:H267),TRUE,IF(COUNTIF(Transactions[Custom Category],E268)&gt;0,SUMIFS(Transactions[Amount],Transactions[Custom Category],E268,Transactions[Month],Sel_Month),SUMIFS(Transactions[Amount],Transactions[Name],E268,Transactions[Month],Sel_Month)))</f>
        <v/>
      </c>
      <c r="I268" s="12" t="str">
        <f t="shared" si="4"/>
        <v/>
      </c>
    </row>
    <row r="269" spans="4:9" x14ac:dyDescent="0.25">
      <c r="D269" s="11"/>
      <c r="H269" s="11" t="str" cm="1">
        <f t="array" ref="H269">_xlfn.IFS(E269="","",E269="Grand Total",SUM(H$2:H268),TRUE,IF(COUNTIF(Transactions[Custom Category],E269)&gt;0,SUMIFS(Transactions[Amount],Transactions[Custom Category],E269,Transactions[Month],Sel_Month),SUMIFS(Transactions[Amount],Transactions[Name],E269,Transactions[Month],Sel_Month)))</f>
        <v/>
      </c>
      <c r="I269" s="12" t="str">
        <f t="shared" si="4"/>
        <v/>
      </c>
    </row>
    <row r="270" spans="4:9" x14ac:dyDescent="0.25">
      <c r="D270" s="11"/>
      <c r="H270" s="11" t="str" cm="1">
        <f t="array" ref="H270">_xlfn.IFS(E270="","",E270="Grand Total",SUM(H$2:H269),TRUE,IF(COUNTIF(Transactions[Custom Category],E270)&gt;0,SUMIFS(Transactions[Amount],Transactions[Custom Category],E270,Transactions[Month],Sel_Month),SUMIFS(Transactions[Amount],Transactions[Name],E270,Transactions[Month],Sel_Month)))</f>
        <v/>
      </c>
      <c r="I270" s="12" t="str">
        <f t="shared" si="4"/>
        <v/>
      </c>
    </row>
    <row r="271" spans="4:9" x14ac:dyDescent="0.25">
      <c r="D271" s="11"/>
      <c r="H271" s="11" t="str" cm="1">
        <f t="array" ref="H271">_xlfn.IFS(E271="","",E271="Grand Total",SUM(H$2:H270),TRUE,IF(COUNTIF(Transactions[Custom Category],E271)&gt;0,SUMIFS(Transactions[Amount],Transactions[Custom Category],E271,Transactions[Month],Sel_Month),SUMIFS(Transactions[Amount],Transactions[Name],E271,Transactions[Month],Sel_Month)))</f>
        <v/>
      </c>
      <c r="I271" s="12" t="str">
        <f t="shared" si="4"/>
        <v/>
      </c>
    </row>
    <row r="272" spans="4:9" x14ac:dyDescent="0.25">
      <c r="D272" s="11"/>
      <c r="H272" s="11" t="str" cm="1">
        <f t="array" ref="H272">_xlfn.IFS(E272="","",E272="Grand Total",SUM(H$2:H271),TRUE,IF(COUNTIF(Transactions[Custom Category],E272)&gt;0,SUMIFS(Transactions[Amount],Transactions[Custom Category],E272,Transactions[Month],Sel_Month),SUMIFS(Transactions[Amount],Transactions[Name],E272,Transactions[Month],Sel_Month)))</f>
        <v/>
      </c>
      <c r="I272" s="12" t="str">
        <f t="shared" si="4"/>
        <v/>
      </c>
    </row>
    <row r="273" spans="4:9" x14ac:dyDescent="0.25">
      <c r="D273" s="11"/>
      <c r="H273" s="11" t="str" cm="1">
        <f t="array" ref="H273">_xlfn.IFS(E273="","",E273="Grand Total",SUM(H$2:H272),TRUE,IF(COUNTIF(Transactions[Custom Category],E273)&gt;0,SUMIFS(Transactions[Amount],Transactions[Custom Category],E273,Transactions[Month],Sel_Month),SUMIFS(Transactions[Amount],Transactions[Name],E273,Transactions[Month],Sel_Month)))</f>
        <v/>
      </c>
      <c r="I273" s="12" t="str">
        <f t="shared" si="4"/>
        <v/>
      </c>
    </row>
    <row r="274" spans="4:9" x14ac:dyDescent="0.25">
      <c r="D274" s="11"/>
      <c r="H274" s="11" t="str" cm="1">
        <f t="array" ref="H274">_xlfn.IFS(E274="","",E274="Grand Total",SUM(H$2:H273),TRUE,IF(COUNTIF(Transactions[Custom Category],E274)&gt;0,SUMIFS(Transactions[Amount],Transactions[Custom Category],E274,Transactions[Month],Sel_Month),SUMIFS(Transactions[Amount],Transactions[Name],E274,Transactions[Month],Sel_Month)))</f>
        <v/>
      </c>
      <c r="I274" s="12" t="str">
        <f t="shared" si="4"/>
        <v/>
      </c>
    </row>
    <row r="275" spans="4:9" x14ac:dyDescent="0.25">
      <c r="D275" s="11"/>
      <c r="H275" s="11" t="str" cm="1">
        <f t="array" ref="H275">_xlfn.IFS(E275="","",E275="Grand Total",SUM(H$2:H274),TRUE,IF(COUNTIF(Transactions[Custom Category],E275)&gt;0,SUMIFS(Transactions[Amount],Transactions[Custom Category],E275,Transactions[Month],Sel_Month),SUMIFS(Transactions[Amount],Transactions[Name],E275,Transactions[Month],Sel_Month)))</f>
        <v/>
      </c>
      <c r="I275" s="12" t="str">
        <f t="shared" si="4"/>
        <v/>
      </c>
    </row>
    <row r="276" spans="4:9" x14ac:dyDescent="0.25">
      <c r="D276" s="11"/>
      <c r="H276" s="11" t="str" cm="1">
        <f t="array" ref="H276">_xlfn.IFS(E276="","",E276="Grand Total",SUM(H$2:H275),TRUE,IF(COUNTIF(Transactions[Custom Category],E276)&gt;0,SUMIFS(Transactions[Amount],Transactions[Custom Category],E276,Transactions[Month],Sel_Month),SUMIFS(Transactions[Amount],Transactions[Name],E276,Transactions[Month],Sel_Month)))</f>
        <v/>
      </c>
      <c r="I276" s="12" t="str">
        <f t="shared" si="4"/>
        <v/>
      </c>
    </row>
    <row r="277" spans="4:9" x14ac:dyDescent="0.25">
      <c r="D277" s="11"/>
      <c r="H277" s="11" t="str" cm="1">
        <f t="array" ref="H277">_xlfn.IFS(E277="","",E277="Grand Total",SUM(H$2:H276),TRUE,IF(COUNTIF(Transactions[Custom Category],E277)&gt;0,SUMIFS(Transactions[Amount],Transactions[Custom Category],E277,Transactions[Month],Sel_Month),SUMIFS(Transactions[Amount],Transactions[Name],E277,Transactions[Month],Sel_Month)))</f>
        <v/>
      </c>
      <c r="I277" s="12" t="str">
        <f t="shared" si="4"/>
        <v/>
      </c>
    </row>
    <row r="278" spans="4:9" x14ac:dyDescent="0.25">
      <c r="D278" s="11"/>
      <c r="H278" s="11" t="str" cm="1">
        <f t="array" ref="H278">_xlfn.IFS(E278="","",E278="Grand Total",SUM(H$2:H277),TRUE,IF(COUNTIF(Transactions[Custom Category],E278)&gt;0,SUMIFS(Transactions[Amount],Transactions[Custom Category],E278,Transactions[Month],Sel_Month),SUMIFS(Transactions[Amount],Transactions[Name],E278,Transactions[Month],Sel_Month)))</f>
        <v/>
      </c>
      <c r="I278" s="12" t="str">
        <f t="shared" si="4"/>
        <v/>
      </c>
    </row>
    <row r="279" spans="4:9" x14ac:dyDescent="0.25">
      <c r="D279" s="11"/>
      <c r="H279" s="11" t="str" cm="1">
        <f t="array" ref="H279">_xlfn.IFS(E279="","",E279="Grand Total",SUM(H$2:H278),TRUE,IF(COUNTIF(Transactions[Custom Category],E279)&gt;0,SUMIFS(Transactions[Amount],Transactions[Custom Category],E279,Transactions[Month],Sel_Month),SUMIFS(Transactions[Amount],Transactions[Name],E279,Transactions[Month],Sel_Month)))</f>
        <v/>
      </c>
      <c r="I279" s="12" t="str">
        <f t="shared" si="4"/>
        <v/>
      </c>
    </row>
    <row r="280" spans="4:9" x14ac:dyDescent="0.25">
      <c r="D280" s="11"/>
      <c r="H280" s="11" t="str" cm="1">
        <f t="array" ref="H280">_xlfn.IFS(E280="","",E280="Grand Total",SUM(H$2:H279),TRUE,IF(COUNTIF(Transactions[Custom Category],E280)&gt;0,SUMIFS(Transactions[Amount],Transactions[Custom Category],E280,Transactions[Month],Sel_Month),SUMIFS(Transactions[Amount],Transactions[Name],E280,Transactions[Month],Sel_Month)))</f>
        <v/>
      </c>
      <c r="I280" s="12" t="str">
        <f t="shared" si="4"/>
        <v/>
      </c>
    </row>
    <row r="281" spans="4:9" x14ac:dyDescent="0.25">
      <c r="D281" s="11"/>
      <c r="H281" s="11" t="str" cm="1">
        <f t="array" ref="H281">_xlfn.IFS(E281="","",E281="Grand Total",SUM(H$2:H280),TRUE,IF(COUNTIF(Transactions[Custom Category],E281)&gt;0,SUMIFS(Transactions[Amount],Transactions[Custom Category],E281,Transactions[Month],Sel_Month),SUMIFS(Transactions[Amount],Transactions[Name],E281,Transactions[Month],Sel_Month)))</f>
        <v/>
      </c>
      <c r="I281" s="12" t="str">
        <f t="shared" si="4"/>
        <v/>
      </c>
    </row>
    <row r="282" spans="4:9" x14ac:dyDescent="0.25">
      <c r="D282" s="11"/>
      <c r="H282" s="11" t="str" cm="1">
        <f t="array" ref="H282">_xlfn.IFS(E282="","",E282="Grand Total",SUM(H$2:H281),TRUE,IF(COUNTIF(Transactions[Custom Category],E282)&gt;0,SUMIFS(Transactions[Amount],Transactions[Custom Category],E282,Transactions[Month],Sel_Month),SUMIFS(Transactions[Amount],Transactions[Name],E282,Transactions[Month],Sel_Month)))</f>
        <v/>
      </c>
      <c r="I282" s="12" t="str">
        <f t="shared" si="4"/>
        <v/>
      </c>
    </row>
    <row r="283" spans="4:9" x14ac:dyDescent="0.25">
      <c r="D283" s="11"/>
      <c r="H283" s="11" t="str" cm="1">
        <f t="array" ref="H283">_xlfn.IFS(E283="","",E283="Grand Total",SUM(H$2:H282),TRUE,IF(COUNTIF(Transactions[Custom Category],E283)&gt;0,SUMIFS(Transactions[Amount],Transactions[Custom Category],E283,Transactions[Month],Sel_Month),SUMIFS(Transactions[Amount],Transactions[Name],E283,Transactions[Month],Sel_Month)))</f>
        <v/>
      </c>
      <c r="I283" s="12" t="str">
        <f t="shared" si="4"/>
        <v/>
      </c>
    </row>
    <row r="284" spans="4:9" x14ac:dyDescent="0.25">
      <c r="D284" s="11"/>
      <c r="H284" s="11" t="str" cm="1">
        <f t="array" ref="H284">_xlfn.IFS(E284="","",E284="Grand Total",SUM(H$2:H283),TRUE,IF(COUNTIF(Transactions[Custom Category],E284)&gt;0,SUMIFS(Transactions[Amount],Transactions[Custom Category],E284,Transactions[Month],Sel_Month),SUMIFS(Transactions[Amount],Transactions[Name],E284,Transactions[Month],Sel_Month)))</f>
        <v/>
      </c>
      <c r="I284" s="12" t="str">
        <f t="shared" si="4"/>
        <v/>
      </c>
    </row>
    <row r="285" spans="4:9" x14ac:dyDescent="0.25">
      <c r="D285" s="11"/>
      <c r="H285" s="11" t="str" cm="1">
        <f t="array" ref="H285">_xlfn.IFS(E285="","",E285="Grand Total",SUM(H$2:H284),TRUE,IF(COUNTIF(Transactions[Custom Category],E285)&gt;0,SUMIFS(Transactions[Amount],Transactions[Custom Category],E285,Transactions[Month],Sel_Month),SUMIFS(Transactions[Amount],Transactions[Name],E285,Transactions[Month],Sel_Month)))</f>
        <v/>
      </c>
      <c r="I285" s="12" t="str">
        <f t="shared" si="4"/>
        <v/>
      </c>
    </row>
    <row r="286" spans="4:9" x14ac:dyDescent="0.25">
      <c r="D286" s="11"/>
      <c r="H286" s="11" t="str" cm="1">
        <f t="array" ref="H286">_xlfn.IFS(E286="","",E286="Grand Total",SUM(H$2:H285),TRUE,IF(COUNTIF(Transactions[Custom Category],E286)&gt;0,SUMIFS(Transactions[Amount],Transactions[Custom Category],E286,Transactions[Month],Sel_Month),SUMIFS(Transactions[Amount],Transactions[Name],E286,Transactions[Month],Sel_Month)))</f>
        <v/>
      </c>
      <c r="I286" s="12" t="str">
        <f t="shared" si="4"/>
        <v/>
      </c>
    </row>
    <row r="287" spans="4:9" x14ac:dyDescent="0.25">
      <c r="D287" s="11"/>
      <c r="H287" s="11" t="str" cm="1">
        <f t="array" ref="H287">_xlfn.IFS(E287="","",E287="Grand Total",SUM(H$2:H286),TRUE,IF(COUNTIF(Transactions[Custom Category],E287)&gt;0,SUMIFS(Transactions[Amount],Transactions[Custom Category],E287,Transactions[Month],Sel_Month),SUMIFS(Transactions[Amount],Transactions[Name],E287,Transactions[Month],Sel_Month)))</f>
        <v/>
      </c>
      <c r="I287" s="12" t="str">
        <f t="shared" si="4"/>
        <v/>
      </c>
    </row>
    <row r="288" spans="4:9" x14ac:dyDescent="0.25">
      <c r="D288" s="11"/>
      <c r="H288" s="11" t="str" cm="1">
        <f t="array" ref="H288">_xlfn.IFS(E288="","",E288="Grand Total",SUM(H$2:H287),TRUE,IF(COUNTIF(Transactions[Custom Category],E288)&gt;0,SUMIFS(Transactions[Amount],Transactions[Custom Category],E288,Transactions[Month],Sel_Month),SUMIFS(Transactions[Amount],Transactions[Name],E288,Transactions[Month],Sel_Month)))</f>
        <v/>
      </c>
      <c r="I288" s="12" t="str">
        <f t="shared" si="4"/>
        <v/>
      </c>
    </row>
    <row r="289" spans="4:9" x14ac:dyDescent="0.25">
      <c r="D289" s="11"/>
      <c r="H289" s="11" t="str" cm="1">
        <f t="array" ref="H289">_xlfn.IFS(E289="","",E289="Grand Total",SUM(H$2:H288),TRUE,IF(COUNTIF(Transactions[Custom Category],E289)&gt;0,SUMIFS(Transactions[Amount],Transactions[Custom Category],E289,Transactions[Month],Sel_Month),SUMIFS(Transactions[Amount],Transactions[Name],E289,Transactions[Month],Sel_Month)))</f>
        <v/>
      </c>
      <c r="I289" s="12" t="str">
        <f t="shared" si="4"/>
        <v/>
      </c>
    </row>
    <row r="290" spans="4:9" x14ac:dyDescent="0.25">
      <c r="D290" s="11"/>
      <c r="H290" s="11" t="str" cm="1">
        <f t="array" ref="H290">_xlfn.IFS(E290="","",E290="Grand Total",SUM(H$2:H289),TRUE,IF(COUNTIF(Transactions[Custom Category],E290)&gt;0,SUMIFS(Transactions[Amount],Transactions[Custom Category],E290,Transactions[Month],Sel_Month),SUMIFS(Transactions[Amount],Transactions[Name],E290,Transactions[Month],Sel_Month)))</f>
        <v/>
      </c>
      <c r="I290" s="12" t="str">
        <f t="shared" si="4"/>
        <v/>
      </c>
    </row>
    <row r="291" spans="4:9" x14ac:dyDescent="0.25">
      <c r="D291" s="11"/>
      <c r="H291" s="11" t="str" cm="1">
        <f t="array" ref="H291">_xlfn.IFS(E291="","",E291="Grand Total",SUM(H$2:H290),TRUE,IF(COUNTIF(Transactions[Custom Category],E291)&gt;0,SUMIFS(Transactions[Amount],Transactions[Custom Category],E291,Transactions[Month],Sel_Month),SUMIFS(Transactions[Amount],Transactions[Name],E291,Transactions[Month],Sel_Month)))</f>
        <v/>
      </c>
      <c r="I291" s="12" t="str">
        <f t="shared" si="4"/>
        <v/>
      </c>
    </row>
    <row r="292" spans="4:9" x14ac:dyDescent="0.25">
      <c r="D292" s="11"/>
      <c r="H292" s="11" t="str" cm="1">
        <f t="array" ref="H292">_xlfn.IFS(E292="","",E292="Grand Total",SUM(H$2:H291),TRUE,IF(COUNTIF(Transactions[Custom Category],E292)&gt;0,SUMIFS(Transactions[Amount],Transactions[Custom Category],E292,Transactions[Month],Sel_Month),SUMIFS(Transactions[Amount],Transactions[Name],E292,Transactions[Month],Sel_Month)))</f>
        <v/>
      </c>
      <c r="I292" s="12" t="str">
        <f t="shared" si="4"/>
        <v/>
      </c>
    </row>
    <row r="293" spans="4:9" x14ac:dyDescent="0.25">
      <c r="D293" s="11"/>
      <c r="H293" s="11" t="str" cm="1">
        <f t="array" ref="H293">_xlfn.IFS(E293="","",E293="Grand Total",SUM(H$2:H292),TRUE,IF(COUNTIF(Transactions[Custom Category],E293)&gt;0,SUMIFS(Transactions[Amount],Transactions[Custom Category],E293,Transactions[Month],Sel_Month),SUMIFS(Transactions[Amount],Transactions[Name],E293,Transactions[Month],Sel_Month)))</f>
        <v/>
      </c>
      <c r="I293" s="12" t="str">
        <f t="shared" si="4"/>
        <v/>
      </c>
    </row>
    <row r="294" spans="4:9" x14ac:dyDescent="0.25">
      <c r="D294" s="11"/>
      <c r="H294" s="11" t="str" cm="1">
        <f t="array" ref="H294">_xlfn.IFS(E294="","",E294="Grand Total",SUM(H$2:H293),TRUE,IF(COUNTIF(Transactions[Custom Category],E294)&gt;0,SUMIFS(Transactions[Amount],Transactions[Custom Category],E294,Transactions[Month],Sel_Month),SUMIFS(Transactions[Amount],Transactions[Name],E294,Transactions[Month],Sel_Month)))</f>
        <v/>
      </c>
      <c r="I294" s="12" t="str">
        <f t="shared" si="4"/>
        <v/>
      </c>
    </row>
    <row r="295" spans="4:9" x14ac:dyDescent="0.25">
      <c r="D295" s="11"/>
      <c r="H295" s="11" t="str" cm="1">
        <f t="array" ref="H295">_xlfn.IFS(E295="","",E295="Grand Total",SUM(H$2:H294),TRUE,IF(COUNTIF(Transactions[Custom Category],E295)&gt;0,SUMIFS(Transactions[Amount],Transactions[Custom Category],E295,Transactions[Month],Sel_Month),SUMIFS(Transactions[Amount],Transactions[Name],E295,Transactions[Month],Sel_Month)))</f>
        <v/>
      </c>
      <c r="I295" s="12" t="str">
        <f t="shared" si="4"/>
        <v/>
      </c>
    </row>
    <row r="296" spans="4:9" x14ac:dyDescent="0.25">
      <c r="D296" s="11"/>
      <c r="H296" s="11" t="str" cm="1">
        <f t="array" ref="H296">_xlfn.IFS(E296="","",E296="Grand Total",SUM(H$2:H295),TRUE,IF(COUNTIF(Transactions[Custom Category],E296)&gt;0,SUMIFS(Transactions[Amount],Transactions[Custom Category],E296,Transactions[Month],Sel_Month),SUMIFS(Transactions[Amount],Transactions[Name],E296,Transactions[Month],Sel_Month)))</f>
        <v/>
      </c>
      <c r="I296" s="12" t="str">
        <f t="shared" si="4"/>
        <v/>
      </c>
    </row>
    <row r="297" spans="4:9" x14ac:dyDescent="0.25">
      <c r="D297" s="11"/>
      <c r="H297" s="11" t="str" cm="1">
        <f t="array" ref="H297">_xlfn.IFS(E297="","",E297="Grand Total",SUM(H$2:H296),TRUE,IF(COUNTIF(Transactions[Custom Category],E297)&gt;0,SUMIFS(Transactions[Amount],Transactions[Custom Category],E297,Transactions[Month],Sel_Month),SUMIFS(Transactions[Amount],Transactions[Name],E297,Transactions[Month],Sel_Month)))</f>
        <v/>
      </c>
      <c r="I297" s="12" t="str">
        <f t="shared" si="4"/>
        <v/>
      </c>
    </row>
    <row r="298" spans="4:9" x14ac:dyDescent="0.25">
      <c r="D298" s="11"/>
      <c r="H298" s="11" t="str" cm="1">
        <f t="array" ref="H298">_xlfn.IFS(E298="","",E298="Grand Total",SUM(H$2:H297),TRUE,IF(COUNTIF(Transactions[Custom Category],E298)&gt;0,SUMIFS(Transactions[Amount],Transactions[Custom Category],E298,Transactions[Month],Sel_Month),SUMIFS(Transactions[Amount],Transactions[Name],E298,Transactions[Month],Sel_Month)))</f>
        <v/>
      </c>
      <c r="I298" s="12" t="str">
        <f t="shared" si="4"/>
        <v/>
      </c>
    </row>
    <row r="299" spans="4:9" x14ac:dyDescent="0.25">
      <c r="D299" s="11"/>
      <c r="H299" s="11" t="str" cm="1">
        <f t="array" ref="H299">_xlfn.IFS(E299="","",E299="Grand Total",SUM(H$2:H298),TRUE,IF(COUNTIF(Transactions[Custom Category],E299)&gt;0,SUMIFS(Transactions[Amount],Transactions[Custom Category],E299,Transactions[Month],Sel_Month),SUMIFS(Transactions[Amount],Transactions[Name],E299,Transactions[Month],Sel_Month)))</f>
        <v/>
      </c>
      <c r="I299" s="12" t="str">
        <f t="shared" si="4"/>
        <v/>
      </c>
    </row>
    <row r="300" spans="4:9" x14ac:dyDescent="0.25">
      <c r="D300" s="11"/>
      <c r="H300" s="11" t="str" cm="1">
        <f t="array" ref="H300">_xlfn.IFS(E300="","",E300="Grand Total",SUM(H$2:H299),TRUE,IF(COUNTIF(Transactions[Custom Category],E300)&gt;0,SUMIFS(Transactions[Amount],Transactions[Custom Category],E300,Transactions[Month],Sel_Month),SUMIFS(Transactions[Amount],Transactions[Name],E300,Transactions[Month],Sel_Month)))</f>
        <v/>
      </c>
      <c r="I300" s="12" t="str">
        <f t="shared" si="4"/>
        <v/>
      </c>
    </row>
    <row r="301" spans="4:9" x14ac:dyDescent="0.25">
      <c r="D301" s="11"/>
      <c r="H301" s="11" t="str" cm="1">
        <f t="array" ref="H301">_xlfn.IFS(E301="","",E301="Grand Total",SUM(H$2:H300),TRUE,IF(COUNTIF(Transactions[Custom Category],E301)&gt;0,SUMIFS(Transactions[Amount],Transactions[Custom Category],E301,Transactions[Month],Sel_Month),SUMIFS(Transactions[Amount],Transactions[Name],E301,Transactions[Month],Sel_Month)))</f>
        <v/>
      </c>
      <c r="I301" s="12" t="str">
        <f t="shared" si="4"/>
        <v/>
      </c>
    </row>
    <row r="302" spans="4:9" x14ac:dyDescent="0.25">
      <c r="D302" s="11"/>
      <c r="H302" s="11" t="str" cm="1">
        <f t="array" ref="H302">_xlfn.IFS(E302="","",E302="Grand Total",SUM(H$2:H301),TRUE,IF(COUNTIF(Transactions[Custom Category],E302)&gt;0,SUMIFS(Transactions[Amount],Transactions[Custom Category],E302,Transactions[Month],Sel_Month),SUMIFS(Transactions[Amount],Transactions[Name],E302,Transactions[Month],Sel_Month)))</f>
        <v/>
      </c>
      <c r="I302" s="12" t="str">
        <f t="shared" si="4"/>
        <v/>
      </c>
    </row>
    <row r="303" spans="4:9" x14ac:dyDescent="0.25">
      <c r="D303" s="11"/>
      <c r="H303" s="11" t="str" cm="1">
        <f t="array" ref="H303">_xlfn.IFS(E303="","",E303="Grand Total",SUM(H$2:H302),TRUE,IF(COUNTIF(Transactions[Custom Category],E303)&gt;0,SUMIFS(Transactions[Amount],Transactions[Custom Category],E303,Transactions[Month],Sel_Month),SUMIFS(Transactions[Amount],Transactions[Name],E303,Transactions[Month],Sel_Month)))</f>
        <v/>
      </c>
      <c r="I303" s="12" t="str">
        <f t="shared" si="4"/>
        <v/>
      </c>
    </row>
    <row r="304" spans="4:9" x14ac:dyDescent="0.25">
      <c r="D304" s="11"/>
      <c r="H304" s="11" t="str" cm="1">
        <f t="array" ref="H304">_xlfn.IFS(E304="","",E304="Grand Total",SUM(H$2:H303),TRUE,IF(COUNTIF(Transactions[Custom Category],E304)&gt;0,SUMIFS(Transactions[Amount],Transactions[Custom Category],E304,Transactions[Month],Sel_Month),SUMIFS(Transactions[Amount],Transactions[Name],E304,Transactions[Month],Sel_Month)))</f>
        <v/>
      </c>
      <c r="I304" s="12" t="str">
        <f t="shared" si="4"/>
        <v/>
      </c>
    </row>
    <row r="305" spans="4:9" x14ac:dyDescent="0.25">
      <c r="D305" s="11"/>
      <c r="H305" s="11" t="str" cm="1">
        <f t="array" ref="H305">_xlfn.IFS(E305="","",E305="Grand Total",SUM(H$2:H304),TRUE,IF(COUNTIF(Transactions[Custom Category],E305)&gt;0,SUMIFS(Transactions[Amount],Transactions[Custom Category],E305,Transactions[Month],Sel_Month),SUMIFS(Transactions[Amount],Transactions[Name],E305,Transactions[Month],Sel_Month)))</f>
        <v/>
      </c>
      <c r="I305" s="12" t="str">
        <f t="shared" si="4"/>
        <v/>
      </c>
    </row>
    <row r="306" spans="4:9" x14ac:dyDescent="0.25">
      <c r="D306" s="11"/>
      <c r="H306" s="11" t="str" cm="1">
        <f t="array" ref="H306">_xlfn.IFS(E306="","",E306="Grand Total",SUM(H$2:H305),TRUE,IF(COUNTIF(Transactions[Custom Category],E306)&gt;0,SUMIFS(Transactions[Amount],Transactions[Custom Category],E306,Transactions[Month],Sel_Month),SUMIFS(Transactions[Amount],Transactions[Name],E306,Transactions[Month],Sel_Month)))</f>
        <v/>
      </c>
      <c r="I306" s="12" t="str">
        <f t="shared" si="4"/>
        <v/>
      </c>
    </row>
    <row r="307" spans="4:9" x14ac:dyDescent="0.25">
      <c r="D307" s="11"/>
      <c r="H307" s="11" t="str" cm="1">
        <f t="array" ref="H307">_xlfn.IFS(E307="","",E307="Grand Total",SUM(H$2:H306),TRUE,IF(COUNTIF(Transactions[Custom Category],E307)&gt;0,SUMIFS(Transactions[Amount],Transactions[Custom Category],E307,Transactions[Month],Sel_Month),SUMIFS(Transactions[Amount],Transactions[Name],E307,Transactions[Month],Sel_Month)))</f>
        <v/>
      </c>
      <c r="I307" s="12" t="str">
        <f t="shared" si="4"/>
        <v/>
      </c>
    </row>
    <row r="308" spans="4:9" x14ac:dyDescent="0.25">
      <c r="D308" s="11"/>
      <c r="H308" s="11" t="str" cm="1">
        <f t="array" ref="H308">_xlfn.IFS(E308="","",E308="Grand Total",SUM(H$2:H307),TRUE,IF(COUNTIF(Transactions[Custom Category],E308)&gt;0,SUMIFS(Transactions[Amount],Transactions[Custom Category],E308,Transactions[Month],Sel_Month),SUMIFS(Transactions[Amount],Transactions[Name],E308,Transactions[Month],Sel_Month)))</f>
        <v/>
      </c>
      <c r="I308" s="12" t="str">
        <f t="shared" si="4"/>
        <v/>
      </c>
    </row>
    <row r="309" spans="4:9" x14ac:dyDescent="0.25">
      <c r="D309" s="11"/>
      <c r="H309" s="11" t="str" cm="1">
        <f t="array" ref="H309">_xlfn.IFS(E309="","",E309="Grand Total",SUM(H$2:H308),TRUE,IF(COUNTIF(Transactions[Custom Category],E309)&gt;0,SUMIFS(Transactions[Amount],Transactions[Custom Category],E309,Transactions[Month],Sel_Month),SUMIFS(Transactions[Amount],Transactions[Name],E309,Transactions[Month],Sel_Month)))</f>
        <v/>
      </c>
      <c r="I309" s="12" t="str">
        <f t="shared" si="4"/>
        <v/>
      </c>
    </row>
    <row r="310" spans="4:9" x14ac:dyDescent="0.25">
      <c r="D310" s="11"/>
      <c r="H310" s="11" t="str" cm="1">
        <f t="array" ref="H310">_xlfn.IFS(E310="","",E310="Grand Total",SUM(H$2:H309),TRUE,IF(COUNTIF(Transactions[Custom Category],E310)&gt;0,SUMIFS(Transactions[Amount],Transactions[Custom Category],E310,Transactions[Month],Sel_Month),SUMIFS(Transactions[Amount],Transactions[Name],E310,Transactions[Month],Sel_Month)))</f>
        <v/>
      </c>
      <c r="I310" s="12" t="str">
        <f t="shared" si="4"/>
        <v/>
      </c>
    </row>
    <row r="311" spans="4:9" x14ac:dyDescent="0.25">
      <c r="D311" s="11"/>
      <c r="H311" s="11" t="str" cm="1">
        <f t="array" ref="H311">_xlfn.IFS(E311="","",E311="Grand Total",SUM(H$2:H310),TRUE,IF(COUNTIF(Transactions[Custom Category],E311)&gt;0,SUMIFS(Transactions[Amount],Transactions[Custom Category],E311,Transactions[Month],Sel_Month),SUMIFS(Transactions[Amount],Transactions[Name],E311,Transactions[Month],Sel_Month)))</f>
        <v/>
      </c>
      <c r="I311" s="12" t="str">
        <f t="shared" si="4"/>
        <v/>
      </c>
    </row>
    <row r="312" spans="4:9" x14ac:dyDescent="0.25">
      <c r="D312" s="11"/>
      <c r="H312" s="11" t="str" cm="1">
        <f t="array" ref="H312">_xlfn.IFS(E312="","",E312="Grand Total",SUM(H$2:H311),TRUE,IF(COUNTIF(Transactions[Custom Category],E312)&gt;0,SUMIFS(Transactions[Amount],Transactions[Custom Category],E312,Transactions[Month],Sel_Month),SUMIFS(Transactions[Amount],Transactions[Name],E312,Transactions[Month],Sel_Month)))</f>
        <v/>
      </c>
      <c r="I312" s="12" t="str">
        <f t="shared" si="4"/>
        <v/>
      </c>
    </row>
    <row r="313" spans="4:9" x14ac:dyDescent="0.25">
      <c r="D313" s="11"/>
      <c r="H313" s="11" t="str" cm="1">
        <f t="array" ref="H313">_xlfn.IFS(E313="","",E313="Grand Total",SUM(H$2:H312),TRUE,IF(COUNTIF(Transactions[Custom Category],E313)&gt;0,SUMIFS(Transactions[Amount],Transactions[Custom Category],E313,Transactions[Month],Sel_Month),SUMIFS(Transactions[Amount],Transactions[Name],E313,Transactions[Month],Sel_Month)))</f>
        <v/>
      </c>
      <c r="I313" s="12" t="str">
        <f t="shared" si="4"/>
        <v/>
      </c>
    </row>
    <row r="314" spans="4:9" x14ac:dyDescent="0.25">
      <c r="D314" s="11"/>
      <c r="H314" s="11" t="str" cm="1">
        <f t="array" ref="H314">_xlfn.IFS(E314="","",E314="Grand Total",SUM(H$2:H313),TRUE,IF(COUNTIF(Transactions[Custom Category],E314)&gt;0,SUMIFS(Transactions[Amount],Transactions[Custom Category],E314,Transactions[Month],Sel_Month),SUMIFS(Transactions[Amount],Transactions[Name],E314,Transactions[Month],Sel_Month)))</f>
        <v/>
      </c>
      <c r="I314" s="12" t="str">
        <f t="shared" si="4"/>
        <v/>
      </c>
    </row>
    <row r="315" spans="4:9" x14ac:dyDescent="0.25">
      <c r="D315" s="11"/>
      <c r="H315" s="11" t="str" cm="1">
        <f t="array" ref="H315">_xlfn.IFS(E315="","",E315="Grand Total",SUM(H$2:H314),TRUE,IF(COUNTIF(Transactions[Custom Category],E315)&gt;0,SUMIFS(Transactions[Amount],Transactions[Custom Category],E315,Transactions[Month],Sel_Month),SUMIFS(Transactions[Amount],Transactions[Name],E315,Transactions[Month],Sel_Month)))</f>
        <v/>
      </c>
      <c r="I315" s="12" t="str">
        <f t="shared" si="4"/>
        <v/>
      </c>
    </row>
    <row r="316" spans="4:9" x14ac:dyDescent="0.25">
      <c r="D316" s="11"/>
      <c r="H316" s="11" t="str" cm="1">
        <f t="array" ref="H316">_xlfn.IFS(E316="","",E316="Grand Total",SUM(H$2:H315),TRUE,IF(COUNTIF(Transactions[Custom Category],E316)&gt;0,SUMIFS(Transactions[Amount],Transactions[Custom Category],E316,Transactions[Month],Sel_Month),SUMIFS(Transactions[Amount],Transactions[Name],E316,Transactions[Month],Sel_Month)))</f>
        <v/>
      </c>
      <c r="I316" s="12" t="str">
        <f t="shared" si="4"/>
        <v/>
      </c>
    </row>
    <row r="317" spans="4:9" x14ac:dyDescent="0.25">
      <c r="D317" s="11"/>
      <c r="H317" s="11" t="str" cm="1">
        <f t="array" ref="H317">_xlfn.IFS(E317="","",E317="Grand Total",SUM(H$2:H316),TRUE,IF(COUNTIF(Transactions[Custom Category],E317)&gt;0,SUMIFS(Transactions[Amount],Transactions[Custom Category],E317,Transactions[Month],Sel_Month),SUMIFS(Transactions[Amount],Transactions[Name],E317,Transactions[Month],Sel_Month)))</f>
        <v/>
      </c>
      <c r="I317" s="12" t="str">
        <f t="shared" si="4"/>
        <v/>
      </c>
    </row>
    <row r="318" spans="4:9" x14ac:dyDescent="0.25">
      <c r="D318" s="11"/>
      <c r="H318" s="11" t="str" cm="1">
        <f t="array" ref="H318">_xlfn.IFS(E318="","",E318="Grand Total",SUM(H$2:H317),TRUE,IF(COUNTIF(Transactions[Custom Category],E318)&gt;0,SUMIFS(Transactions[Amount],Transactions[Custom Category],E318,Transactions[Month],Sel_Month),SUMIFS(Transactions[Amount],Transactions[Name],E318,Transactions[Month],Sel_Month)))</f>
        <v/>
      </c>
      <c r="I318" s="12" t="str">
        <f t="shared" si="4"/>
        <v/>
      </c>
    </row>
    <row r="319" spans="4:9" x14ac:dyDescent="0.25">
      <c r="D319" s="11"/>
      <c r="H319" s="11" t="str" cm="1">
        <f t="array" ref="H319">_xlfn.IFS(E319="","",E319="Grand Total",SUM(H$2:H318),TRUE,IF(COUNTIF(Transactions[Custom Category],E319)&gt;0,SUMIFS(Transactions[Amount],Transactions[Custom Category],E319,Transactions[Month],Sel_Month),SUMIFS(Transactions[Amount],Transactions[Name],E319,Transactions[Month],Sel_Month)))</f>
        <v/>
      </c>
      <c r="I319" s="12" t="str">
        <f t="shared" si="4"/>
        <v/>
      </c>
    </row>
    <row r="320" spans="4:9" x14ac:dyDescent="0.25">
      <c r="D320" s="11"/>
      <c r="H320" s="11" t="str" cm="1">
        <f t="array" ref="H320">_xlfn.IFS(E320="","",E320="Grand Total",SUM(H$2:H319),TRUE,IF(COUNTIF(Transactions[Custom Category],E320)&gt;0,SUMIFS(Transactions[Amount],Transactions[Custom Category],E320,Transactions[Month],Sel_Month),SUMIFS(Transactions[Amount],Transactions[Name],E320,Transactions[Month],Sel_Month)))</f>
        <v/>
      </c>
      <c r="I320" s="12" t="str">
        <f t="shared" si="4"/>
        <v/>
      </c>
    </row>
    <row r="321" spans="4:9" x14ac:dyDescent="0.25">
      <c r="D321" s="11"/>
      <c r="H321" s="11" t="str" cm="1">
        <f t="array" ref="H321">_xlfn.IFS(E321="","",E321="Grand Total",SUM(H$2:H320),TRUE,IF(COUNTIF(Transactions[Custom Category],E321)&gt;0,SUMIFS(Transactions[Amount],Transactions[Custom Category],E321,Transactions[Month],Sel_Month),SUMIFS(Transactions[Amount],Transactions[Name],E321,Transactions[Month],Sel_Month)))</f>
        <v/>
      </c>
      <c r="I321" s="12" t="str">
        <f t="shared" si="4"/>
        <v/>
      </c>
    </row>
    <row r="322" spans="4:9" x14ac:dyDescent="0.25">
      <c r="D322" s="11"/>
      <c r="H322" s="11" t="str" cm="1">
        <f t="array" ref="H322">_xlfn.IFS(E322="","",E322="Grand Total",SUM(H$2:H321),TRUE,IF(COUNTIF(Transactions[Custom Category],E322)&gt;0,SUMIFS(Transactions[Amount],Transactions[Custom Category],E322,Transactions[Month],Sel_Month),SUMIFS(Transactions[Amount],Transactions[Name],E322,Transactions[Month],Sel_Month)))</f>
        <v/>
      </c>
      <c r="I322" s="12" t="str">
        <f t="shared" si="4"/>
        <v/>
      </c>
    </row>
    <row r="323" spans="4:9" x14ac:dyDescent="0.25">
      <c r="D323" s="11"/>
      <c r="H323" s="11" t="str" cm="1">
        <f t="array" ref="H323">_xlfn.IFS(E323="","",E323="Grand Total",SUM(H$2:H322),TRUE,IF(COUNTIF(Transactions[Custom Category],E323)&gt;0,SUMIFS(Transactions[Amount],Transactions[Custom Category],E323,Transactions[Month],Sel_Month),SUMIFS(Transactions[Amount],Transactions[Name],E323,Transactions[Month],Sel_Month)))</f>
        <v/>
      </c>
      <c r="I323" s="12" t="str">
        <f t="shared" si="4"/>
        <v/>
      </c>
    </row>
    <row r="324" spans="4:9" x14ac:dyDescent="0.25">
      <c r="D324" s="11"/>
      <c r="H324" s="11" t="str" cm="1">
        <f t="array" ref="H324">_xlfn.IFS(E324="","",E324="Grand Total",SUM(H$2:H323),TRUE,IF(COUNTIF(Transactions[Custom Category],E324)&gt;0,SUMIFS(Transactions[Amount],Transactions[Custom Category],E324,Transactions[Month],Sel_Month),SUMIFS(Transactions[Amount],Transactions[Name],E324,Transactions[Month],Sel_Month)))</f>
        <v/>
      </c>
      <c r="I324" s="12" t="str">
        <f t="shared" ref="I324:I387" si="5">IF(G324="","",IF(G324=0,0,1-((G324-H324)/G324)))</f>
        <v/>
      </c>
    </row>
    <row r="325" spans="4:9" x14ac:dyDescent="0.25">
      <c r="D325" s="11"/>
      <c r="H325" s="11" t="str" cm="1">
        <f t="array" ref="H325">_xlfn.IFS(E325="","",E325="Grand Total",SUM(H$2:H324),TRUE,IF(COUNTIF(Transactions[Custom Category],E325)&gt;0,SUMIFS(Transactions[Amount],Transactions[Custom Category],E325,Transactions[Month],Sel_Month),SUMIFS(Transactions[Amount],Transactions[Name],E325,Transactions[Month],Sel_Month)))</f>
        <v/>
      </c>
      <c r="I325" s="12" t="str">
        <f t="shared" si="5"/>
        <v/>
      </c>
    </row>
    <row r="326" spans="4:9" x14ac:dyDescent="0.25">
      <c r="D326" s="11"/>
      <c r="H326" s="11" t="str" cm="1">
        <f t="array" ref="H326">_xlfn.IFS(E326="","",E326="Grand Total",SUM(H$2:H325),TRUE,IF(COUNTIF(Transactions[Custom Category],E326)&gt;0,SUMIFS(Transactions[Amount],Transactions[Custom Category],E326,Transactions[Month],Sel_Month),SUMIFS(Transactions[Amount],Transactions[Name],E326,Transactions[Month],Sel_Month)))</f>
        <v/>
      </c>
      <c r="I326" s="12" t="str">
        <f t="shared" si="5"/>
        <v/>
      </c>
    </row>
    <row r="327" spans="4:9" x14ac:dyDescent="0.25">
      <c r="D327" s="11"/>
      <c r="H327" s="11" t="str" cm="1">
        <f t="array" ref="H327">_xlfn.IFS(E327="","",E327="Grand Total",SUM(H$2:H326),TRUE,IF(COUNTIF(Transactions[Custom Category],E327)&gt;0,SUMIFS(Transactions[Amount],Transactions[Custom Category],E327,Transactions[Month],Sel_Month),SUMIFS(Transactions[Amount],Transactions[Name],E327,Transactions[Month],Sel_Month)))</f>
        <v/>
      </c>
      <c r="I327" s="12" t="str">
        <f t="shared" si="5"/>
        <v/>
      </c>
    </row>
    <row r="328" spans="4:9" x14ac:dyDescent="0.25">
      <c r="D328" s="11"/>
      <c r="H328" s="11" t="str" cm="1">
        <f t="array" ref="H328">_xlfn.IFS(E328="","",E328="Grand Total",SUM(H$2:H327),TRUE,IF(COUNTIF(Transactions[Custom Category],E328)&gt;0,SUMIFS(Transactions[Amount],Transactions[Custom Category],E328,Transactions[Month],Sel_Month),SUMIFS(Transactions[Amount],Transactions[Name],E328,Transactions[Month],Sel_Month)))</f>
        <v/>
      </c>
      <c r="I328" s="12" t="str">
        <f t="shared" si="5"/>
        <v/>
      </c>
    </row>
    <row r="329" spans="4:9" x14ac:dyDescent="0.25">
      <c r="D329" s="11"/>
      <c r="H329" s="11" t="str" cm="1">
        <f t="array" ref="H329">_xlfn.IFS(E329="","",E329="Grand Total",SUM(H$2:H328),TRUE,IF(COUNTIF(Transactions[Custom Category],E329)&gt;0,SUMIFS(Transactions[Amount],Transactions[Custom Category],E329,Transactions[Month],Sel_Month),SUMIFS(Transactions[Amount],Transactions[Name],E329,Transactions[Month],Sel_Month)))</f>
        <v/>
      </c>
      <c r="I329" s="12" t="str">
        <f t="shared" si="5"/>
        <v/>
      </c>
    </row>
    <row r="330" spans="4:9" x14ac:dyDescent="0.25">
      <c r="D330" s="11"/>
      <c r="H330" s="11" t="str" cm="1">
        <f t="array" ref="H330">_xlfn.IFS(E330="","",E330="Grand Total",SUM(H$2:H329),TRUE,IF(COUNTIF(Transactions[Custom Category],E330)&gt;0,SUMIFS(Transactions[Amount],Transactions[Custom Category],E330,Transactions[Month],Sel_Month),SUMIFS(Transactions[Amount],Transactions[Name],E330,Transactions[Month],Sel_Month)))</f>
        <v/>
      </c>
      <c r="I330" s="12" t="str">
        <f t="shared" si="5"/>
        <v/>
      </c>
    </row>
    <row r="331" spans="4:9" x14ac:dyDescent="0.25">
      <c r="D331" s="11"/>
      <c r="H331" s="11" t="str" cm="1">
        <f t="array" ref="H331">_xlfn.IFS(E331="","",E331="Grand Total",SUM(H$2:H330),TRUE,IF(COUNTIF(Transactions[Custom Category],E331)&gt;0,SUMIFS(Transactions[Amount],Transactions[Custom Category],E331,Transactions[Month],Sel_Month),SUMIFS(Transactions[Amount],Transactions[Name],E331,Transactions[Month],Sel_Month)))</f>
        <v/>
      </c>
      <c r="I331" s="12" t="str">
        <f t="shared" si="5"/>
        <v/>
      </c>
    </row>
    <row r="332" spans="4:9" x14ac:dyDescent="0.25">
      <c r="D332" s="11"/>
      <c r="H332" s="11" t="str" cm="1">
        <f t="array" ref="H332">_xlfn.IFS(E332="","",E332="Grand Total",SUM(H$2:H331),TRUE,IF(COUNTIF(Transactions[Custom Category],E332)&gt;0,SUMIFS(Transactions[Amount],Transactions[Custom Category],E332,Transactions[Month],Sel_Month),SUMIFS(Transactions[Amount],Transactions[Name],E332,Transactions[Month],Sel_Month)))</f>
        <v/>
      </c>
      <c r="I332" s="12" t="str">
        <f t="shared" si="5"/>
        <v/>
      </c>
    </row>
    <row r="333" spans="4:9" x14ac:dyDescent="0.25">
      <c r="D333" s="11"/>
      <c r="H333" s="11" t="str" cm="1">
        <f t="array" ref="H333">_xlfn.IFS(E333="","",E333="Grand Total",SUM(H$2:H332),TRUE,IF(COUNTIF(Transactions[Custom Category],E333)&gt;0,SUMIFS(Transactions[Amount],Transactions[Custom Category],E333,Transactions[Month],Sel_Month),SUMIFS(Transactions[Amount],Transactions[Name],E333,Transactions[Month],Sel_Month)))</f>
        <v/>
      </c>
      <c r="I333" s="12" t="str">
        <f t="shared" si="5"/>
        <v/>
      </c>
    </row>
    <row r="334" spans="4:9" x14ac:dyDescent="0.25">
      <c r="D334" s="11"/>
      <c r="H334" s="11" t="str" cm="1">
        <f t="array" ref="H334">_xlfn.IFS(E334="","",E334="Grand Total",SUM(H$2:H333),TRUE,IF(COUNTIF(Transactions[Custom Category],E334)&gt;0,SUMIFS(Transactions[Amount],Transactions[Custom Category],E334,Transactions[Month],Sel_Month),SUMIFS(Transactions[Amount],Transactions[Name],E334,Transactions[Month],Sel_Month)))</f>
        <v/>
      </c>
      <c r="I334" s="12" t="str">
        <f t="shared" si="5"/>
        <v/>
      </c>
    </row>
    <row r="335" spans="4:9" x14ac:dyDescent="0.25">
      <c r="D335" s="11"/>
      <c r="H335" s="11" t="str" cm="1">
        <f t="array" ref="H335">_xlfn.IFS(E335="","",E335="Grand Total",SUM(H$2:H334),TRUE,IF(COUNTIF(Transactions[Custom Category],E335)&gt;0,SUMIFS(Transactions[Amount],Transactions[Custom Category],E335,Transactions[Month],Sel_Month),SUMIFS(Transactions[Amount],Transactions[Name],E335,Transactions[Month],Sel_Month)))</f>
        <v/>
      </c>
      <c r="I335" s="12" t="str">
        <f t="shared" si="5"/>
        <v/>
      </c>
    </row>
    <row r="336" spans="4:9" x14ac:dyDescent="0.25">
      <c r="D336" s="11"/>
      <c r="H336" s="11" t="str" cm="1">
        <f t="array" ref="H336">_xlfn.IFS(E336="","",E336="Grand Total",SUM(H$2:H335),TRUE,IF(COUNTIF(Transactions[Custom Category],E336)&gt;0,SUMIFS(Transactions[Amount],Transactions[Custom Category],E336,Transactions[Month],Sel_Month),SUMIFS(Transactions[Amount],Transactions[Name],E336,Transactions[Month],Sel_Month)))</f>
        <v/>
      </c>
      <c r="I336" s="12" t="str">
        <f t="shared" si="5"/>
        <v/>
      </c>
    </row>
    <row r="337" spans="4:9" x14ac:dyDescent="0.25">
      <c r="D337" s="11"/>
      <c r="H337" s="11" t="str" cm="1">
        <f t="array" ref="H337">_xlfn.IFS(E337="","",E337="Grand Total",SUM(H$2:H336),TRUE,IF(COUNTIF(Transactions[Custom Category],E337)&gt;0,SUMIFS(Transactions[Amount],Transactions[Custom Category],E337,Transactions[Month],Sel_Month),SUMIFS(Transactions[Amount],Transactions[Name],E337,Transactions[Month],Sel_Month)))</f>
        <v/>
      </c>
      <c r="I337" s="12" t="str">
        <f t="shared" si="5"/>
        <v/>
      </c>
    </row>
    <row r="338" spans="4:9" x14ac:dyDescent="0.25">
      <c r="D338" s="11"/>
      <c r="H338" s="11" t="str" cm="1">
        <f t="array" ref="H338">_xlfn.IFS(E338="","",E338="Grand Total",SUM(H$2:H337),TRUE,IF(COUNTIF(Transactions[Custom Category],E338)&gt;0,SUMIFS(Transactions[Amount],Transactions[Custom Category],E338,Transactions[Month],Sel_Month),SUMIFS(Transactions[Amount],Transactions[Name],E338,Transactions[Month],Sel_Month)))</f>
        <v/>
      </c>
      <c r="I338" s="12" t="str">
        <f t="shared" si="5"/>
        <v/>
      </c>
    </row>
    <row r="339" spans="4:9" x14ac:dyDescent="0.25">
      <c r="D339" s="11"/>
      <c r="H339" s="11" t="str" cm="1">
        <f t="array" ref="H339">_xlfn.IFS(E339="","",E339="Grand Total",SUM(H$2:H338),TRUE,IF(COUNTIF(Transactions[Custom Category],E339)&gt;0,SUMIFS(Transactions[Amount],Transactions[Custom Category],E339,Transactions[Month],Sel_Month),SUMIFS(Transactions[Amount],Transactions[Name],E339,Transactions[Month],Sel_Month)))</f>
        <v/>
      </c>
      <c r="I339" s="12" t="str">
        <f t="shared" si="5"/>
        <v/>
      </c>
    </row>
    <row r="340" spans="4:9" x14ac:dyDescent="0.25">
      <c r="D340" s="11"/>
      <c r="H340" s="11" t="str" cm="1">
        <f t="array" ref="H340">_xlfn.IFS(E340="","",E340="Grand Total",SUM(H$2:H339),TRUE,IF(COUNTIF(Transactions[Custom Category],E340)&gt;0,SUMIFS(Transactions[Amount],Transactions[Custom Category],E340,Transactions[Month],Sel_Month),SUMIFS(Transactions[Amount],Transactions[Name],E340,Transactions[Month],Sel_Month)))</f>
        <v/>
      </c>
      <c r="I340" s="12" t="str">
        <f t="shared" si="5"/>
        <v/>
      </c>
    </row>
    <row r="341" spans="4:9" x14ac:dyDescent="0.25">
      <c r="D341" s="11"/>
      <c r="H341" s="11" t="str" cm="1">
        <f t="array" ref="H341">_xlfn.IFS(E341="","",E341="Grand Total",SUM(H$2:H340),TRUE,IF(COUNTIF(Transactions[Custom Category],E341)&gt;0,SUMIFS(Transactions[Amount],Transactions[Custom Category],E341,Transactions[Month],Sel_Month),SUMIFS(Transactions[Amount],Transactions[Name],E341,Transactions[Month],Sel_Month)))</f>
        <v/>
      </c>
      <c r="I341" s="12" t="str">
        <f t="shared" si="5"/>
        <v/>
      </c>
    </row>
    <row r="342" spans="4:9" x14ac:dyDescent="0.25">
      <c r="D342" s="11"/>
      <c r="H342" s="11" t="str" cm="1">
        <f t="array" ref="H342">_xlfn.IFS(E342="","",E342="Grand Total",SUM(H$2:H341),TRUE,IF(COUNTIF(Transactions[Custom Category],E342)&gt;0,SUMIFS(Transactions[Amount],Transactions[Custom Category],E342,Transactions[Month],Sel_Month),SUMIFS(Transactions[Amount],Transactions[Name],E342,Transactions[Month],Sel_Month)))</f>
        <v/>
      </c>
      <c r="I342" s="12" t="str">
        <f t="shared" si="5"/>
        <v/>
      </c>
    </row>
    <row r="343" spans="4:9" x14ac:dyDescent="0.25">
      <c r="D343" s="11"/>
      <c r="H343" s="11" t="str" cm="1">
        <f t="array" ref="H343">_xlfn.IFS(E343="","",E343="Grand Total",SUM(H$2:H342),TRUE,IF(COUNTIF(Transactions[Custom Category],E343)&gt;0,SUMIFS(Transactions[Amount],Transactions[Custom Category],E343,Transactions[Month],Sel_Month),SUMIFS(Transactions[Amount],Transactions[Name],E343,Transactions[Month],Sel_Month)))</f>
        <v/>
      </c>
      <c r="I343" s="12" t="str">
        <f t="shared" si="5"/>
        <v/>
      </c>
    </row>
    <row r="344" spans="4:9" x14ac:dyDescent="0.25">
      <c r="D344" s="11"/>
      <c r="H344" s="11" t="str" cm="1">
        <f t="array" ref="H344">_xlfn.IFS(E344="","",E344="Grand Total",SUM(H$2:H343),TRUE,IF(COUNTIF(Transactions[Custom Category],E344)&gt;0,SUMIFS(Transactions[Amount],Transactions[Custom Category],E344,Transactions[Month],Sel_Month),SUMIFS(Transactions[Amount],Transactions[Name],E344,Transactions[Month],Sel_Month)))</f>
        <v/>
      </c>
      <c r="I344" s="12" t="str">
        <f t="shared" si="5"/>
        <v/>
      </c>
    </row>
    <row r="345" spans="4:9" x14ac:dyDescent="0.25">
      <c r="D345" s="11"/>
      <c r="H345" s="11" t="str" cm="1">
        <f t="array" ref="H345">_xlfn.IFS(E345="","",E345="Grand Total",SUM(H$2:H344),TRUE,IF(COUNTIF(Transactions[Custom Category],E345)&gt;0,SUMIFS(Transactions[Amount],Transactions[Custom Category],E345,Transactions[Month],Sel_Month),SUMIFS(Transactions[Amount],Transactions[Name],E345,Transactions[Month],Sel_Month)))</f>
        <v/>
      </c>
      <c r="I345" s="12" t="str">
        <f t="shared" si="5"/>
        <v/>
      </c>
    </row>
    <row r="346" spans="4:9" x14ac:dyDescent="0.25">
      <c r="D346" s="11"/>
      <c r="H346" s="11" t="str" cm="1">
        <f t="array" ref="H346">_xlfn.IFS(E346="","",E346="Grand Total",SUM(H$2:H345),TRUE,IF(COUNTIF(Transactions[Custom Category],E346)&gt;0,SUMIFS(Transactions[Amount],Transactions[Custom Category],E346,Transactions[Month],Sel_Month),SUMIFS(Transactions[Amount],Transactions[Name],E346,Transactions[Month],Sel_Month)))</f>
        <v/>
      </c>
      <c r="I346" s="12" t="str">
        <f t="shared" si="5"/>
        <v/>
      </c>
    </row>
    <row r="347" spans="4:9" x14ac:dyDescent="0.25">
      <c r="D347" s="11"/>
      <c r="H347" s="11" t="str" cm="1">
        <f t="array" ref="H347">_xlfn.IFS(E347="","",E347="Grand Total",SUM(H$2:H346),TRUE,IF(COUNTIF(Transactions[Custom Category],E347)&gt;0,SUMIFS(Transactions[Amount],Transactions[Custom Category],E347,Transactions[Month],Sel_Month),SUMIFS(Transactions[Amount],Transactions[Name],E347,Transactions[Month],Sel_Month)))</f>
        <v/>
      </c>
      <c r="I347" s="12" t="str">
        <f t="shared" si="5"/>
        <v/>
      </c>
    </row>
    <row r="348" spans="4:9" x14ac:dyDescent="0.25">
      <c r="D348" s="11"/>
      <c r="H348" s="11" t="str" cm="1">
        <f t="array" ref="H348">_xlfn.IFS(E348="","",E348="Grand Total",SUM(H$2:H347),TRUE,IF(COUNTIF(Transactions[Custom Category],E348)&gt;0,SUMIFS(Transactions[Amount],Transactions[Custom Category],E348,Transactions[Month],Sel_Month),SUMIFS(Transactions[Amount],Transactions[Name],E348,Transactions[Month],Sel_Month)))</f>
        <v/>
      </c>
      <c r="I348" s="12" t="str">
        <f t="shared" si="5"/>
        <v/>
      </c>
    </row>
    <row r="349" spans="4:9" x14ac:dyDescent="0.25">
      <c r="D349" s="11"/>
      <c r="H349" s="11" t="str" cm="1">
        <f t="array" ref="H349">_xlfn.IFS(E349="","",E349="Grand Total",SUM(H$2:H348),TRUE,IF(COUNTIF(Transactions[Custom Category],E349)&gt;0,SUMIFS(Transactions[Amount],Transactions[Custom Category],E349,Transactions[Month],Sel_Month),SUMIFS(Transactions[Amount],Transactions[Name],E349,Transactions[Month],Sel_Month)))</f>
        <v/>
      </c>
      <c r="I349" s="12" t="str">
        <f t="shared" si="5"/>
        <v/>
      </c>
    </row>
    <row r="350" spans="4:9" x14ac:dyDescent="0.25">
      <c r="D350" s="11"/>
      <c r="H350" s="11" t="str" cm="1">
        <f t="array" ref="H350">_xlfn.IFS(E350="","",E350="Grand Total",SUM(H$2:H349),TRUE,IF(COUNTIF(Transactions[Custom Category],E350)&gt;0,SUMIFS(Transactions[Amount],Transactions[Custom Category],E350,Transactions[Month],Sel_Month),SUMIFS(Transactions[Amount],Transactions[Name],E350,Transactions[Month],Sel_Month)))</f>
        <v/>
      </c>
      <c r="I350" s="12" t="str">
        <f t="shared" si="5"/>
        <v/>
      </c>
    </row>
    <row r="351" spans="4:9" x14ac:dyDescent="0.25">
      <c r="D351" s="11"/>
      <c r="H351" s="11" t="str" cm="1">
        <f t="array" ref="H351">_xlfn.IFS(E351="","",E351="Grand Total",SUM(H$2:H350),TRUE,IF(COUNTIF(Transactions[Custom Category],E351)&gt;0,SUMIFS(Transactions[Amount],Transactions[Custom Category],E351,Transactions[Month],Sel_Month),SUMIFS(Transactions[Amount],Transactions[Name],E351,Transactions[Month],Sel_Month)))</f>
        <v/>
      </c>
      <c r="I351" s="12" t="str">
        <f t="shared" si="5"/>
        <v/>
      </c>
    </row>
    <row r="352" spans="4:9" x14ac:dyDescent="0.25">
      <c r="D352" s="11"/>
      <c r="H352" s="11" t="str" cm="1">
        <f t="array" ref="H352">_xlfn.IFS(E352="","",E352="Grand Total",SUM(H$2:H351),TRUE,IF(COUNTIF(Transactions[Custom Category],E352)&gt;0,SUMIFS(Transactions[Amount],Transactions[Custom Category],E352,Transactions[Month],Sel_Month),SUMIFS(Transactions[Amount],Transactions[Name],E352,Transactions[Month],Sel_Month)))</f>
        <v/>
      </c>
      <c r="I352" s="12" t="str">
        <f t="shared" si="5"/>
        <v/>
      </c>
    </row>
    <row r="353" spans="4:9" x14ac:dyDescent="0.25">
      <c r="D353" s="11"/>
      <c r="H353" s="11" t="str" cm="1">
        <f t="array" ref="H353">_xlfn.IFS(E353="","",E353="Grand Total",SUM(H$2:H352),TRUE,IF(COUNTIF(Transactions[Custom Category],E353)&gt;0,SUMIFS(Transactions[Amount],Transactions[Custom Category],E353,Transactions[Month],Sel_Month),SUMIFS(Transactions[Amount],Transactions[Name],E353,Transactions[Month],Sel_Month)))</f>
        <v/>
      </c>
      <c r="I353" s="12" t="str">
        <f t="shared" si="5"/>
        <v/>
      </c>
    </row>
    <row r="354" spans="4:9" x14ac:dyDescent="0.25">
      <c r="D354" s="11"/>
      <c r="H354" s="11" t="str" cm="1">
        <f t="array" ref="H354">_xlfn.IFS(E354="","",E354="Grand Total",SUM(H$2:H353),TRUE,IF(COUNTIF(Transactions[Custom Category],E354)&gt;0,SUMIFS(Transactions[Amount],Transactions[Custom Category],E354,Transactions[Month],Sel_Month),SUMIFS(Transactions[Amount],Transactions[Name],E354,Transactions[Month],Sel_Month)))</f>
        <v/>
      </c>
      <c r="I354" s="12" t="str">
        <f t="shared" si="5"/>
        <v/>
      </c>
    </row>
    <row r="355" spans="4:9" x14ac:dyDescent="0.25">
      <c r="D355" s="11"/>
      <c r="H355" s="11" t="str" cm="1">
        <f t="array" ref="H355">_xlfn.IFS(E355="","",E355="Grand Total",SUM(H$2:H354),TRUE,IF(COUNTIF(Transactions[Custom Category],E355)&gt;0,SUMIFS(Transactions[Amount],Transactions[Custom Category],E355,Transactions[Month],Sel_Month),SUMIFS(Transactions[Amount],Transactions[Name],E355,Transactions[Month],Sel_Month)))</f>
        <v/>
      </c>
      <c r="I355" s="12" t="str">
        <f t="shared" si="5"/>
        <v/>
      </c>
    </row>
    <row r="356" spans="4:9" x14ac:dyDescent="0.25">
      <c r="D356" s="11"/>
      <c r="H356" s="11" t="str" cm="1">
        <f t="array" ref="H356">_xlfn.IFS(E356="","",E356="Grand Total",SUM(H$2:H355),TRUE,IF(COUNTIF(Transactions[Custom Category],E356)&gt;0,SUMIFS(Transactions[Amount],Transactions[Custom Category],E356,Transactions[Month],Sel_Month),SUMIFS(Transactions[Amount],Transactions[Name],E356,Transactions[Month],Sel_Month)))</f>
        <v/>
      </c>
      <c r="I356" s="12" t="str">
        <f t="shared" si="5"/>
        <v/>
      </c>
    </row>
    <row r="357" spans="4:9" x14ac:dyDescent="0.25">
      <c r="D357" s="11"/>
      <c r="H357" s="11" t="str" cm="1">
        <f t="array" ref="H357">_xlfn.IFS(E357="","",E357="Grand Total",SUM(H$2:H356),TRUE,IF(COUNTIF(Transactions[Custom Category],E357)&gt;0,SUMIFS(Transactions[Amount],Transactions[Custom Category],E357,Transactions[Month],Sel_Month),SUMIFS(Transactions[Amount],Transactions[Name],E357,Transactions[Month],Sel_Month)))</f>
        <v/>
      </c>
      <c r="I357" s="12" t="str">
        <f t="shared" si="5"/>
        <v/>
      </c>
    </row>
    <row r="358" spans="4:9" x14ac:dyDescent="0.25">
      <c r="D358" s="11"/>
      <c r="H358" s="11" t="str" cm="1">
        <f t="array" ref="H358">_xlfn.IFS(E358="","",E358="Grand Total",SUM(H$2:H357),TRUE,IF(COUNTIF(Transactions[Custom Category],E358)&gt;0,SUMIFS(Transactions[Amount],Transactions[Custom Category],E358,Transactions[Month],Sel_Month),SUMIFS(Transactions[Amount],Transactions[Name],E358,Transactions[Month],Sel_Month)))</f>
        <v/>
      </c>
      <c r="I358" s="12" t="str">
        <f t="shared" si="5"/>
        <v/>
      </c>
    </row>
    <row r="359" spans="4:9" x14ac:dyDescent="0.25">
      <c r="D359" s="11"/>
      <c r="H359" s="11" t="str" cm="1">
        <f t="array" ref="H359">_xlfn.IFS(E359="","",E359="Grand Total",SUM(H$2:H358),TRUE,IF(COUNTIF(Transactions[Custom Category],E359)&gt;0,SUMIFS(Transactions[Amount],Transactions[Custom Category],E359,Transactions[Month],Sel_Month),SUMIFS(Transactions[Amount],Transactions[Name],E359,Transactions[Month],Sel_Month)))</f>
        <v/>
      </c>
      <c r="I359" s="12" t="str">
        <f t="shared" si="5"/>
        <v/>
      </c>
    </row>
    <row r="360" spans="4:9" x14ac:dyDescent="0.25">
      <c r="D360" s="11"/>
      <c r="H360" s="11" t="str" cm="1">
        <f t="array" ref="H360">_xlfn.IFS(E360="","",E360="Grand Total",SUM(H$2:H359),TRUE,IF(COUNTIF(Transactions[Custom Category],E360)&gt;0,SUMIFS(Transactions[Amount],Transactions[Custom Category],E360,Transactions[Month],Sel_Month),SUMIFS(Transactions[Amount],Transactions[Name],E360,Transactions[Month],Sel_Month)))</f>
        <v/>
      </c>
      <c r="I360" s="12" t="str">
        <f t="shared" si="5"/>
        <v/>
      </c>
    </row>
    <row r="361" spans="4:9" x14ac:dyDescent="0.25">
      <c r="D361" s="11"/>
      <c r="H361" s="11" t="str" cm="1">
        <f t="array" ref="H361">_xlfn.IFS(E361="","",E361="Grand Total",SUM(H$2:H360),TRUE,IF(COUNTIF(Transactions[Custom Category],E361)&gt;0,SUMIFS(Transactions[Amount],Transactions[Custom Category],E361,Transactions[Month],Sel_Month),SUMIFS(Transactions[Amount],Transactions[Name],E361,Transactions[Month],Sel_Month)))</f>
        <v/>
      </c>
      <c r="I361" s="12" t="str">
        <f t="shared" si="5"/>
        <v/>
      </c>
    </row>
    <row r="362" spans="4:9" x14ac:dyDescent="0.25">
      <c r="D362" s="11"/>
      <c r="H362" s="11" t="str" cm="1">
        <f t="array" ref="H362">_xlfn.IFS(E362="","",E362="Grand Total",SUM(H$2:H361),TRUE,IF(COUNTIF(Transactions[Custom Category],E362)&gt;0,SUMIFS(Transactions[Amount],Transactions[Custom Category],E362,Transactions[Month],Sel_Month),SUMIFS(Transactions[Amount],Transactions[Name],E362,Transactions[Month],Sel_Month)))</f>
        <v/>
      </c>
      <c r="I362" s="12" t="str">
        <f t="shared" si="5"/>
        <v/>
      </c>
    </row>
    <row r="363" spans="4:9" x14ac:dyDescent="0.25">
      <c r="D363" s="11"/>
      <c r="H363" s="11" t="str" cm="1">
        <f t="array" ref="H363">_xlfn.IFS(E363="","",E363="Grand Total",SUM(H$2:H362),TRUE,IF(COUNTIF(Transactions[Custom Category],E363)&gt;0,SUMIFS(Transactions[Amount],Transactions[Custom Category],E363,Transactions[Month],Sel_Month),SUMIFS(Transactions[Amount],Transactions[Name],E363,Transactions[Month],Sel_Month)))</f>
        <v/>
      </c>
      <c r="I363" s="12" t="str">
        <f t="shared" si="5"/>
        <v/>
      </c>
    </row>
    <row r="364" spans="4:9" x14ac:dyDescent="0.25">
      <c r="D364" s="11"/>
      <c r="H364" s="11" t="str" cm="1">
        <f t="array" ref="H364">_xlfn.IFS(E364="","",E364="Grand Total",SUM(H$2:H363),TRUE,IF(COUNTIF(Transactions[Custom Category],E364)&gt;0,SUMIFS(Transactions[Amount],Transactions[Custom Category],E364,Transactions[Month],Sel_Month),SUMIFS(Transactions[Amount],Transactions[Name],E364,Transactions[Month],Sel_Month)))</f>
        <v/>
      </c>
      <c r="I364" s="12" t="str">
        <f t="shared" si="5"/>
        <v/>
      </c>
    </row>
    <row r="365" spans="4:9" x14ac:dyDescent="0.25">
      <c r="D365" s="11"/>
      <c r="H365" s="11" t="str" cm="1">
        <f t="array" ref="H365">_xlfn.IFS(E365="","",E365="Grand Total",SUM(H$2:H364),TRUE,IF(COUNTIF(Transactions[Custom Category],E365)&gt;0,SUMIFS(Transactions[Amount],Transactions[Custom Category],E365,Transactions[Month],Sel_Month),SUMIFS(Transactions[Amount],Transactions[Name],E365,Transactions[Month],Sel_Month)))</f>
        <v/>
      </c>
      <c r="I365" s="12" t="str">
        <f t="shared" si="5"/>
        <v/>
      </c>
    </row>
    <row r="366" spans="4:9" x14ac:dyDescent="0.25">
      <c r="D366" s="11"/>
      <c r="H366" s="11" t="str" cm="1">
        <f t="array" ref="H366">_xlfn.IFS(E366="","",E366="Grand Total",SUM(H$2:H365),TRUE,IF(COUNTIF(Transactions[Custom Category],E366)&gt;0,SUMIFS(Transactions[Amount],Transactions[Custom Category],E366,Transactions[Month],Sel_Month),SUMIFS(Transactions[Amount],Transactions[Name],E366,Transactions[Month],Sel_Month)))</f>
        <v/>
      </c>
      <c r="I366" s="12" t="str">
        <f t="shared" si="5"/>
        <v/>
      </c>
    </row>
    <row r="367" spans="4:9" x14ac:dyDescent="0.25">
      <c r="D367" s="11"/>
      <c r="H367" s="11" t="str" cm="1">
        <f t="array" ref="H367">_xlfn.IFS(E367="","",E367="Grand Total",SUM(H$2:H366),TRUE,IF(COUNTIF(Transactions[Custom Category],E367)&gt;0,SUMIFS(Transactions[Amount],Transactions[Custom Category],E367,Transactions[Month],Sel_Month),SUMIFS(Transactions[Amount],Transactions[Name],E367,Transactions[Month],Sel_Month)))</f>
        <v/>
      </c>
      <c r="I367" s="12" t="str">
        <f t="shared" si="5"/>
        <v/>
      </c>
    </row>
    <row r="368" spans="4:9" x14ac:dyDescent="0.25">
      <c r="D368" s="11"/>
      <c r="H368" s="11" t="str" cm="1">
        <f t="array" ref="H368">_xlfn.IFS(E368="","",E368="Grand Total",SUM(H$2:H367),TRUE,IF(COUNTIF(Transactions[Custom Category],E368)&gt;0,SUMIFS(Transactions[Amount],Transactions[Custom Category],E368,Transactions[Month],Sel_Month),SUMIFS(Transactions[Amount],Transactions[Name],E368,Transactions[Month],Sel_Month)))</f>
        <v/>
      </c>
      <c r="I368" s="12" t="str">
        <f t="shared" si="5"/>
        <v/>
      </c>
    </row>
    <row r="369" spans="4:9" x14ac:dyDescent="0.25">
      <c r="D369" s="11"/>
      <c r="H369" s="11" t="str" cm="1">
        <f t="array" ref="H369">_xlfn.IFS(E369="","",E369="Grand Total",SUM(H$2:H368),TRUE,IF(COUNTIF(Transactions[Custom Category],E369)&gt;0,SUMIFS(Transactions[Amount],Transactions[Custom Category],E369,Transactions[Month],Sel_Month),SUMIFS(Transactions[Amount],Transactions[Name],E369,Transactions[Month],Sel_Month)))</f>
        <v/>
      </c>
      <c r="I369" s="12" t="str">
        <f t="shared" si="5"/>
        <v/>
      </c>
    </row>
    <row r="370" spans="4:9" x14ac:dyDescent="0.25">
      <c r="D370" s="11"/>
      <c r="H370" s="11" t="str" cm="1">
        <f t="array" ref="H370">_xlfn.IFS(E370="","",E370="Grand Total",SUM(H$2:H369),TRUE,IF(COUNTIF(Transactions[Custom Category],E370)&gt;0,SUMIFS(Transactions[Amount],Transactions[Custom Category],E370,Transactions[Month],Sel_Month),SUMIFS(Transactions[Amount],Transactions[Name],E370,Transactions[Month],Sel_Month)))</f>
        <v/>
      </c>
      <c r="I370" s="12" t="str">
        <f t="shared" si="5"/>
        <v/>
      </c>
    </row>
    <row r="371" spans="4:9" x14ac:dyDescent="0.25">
      <c r="D371" s="11"/>
      <c r="H371" s="11" t="str" cm="1">
        <f t="array" ref="H371">_xlfn.IFS(E371="","",E371="Grand Total",SUM(H$2:H370),TRUE,IF(COUNTIF(Transactions[Custom Category],E371)&gt;0,SUMIFS(Transactions[Amount],Transactions[Custom Category],E371,Transactions[Month],Sel_Month),SUMIFS(Transactions[Amount],Transactions[Name],E371,Transactions[Month],Sel_Month)))</f>
        <v/>
      </c>
      <c r="I371" s="12" t="str">
        <f t="shared" si="5"/>
        <v/>
      </c>
    </row>
    <row r="372" spans="4:9" x14ac:dyDescent="0.25">
      <c r="D372" s="11"/>
      <c r="H372" s="11" t="str" cm="1">
        <f t="array" ref="H372">_xlfn.IFS(E372="","",E372="Grand Total",SUM(H$2:H371),TRUE,IF(COUNTIF(Transactions[Custom Category],E372)&gt;0,SUMIFS(Transactions[Amount],Transactions[Custom Category],E372,Transactions[Month],Sel_Month),SUMIFS(Transactions[Amount],Transactions[Name],E372,Transactions[Month],Sel_Month)))</f>
        <v/>
      </c>
      <c r="I372" s="12" t="str">
        <f t="shared" si="5"/>
        <v/>
      </c>
    </row>
    <row r="373" spans="4:9" x14ac:dyDescent="0.25">
      <c r="D373" s="11"/>
      <c r="H373" s="11" t="str" cm="1">
        <f t="array" ref="H373">_xlfn.IFS(E373="","",E373="Grand Total",SUM(H$2:H372),TRUE,IF(COUNTIF(Transactions[Custom Category],E373)&gt;0,SUMIFS(Transactions[Amount],Transactions[Custom Category],E373,Transactions[Month],Sel_Month),SUMIFS(Transactions[Amount],Transactions[Name],E373,Transactions[Month],Sel_Month)))</f>
        <v/>
      </c>
      <c r="I373" s="12" t="str">
        <f t="shared" si="5"/>
        <v/>
      </c>
    </row>
    <row r="374" spans="4:9" x14ac:dyDescent="0.25">
      <c r="D374" s="11"/>
      <c r="H374" s="11" t="str" cm="1">
        <f t="array" ref="H374">_xlfn.IFS(E374="","",E374="Grand Total",SUM(H$2:H373),TRUE,IF(COUNTIF(Transactions[Custom Category],E374)&gt;0,SUMIFS(Transactions[Amount],Transactions[Custom Category],E374,Transactions[Month],Sel_Month),SUMIFS(Transactions[Amount],Transactions[Name],E374,Transactions[Month],Sel_Month)))</f>
        <v/>
      </c>
      <c r="I374" s="12" t="str">
        <f t="shared" si="5"/>
        <v/>
      </c>
    </row>
    <row r="375" spans="4:9" x14ac:dyDescent="0.25">
      <c r="D375" s="11"/>
      <c r="H375" s="11" t="str" cm="1">
        <f t="array" ref="H375">_xlfn.IFS(E375="","",E375="Grand Total",SUM(H$2:H374),TRUE,IF(COUNTIF(Transactions[Custom Category],E375)&gt;0,SUMIFS(Transactions[Amount],Transactions[Custom Category],E375,Transactions[Month],Sel_Month),SUMIFS(Transactions[Amount],Transactions[Name],E375,Transactions[Month],Sel_Month)))</f>
        <v/>
      </c>
      <c r="I375" s="12" t="str">
        <f t="shared" si="5"/>
        <v/>
      </c>
    </row>
    <row r="376" spans="4:9" x14ac:dyDescent="0.25">
      <c r="D376" s="11"/>
      <c r="H376" s="11" t="str" cm="1">
        <f t="array" ref="H376">_xlfn.IFS(E376="","",E376="Grand Total",SUM(H$2:H375),TRUE,IF(COUNTIF(Transactions[Custom Category],E376)&gt;0,SUMIFS(Transactions[Amount],Transactions[Custom Category],E376,Transactions[Month],Sel_Month),SUMIFS(Transactions[Amount],Transactions[Name],E376,Transactions[Month],Sel_Month)))</f>
        <v/>
      </c>
      <c r="I376" s="12" t="str">
        <f t="shared" si="5"/>
        <v/>
      </c>
    </row>
    <row r="377" spans="4:9" x14ac:dyDescent="0.25">
      <c r="D377" s="11"/>
      <c r="H377" s="11" t="str" cm="1">
        <f t="array" ref="H377">_xlfn.IFS(E377="","",E377="Grand Total",SUM(H$2:H376),TRUE,IF(COUNTIF(Transactions[Custom Category],E377)&gt;0,SUMIFS(Transactions[Amount],Transactions[Custom Category],E377,Transactions[Month],Sel_Month),SUMIFS(Transactions[Amount],Transactions[Name],E377,Transactions[Month],Sel_Month)))</f>
        <v/>
      </c>
      <c r="I377" s="12" t="str">
        <f t="shared" si="5"/>
        <v/>
      </c>
    </row>
    <row r="378" spans="4:9" x14ac:dyDescent="0.25">
      <c r="D378" s="11"/>
      <c r="H378" s="11" t="str" cm="1">
        <f t="array" ref="H378">_xlfn.IFS(E378="","",E378="Grand Total",SUM(H$2:H377),TRUE,IF(COUNTIF(Transactions[Custom Category],E378)&gt;0,SUMIFS(Transactions[Amount],Transactions[Custom Category],E378,Transactions[Month],Sel_Month),SUMIFS(Transactions[Amount],Transactions[Name],E378,Transactions[Month],Sel_Month)))</f>
        <v/>
      </c>
      <c r="I378" s="12" t="str">
        <f t="shared" si="5"/>
        <v/>
      </c>
    </row>
    <row r="379" spans="4:9" x14ac:dyDescent="0.25">
      <c r="D379" s="11"/>
      <c r="H379" s="11" t="str" cm="1">
        <f t="array" ref="H379">_xlfn.IFS(E379="","",E379="Grand Total",SUM(H$2:H378),TRUE,IF(COUNTIF(Transactions[Custom Category],E379)&gt;0,SUMIFS(Transactions[Amount],Transactions[Custom Category],E379,Transactions[Month],Sel_Month),SUMIFS(Transactions[Amount],Transactions[Name],E379,Transactions[Month],Sel_Month)))</f>
        <v/>
      </c>
      <c r="I379" s="12" t="str">
        <f t="shared" si="5"/>
        <v/>
      </c>
    </row>
    <row r="380" spans="4:9" x14ac:dyDescent="0.25">
      <c r="D380" s="11"/>
      <c r="H380" s="11" t="str" cm="1">
        <f t="array" ref="H380">_xlfn.IFS(E380="","",E380="Grand Total",SUM(H$2:H379),TRUE,IF(COUNTIF(Transactions[Custom Category],E380)&gt;0,SUMIFS(Transactions[Amount],Transactions[Custom Category],E380,Transactions[Month],Sel_Month),SUMIFS(Transactions[Amount],Transactions[Name],E380,Transactions[Month],Sel_Month)))</f>
        <v/>
      </c>
      <c r="I380" s="12" t="str">
        <f t="shared" si="5"/>
        <v/>
      </c>
    </row>
    <row r="381" spans="4:9" x14ac:dyDescent="0.25">
      <c r="D381" s="11"/>
      <c r="H381" s="11" t="str" cm="1">
        <f t="array" ref="H381">_xlfn.IFS(E381="","",E381="Grand Total",SUM(H$2:H380),TRUE,IF(COUNTIF(Transactions[Custom Category],E381)&gt;0,SUMIFS(Transactions[Amount],Transactions[Custom Category],E381,Transactions[Month],Sel_Month),SUMIFS(Transactions[Amount],Transactions[Name],E381,Transactions[Month],Sel_Month)))</f>
        <v/>
      </c>
      <c r="I381" s="12" t="str">
        <f t="shared" si="5"/>
        <v/>
      </c>
    </row>
    <row r="382" spans="4:9" x14ac:dyDescent="0.25">
      <c r="D382" s="11"/>
      <c r="H382" s="11" t="str" cm="1">
        <f t="array" ref="H382">_xlfn.IFS(E382="","",E382="Grand Total",SUM(H$2:H381),TRUE,IF(COUNTIF(Transactions[Custom Category],E382)&gt;0,SUMIFS(Transactions[Amount],Transactions[Custom Category],E382,Transactions[Month],Sel_Month),SUMIFS(Transactions[Amount],Transactions[Name],E382,Transactions[Month],Sel_Month)))</f>
        <v/>
      </c>
      <c r="I382" s="12" t="str">
        <f t="shared" si="5"/>
        <v/>
      </c>
    </row>
    <row r="383" spans="4:9" x14ac:dyDescent="0.25">
      <c r="D383" s="11"/>
      <c r="H383" s="11" t="str" cm="1">
        <f t="array" ref="H383">_xlfn.IFS(E383="","",E383="Grand Total",SUM(H$2:H382),TRUE,IF(COUNTIF(Transactions[Custom Category],E383)&gt;0,SUMIFS(Transactions[Amount],Transactions[Custom Category],E383,Transactions[Month],Sel_Month),SUMIFS(Transactions[Amount],Transactions[Name],E383,Transactions[Month],Sel_Month)))</f>
        <v/>
      </c>
      <c r="I383" s="12" t="str">
        <f t="shared" si="5"/>
        <v/>
      </c>
    </row>
    <row r="384" spans="4:9" x14ac:dyDescent="0.25">
      <c r="D384" s="11"/>
      <c r="H384" s="11" t="str" cm="1">
        <f t="array" ref="H384">_xlfn.IFS(E384="","",E384="Grand Total",SUM(H$2:H383),TRUE,IF(COUNTIF(Transactions[Custom Category],E384)&gt;0,SUMIFS(Transactions[Amount],Transactions[Custom Category],E384,Transactions[Month],Sel_Month),SUMIFS(Transactions[Amount],Transactions[Name],E384,Transactions[Month],Sel_Month)))</f>
        <v/>
      </c>
      <c r="I384" s="12" t="str">
        <f t="shared" si="5"/>
        <v/>
      </c>
    </row>
    <row r="385" spans="4:9" x14ac:dyDescent="0.25">
      <c r="D385" s="11"/>
      <c r="H385" s="11" t="str" cm="1">
        <f t="array" ref="H385">_xlfn.IFS(E385="","",E385="Grand Total",SUM(H$2:H384),TRUE,IF(COUNTIF(Transactions[Custom Category],E385)&gt;0,SUMIFS(Transactions[Amount],Transactions[Custom Category],E385,Transactions[Month],Sel_Month),SUMIFS(Transactions[Amount],Transactions[Name],E385,Transactions[Month],Sel_Month)))</f>
        <v/>
      </c>
      <c r="I385" s="12" t="str">
        <f t="shared" si="5"/>
        <v/>
      </c>
    </row>
    <row r="386" spans="4:9" x14ac:dyDescent="0.25">
      <c r="D386" s="11"/>
      <c r="H386" s="11" t="str" cm="1">
        <f t="array" ref="H386">_xlfn.IFS(E386="","",E386="Grand Total",SUM(H$2:H385),TRUE,IF(COUNTIF(Transactions[Custom Category],E386)&gt;0,SUMIFS(Transactions[Amount],Transactions[Custom Category],E386,Transactions[Month],Sel_Month),SUMIFS(Transactions[Amount],Transactions[Name],E386,Transactions[Month],Sel_Month)))</f>
        <v/>
      </c>
      <c r="I386" s="12" t="str">
        <f t="shared" si="5"/>
        <v/>
      </c>
    </row>
    <row r="387" spans="4:9" x14ac:dyDescent="0.25">
      <c r="D387" s="11"/>
      <c r="H387" s="11" t="str" cm="1">
        <f t="array" ref="H387">_xlfn.IFS(E387="","",E387="Grand Total",SUM(H$2:H386),TRUE,IF(COUNTIF(Transactions[Custom Category],E387)&gt;0,SUMIFS(Transactions[Amount],Transactions[Custom Category],E387,Transactions[Month],Sel_Month),SUMIFS(Transactions[Amount],Transactions[Name],E387,Transactions[Month],Sel_Month)))</f>
        <v/>
      </c>
      <c r="I387" s="12" t="str">
        <f t="shared" si="5"/>
        <v/>
      </c>
    </row>
    <row r="388" spans="4:9" x14ac:dyDescent="0.25">
      <c r="D388" s="11"/>
      <c r="H388" s="11" t="str" cm="1">
        <f t="array" ref="H388">_xlfn.IFS(E388="","",E388="Grand Total",SUM(H$2:H387),TRUE,IF(COUNTIF(Transactions[Custom Category],E388)&gt;0,SUMIFS(Transactions[Amount],Transactions[Custom Category],E388,Transactions[Month],Sel_Month),SUMIFS(Transactions[Amount],Transactions[Name],E388,Transactions[Month],Sel_Month)))</f>
        <v/>
      </c>
      <c r="I388" s="12" t="str">
        <f t="shared" ref="I388:I451" si="6">IF(G388="","",IF(G388=0,0,1-((G388-H388)/G388)))</f>
        <v/>
      </c>
    </row>
    <row r="389" spans="4:9" x14ac:dyDescent="0.25">
      <c r="D389" s="11"/>
      <c r="H389" s="11" t="str" cm="1">
        <f t="array" ref="H389">_xlfn.IFS(E389="","",E389="Grand Total",SUM(H$2:H388),TRUE,IF(COUNTIF(Transactions[Custom Category],E389)&gt;0,SUMIFS(Transactions[Amount],Transactions[Custom Category],E389,Transactions[Month],Sel_Month),SUMIFS(Transactions[Amount],Transactions[Name],E389,Transactions[Month],Sel_Month)))</f>
        <v/>
      </c>
      <c r="I389" s="12" t="str">
        <f t="shared" si="6"/>
        <v/>
      </c>
    </row>
    <row r="390" spans="4:9" x14ac:dyDescent="0.25">
      <c r="D390" s="11"/>
      <c r="H390" s="11" t="str" cm="1">
        <f t="array" ref="H390">_xlfn.IFS(E390="","",E390="Grand Total",SUM(H$2:H389),TRUE,IF(COUNTIF(Transactions[Custom Category],E390)&gt;0,SUMIFS(Transactions[Amount],Transactions[Custom Category],E390,Transactions[Month],Sel_Month),SUMIFS(Transactions[Amount],Transactions[Name],E390,Transactions[Month],Sel_Month)))</f>
        <v/>
      </c>
      <c r="I390" s="12" t="str">
        <f t="shared" si="6"/>
        <v/>
      </c>
    </row>
    <row r="391" spans="4:9" x14ac:dyDescent="0.25">
      <c r="D391" s="11"/>
      <c r="H391" s="11" t="str" cm="1">
        <f t="array" ref="H391">_xlfn.IFS(E391="","",E391="Grand Total",SUM(H$2:H390),TRUE,IF(COUNTIF(Transactions[Custom Category],E391)&gt;0,SUMIFS(Transactions[Amount],Transactions[Custom Category],E391,Transactions[Month],Sel_Month),SUMIFS(Transactions[Amount],Transactions[Name],E391,Transactions[Month],Sel_Month)))</f>
        <v/>
      </c>
      <c r="I391" s="12" t="str">
        <f t="shared" si="6"/>
        <v/>
      </c>
    </row>
    <row r="392" spans="4:9" x14ac:dyDescent="0.25">
      <c r="D392" s="11"/>
      <c r="H392" s="11" t="str" cm="1">
        <f t="array" ref="H392">_xlfn.IFS(E392="","",E392="Grand Total",SUM(H$2:H391),TRUE,IF(COUNTIF(Transactions[Custom Category],E392)&gt;0,SUMIFS(Transactions[Amount],Transactions[Custom Category],E392,Transactions[Month],Sel_Month),SUMIFS(Transactions[Amount],Transactions[Name],E392,Transactions[Month],Sel_Month)))</f>
        <v/>
      </c>
      <c r="I392" s="12" t="str">
        <f t="shared" si="6"/>
        <v/>
      </c>
    </row>
    <row r="393" spans="4:9" x14ac:dyDescent="0.25">
      <c r="D393" s="11"/>
      <c r="H393" s="11" t="str" cm="1">
        <f t="array" ref="H393">_xlfn.IFS(E393="","",E393="Grand Total",SUM(H$2:H392),TRUE,IF(COUNTIF(Transactions[Custom Category],E393)&gt;0,SUMIFS(Transactions[Amount],Transactions[Custom Category],E393,Transactions[Month],Sel_Month),SUMIFS(Transactions[Amount],Transactions[Name],E393,Transactions[Month],Sel_Month)))</f>
        <v/>
      </c>
      <c r="I393" s="12" t="str">
        <f t="shared" si="6"/>
        <v/>
      </c>
    </row>
    <row r="394" spans="4:9" x14ac:dyDescent="0.25">
      <c r="D394" s="11"/>
      <c r="H394" s="11" t="str" cm="1">
        <f t="array" ref="H394">_xlfn.IFS(E394="","",E394="Grand Total",SUM(H$2:H393),TRUE,IF(COUNTIF(Transactions[Custom Category],E394)&gt;0,SUMIFS(Transactions[Amount],Transactions[Custom Category],E394,Transactions[Month],Sel_Month),SUMIFS(Transactions[Amount],Transactions[Name],E394,Transactions[Month],Sel_Month)))</f>
        <v/>
      </c>
      <c r="I394" s="12" t="str">
        <f t="shared" si="6"/>
        <v/>
      </c>
    </row>
    <row r="395" spans="4:9" x14ac:dyDescent="0.25">
      <c r="D395" s="11"/>
      <c r="H395" s="11" t="str" cm="1">
        <f t="array" ref="H395">_xlfn.IFS(E395="","",E395="Grand Total",SUM(H$2:H394),TRUE,IF(COUNTIF(Transactions[Custom Category],E395)&gt;0,SUMIFS(Transactions[Amount],Transactions[Custom Category],E395,Transactions[Month],Sel_Month),SUMIFS(Transactions[Amount],Transactions[Name],E395,Transactions[Month],Sel_Month)))</f>
        <v/>
      </c>
      <c r="I395" s="12" t="str">
        <f t="shared" si="6"/>
        <v/>
      </c>
    </row>
    <row r="396" spans="4:9" x14ac:dyDescent="0.25">
      <c r="D396" s="11"/>
      <c r="H396" s="11" t="str" cm="1">
        <f t="array" ref="H396">_xlfn.IFS(E396="","",E396="Grand Total",SUM(H$2:H395),TRUE,IF(COUNTIF(Transactions[Custom Category],E396)&gt;0,SUMIFS(Transactions[Amount],Transactions[Custom Category],E396,Transactions[Month],Sel_Month),SUMIFS(Transactions[Amount],Transactions[Name],E396,Transactions[Month],Sel_Month)))</f>
        <v/>
      </c>
      <c r="I396" s="12" t="str">
        <f t="shared" si="6"/>
        <v/>
      </c>
    </row>
    <row r="397" spans="4:9" x14ac:dyDescent="0.25">
      <c r="D397" s="11"/>
      <c r="H397" s="11" t="str" cm="1">
        <f t="array" ref="H397">_xlfn.IFS(E397="","",E397="Grand Total",SUM(H$2:H396),TRUE,IF(COUNTIF(Transactions[Custom Category],E397)&gt;0,SUMIFS(Transactions[Amount],Transactions[Custom Category],E397,Transactions[Month],Sel_Month),SUMIFS(Transactions[Amount],Transactions[Name],E397,Transactions[Month],Sel_Month)))</f>
        <v/>
      </c>
      <c r="I397" s="12" t="str">
        <f t="shared" si="6"/>
        <v/>
      </c>
    </row>
    <row r="398" spans="4:9" x14ac:dyDescent="0.25">
      <c r="D398" s="11"/>
      <c r="H398" s="11" t="str" cm="1">
        <f t="array" ref="H398">_xlfn.IFS(E398="","",E398="Grand Total",SUM(H$2:H397),TRUE,IF(COUNTIF(Transactions[Custom Category],E398)&gt;0,SUMIFS(Transactions[Amount],Transactions[Custom Category],E398,Transactions[Month],Sel_Month),SUMIFS(Transactions[Amount],Transactions[Name],E398,Transactions[Month],Sel_Month)))</f>
        <v/>
      </c>
      <c r="I398" s="12" t="str">
        <f t="shared" si="6"/>
        <v/>
      </c>
    </row>
    <row r="399" spans="4:9" x14ac:dyDescent="0.25">
      <c r="D399" s="11"/>
      <c r="H399" s="11" t="str" cm="1">
        <f t="array" ref="H399">_xlfn.IFS(E399="","",E399="Grand Total",SUM(H$2:H398),TRUE,IF(COUNTIF(Transactions[Custom Category],E399)&gt;0,SUMIFS(Transactions[Amount],Transactions[Custom Category],E399,Transactions[Month],Sel_Month),SUMIFS(Transactions[Amount],Transactions[Name],E399,Transactions[Month],Sel_Month)))</f>
        <v/>
      </c>
      <c r="I399" s="12" t="str">
        <f t="shared" si="6"/>
        <v/>
      </c>
    </row>
    <row r="400" spans="4:9" x14ac:dyDescent="0.25">
      <c r="D400" s="11"/>
      <c r="H400" s="11" t="str" cm="1">
        <f t="array" ref="H400">_xlfn.IFS(E400="","",E400="Grand Total",SUM(H$2:H399),TRUE,IF(COUNTIF(Transactions[Custom Category],E400)&gt;0,SUMIFS(Transactions[Amount],Transactions[Custom Category],E400,Transactions[Month],Sel_Month),SUMIFS(Transactions[Amount],Transactions[Name],E400,Transactions[Month],Sel_Month)))</f>
        <v/>
      </c>
      <c r="I400" s="12" t="str">
        <f t="shared" si="6"/>
        <v/>
      </c>
    </row>
    <row r="401" spans="4:9" x14ac:dyDescent="0.25">
      <c r="D401" s="11"/>
      <c r="H401" s="11" t="str" cm="1">
        <f t="array" ref="H401">_xlfn.IFS(E401="","",E401="Grand Total",SUM(H$2:H400),TRUE,IF(COUNTIF(Transactions[Custom Category],E401)&gt;0,SUMIFS(Transactions[Amount],Transactions[Custom Category],E401,Transactions[Month],Sel_Month),SUMIFS(Transactions[Amount],Transactions[Name],E401,Transactions[Month],Sel_Month)))</f>
        <v/>
      </c>
      <c r="I401" s="12" t="str">
        <f t="shared" si="6"/>
        <v/>
      </c>
    </row>
    <row r="402" spans="4:9" x14ac:dyDescent="0.25">
      <c r="D402" s="11"/>
      <c r="H402" s="11" t="str" cm="1">
        <f t="array" ref="H402">_xlfn.IFS(E402="","",E402="Grand Total",SUM(H$2:H401),TRUE,IF(COUNTIF(Transactions[Custom Category],E402)&gt;0,SUMIFS(Transactions[Amount],Transactions[Custom Category],E402,Transactions[Month],Sel_Month),SUMIFS(Transactions[Amount],Transactions[Name],E402,Transactions[Month],Sel_Month)))</f>
        <v/>
      </c>
      <c r="I402" s="12" t="str">
        <f t="shared" si="6"/>
        <v/>
      </c>
    </row>
    <row r="403" spans="4:9" x14ac:dyDescent="0.25">
      <c r="D403" s="11"/>
      <c r="H403" s="11" t="str" cm="1">
        <f t="array" ref="H403">_xlfn.IFS(E403="","",E403="Grand Total",SUM(H$2:H402),TRUE,IF(COUNTIF(Transactions[Custom Category],E403)&gt;0,SUMIFS(Transactions[Amount],Transactions[Custom Category],E403,Transactions[Month],Sel_Month),SUMIFS(Transactions[Amount],Transactions[Name],E403,Transactions[Month],Sel_Month)))</f>
        <v/>
      </c>
      <c r="I403" s="12" t="str">
        <f t="shared" si="6"/>
        <v/>
      </c>
    </row>
    <row r="404" spans="4:9" x14ac:dyDescent="0.25">
      <c r="D404" s="11"/>
      <c r="H404" s="11" t="str" cm="1">
        <f t="array" ref="H404">_xlfn.IFS(E404="","",E404="Grand Total",SUM(H$2:H403),TRUE,IF(COUNTIF(Transactions[Custom Category],E404)&gt;0,SUMIFS(Transactions[Amount],Transactions[Custom Category],E404,Transactions[Month],Sel_Month),SUMIFS(Transactions[Amount],Transactions[Name],E404,Transactions[Month],Sel_Month)))</f>
        <v/>
      </c>
      <c r="I404" s="12" t="str">
        <f t="shared" si="6"/>
        <v/>
      </c>
    </row>
    <row r="405" spans="4:9" x14ac:dyDescent="0.25">
      <c r="D405" s="11"/>
      <c r="H405" s="11" t="str" cm="1">
        <f t="array" ref="H405">_xlfn.IFS(E405="","",E405="Grand Total",SUM(H$2:H404),TRUE,IF(COUNTIF(Transactions[Custom Category],E405)&gt;0,SUMIFS(Transactions[Amount],Transactions[Custom Category],E405,Transactions[Month],Sel_Month),SUMIFS(Transactions[Amount],Transactions[Name],E405,Transactions[Month],Sel_Month)))</f>
        <v/>
      </c>
      <c r="I405" s="12" t="str">
        <f t="shared" si="6"/>
        <v/>
      </c>
    </row>
    <row r="406" spans="4:9" x14ac:dyDescent="0.25">
      <c r="D406" s="11"/>
      <c r="H406" s="11" t="str" cm="1">
        <f t="array" ref="H406">_xlfn.IFS(E406="","",E406="Grand Total",SUM(H$2:H405),TRUE,IF(COUNTIF(Transactions[Custom Category],E406)&gt;0,SUMIFS(Transactions[Amount],Transactions[Custom Category],E406,Transactions[Month],Sel_Month),SUMIFS(Transactions[Amount],Transactions[Name],E406,Transactions[Month],Sel_Month)))</f>
        <v/>
      </c>
      <c r="I406" s="12" t="str">
        <f t="shared" si="6"/>
        <v/>
      </c>
    </row>
    <row r="407" spans="4:9" x14ac:dyDescent="0.25">
      <c r="D407" s="11"/>
      <c r="H407" s="11" t="str" cm="1">
        <f t="array" ref="H407">_xlfn.IFS(E407="","",E407="Grand Total",SUM(H$2:H406),TRUE,IF(COUNTIF(Transactions[Custom Category],E407)&gt;0,SUMIFS(Transactions[Amount],Transactions[Custom Category],E407,Transactions[Month],Sel_Month),SUMIFS(Transactions[Amount],Transactions[Name],E407,Transactions[Month],Sel_Month)))</f>
        <v/>
      </c>
      <c r="I407" s="12" t="str">
        <f t="shared" si="6"/>
        <v/>
      </c>
    </row>
    <row r="408" spans="4:9" x14ac:dyDescent="0.25">
      <c r="D408" s="11"/>
      <c r="H408" s="11" t="str" cm="1">
        <f t="array" ref="H408">_xlfn.IFS(E408="","",E408="Grand Total",SUM(H$2:H407),TRUE,IF(COUNTIF(Transactions[Custom Category],E408)&gt;0,SUMIFS(Transactions[Amount],Transactions[Custom Category],E408,Transactions[Month],Sel_Month),SUMIFS(Transactions[Amount],Transactions[Name],E408,Transactions[Month],Sel_Month)))</f>
        <v/>
      </c>
      <c r="I408" s="12" t="str">
        <f t="shared" si="6"/>
        <v/>
      </c>
    </row>
    <row r="409" spans="4:9" x14ac:dyDescent="0.25">
      <c r="D409" s="11"/>
      <c r="H409" s="11" t="str" cm="1">
        <f t="array" ref="H409">_xlfn.IFS(E409="","",E409="Grand Total",SUM(H$2:H408),TRUE,IF(COUNTIF(Transactions[Custom Category],E409)&gt;0,SUMIFS(Transactions[Amount],Transactions[Custom Category],E409,Transactions[Month],Sel_Month),SUMIFS(Transactions[Amount],Transactions[Name],E409,Transactions[Month],Sel_Month)))</f>
        <v/>
      </c>
      <c r="I409" s="12" t="str">
        <f t="shared" si="6"/>
        <v/>
      </c>
    </row>
    <row r="410" spans="4:9" x14ac:dyDescent="0.25">
      <c r="D410" s="11"/>
      <c r="H410" s="11" t="str" cm="1">
        <f t="array" ref="H410">_xlfn.IFS(E410="","",E410="Grand Total",SUM(H$2:H409),TRUE,IF(COUNTIF(Transactions[Custom Category],E410)&gt;0,SUMIFS(Transactions[Amount],Transactions[Custom Category],E410,Transactions[Month],Sel_Month),SUMIFS(Transactions[Amount],Transactions[Name],E410,Transactions[Month],Sel_Month)))</f>
        <v/>
      </c>
      <c r="I410" s="12" t="str">
        <f t="shared" si="6"/>
        <v/>
      </c>
    </row>
    <row r="411" spans="4:9" x14ac:dyDescent="0.25">
      <c r="D411" s="11"/>
      <c r="H411" s="11" t="str" cm="1">
        <f t="array" ref="H411">_xlfn.IFS(E411="","",E411="Grand Total",SUM(H$2:H410),TRUE,IF(COUNTIF(Transactions[Custom Category],E411)&gt;0,SUMIFS(Transactions[Amount],Transactions[Custom Category],E411,Transactions[Month],Sel_Month),SUMIFS(Transactions[Amount],Transactions[Name],E411,Transactions[Month],Sel_Month)))</f>
        <v/>
      </c>
      <c r="I411" s="12" t="str">
        <f t="shared" si="6"/>
        <v/>
      </c>
    </row>
    <row r="412" spans="4:9" x14ac:dyDescent="0.25">
      <c r="D412" s="11"/>
      <c r="H412" s="11" t="str" cm="1">
        <f t="array" ref="H412">_xlfn.IFS(E412="","",E412="Grand Total",SUM(H$2:H411),TRUE,IF(COUNTIF(Transactions[Custom Category],E412)&gt;0,SUMIFS(Transactions[Amount],Transactions[Custom Category],E412,Transactions[Month],Sel_Month),SUMIFS(Transactions[Amount],Transactions[Name],E412,Transactions[Month],Sel_Month)))</f>
        <v/>
      </c>
      <c r="I412" s="12" t="str">
        <f t="shared" si="6"/>
        <v/>
      </c>
    </row>
    <row r="413" spans="4:9" x14ac:dyDescent="0.25">
      <c r="D413" s="11"/>
      <c r="H413" s="11" t="str" cm="1">
        <f t="array" ref="H413">_xlfn.IFS(E413="","",E413="Grand Total",SUM(H$2:H412),TRUE,IF(COUNTIF(Transactions[Custom Category],E413)&gt;0,SUMIFS(Transactions[Amount],Transactions[Custom Category],E413,Transactions[Month],Sel_Month),SUMIFS(Transactions[Amount],Transactions[Name],E413,Transactions[Month],Sel_Month)))</f>
        <v/>
      </c>
      <c r="I413" s="12" t="str">
        <f t="shared" si="6"/>
        <v/>
      </c>
    </row>
    <row r="414" spans="4:9" x14ac:dyDescent="0.25">
      <c r="D414" s="11"/>
      <c r="H414" s="11" t="str" cm="1">
        <f t="array" ref="H414">_xlfn.IFS(E414="","",E414="Grand Total",SUM(H$2:H413),TRUE,IF(COUNTIF(Transactions[Custom Category],E414)&gt;0,SUMIFS(Transactions[Amount],Transactions[Custom Category],E414,Transactions[Month],Sel_Month),SUMIFS(Transactions[Amount],Transactions[Name],E414,Transactions[Month],Sel_Month)))</f>
        <v/>
      </c>
      <c r="I414" s="12" t="str">
        <f t="shared" si="6"/>
        <v/>
      </c>
    </row>
    <row r="415" spans="4:9" x14ac:dyDescent="0.25">
      <c r="D415" s="11"/>
      <c r="H415" s="11" t="str" cm="1">
        <f t="array" ref="H415">_xlfn.IFS(E415="","",E415="Grand Total",SUM(H$2:H414),TRUE,IF(COUNTIF(Transactions[Custom Category],E415)&gt;0,SUMIFS(Transactions[Amount],Transactions[Custom Category],E415,Transactions[Month],Sel_Month),SUMIFS(Transactions[Amount],Transactions[Name],E415,Transactions[Month],Sel_Month)))</f>
        <v/>
      </c>
      <c r="I415" s="12" t="str">
        <f t="shared" si="6"/>
        <v/>
      </c>
    </row>
    <row r="416" spans="4:9" x14ac:dyDescent="0.25">
      <c r="D416" s="11"/>
      <c r="H416" s="11" t="str" cm="1">
        <f t="array" ref="H416">_xlfn.IFS(E416="","",E416="Grand Total",SUM(H$2:H415),TRUE,IF(COUNTIF(Transactions[Custom Category],E416)&gt;0,SUMIFS(Transactions[Amount],Transactions[Custom Category],E416,Transactions[Month],Sel_Month),SUMIFS(Transactions[Amount],Transactions[Name],E416,Transactions[Month],Sel_Month)))</f>
        <v/>
      </c>
      <c r="I416" s="12" t="str">
        <f t="shared" si="6"/>
        <v/>
      </c>
    </row>
    <row r="417" spans="4:9" x14ac:dyDescent="0.25">
      <c r="D417" s="11"/>
      <c r="H417" s="11" t="str" cm="1">
        <f t="array" ref="H417">_xlfn.IFS(E417="","",E417="Grand Total",SUM(H$2:H416),TRUE,IF(COUNTIF(Transactions[Custom Category],E417)&gt;0,SUMIFS(Transactions[Amount],Transactions[Custom Category],E417,Transactions[Month],Sel_Month),SUMIFS(Transactions[Amount],Transactions[Name],E417,Transactions[Month],Sel_Month)))</f>
        <v/>
      </c>
      <c r="I417" s="12" t="str">
        <f t="shared" si="6"/>
        <v/>
      </c>
    </row>
    <row r="418" spans="4:9" x14ac:dyDescent="0.25">
      <c r="D418" s="11"/>
      <c r="H418" s="11" t="str" cm="1">
        <f t="array" ref="H418">_xlfn.IFS(E418="","",E418="Grand Total",SUM(H$2:H417),TRUE,IF(COUNTIF(Transactions[Custom Category],E418)&gt;0,SUMIFS(Transactions[Amount],Transactions[Custom Category],E418,Transactions[Month],Sel_Month),SUMIFS(Transactions[Amount],Transactions[Name],E418,Transactions[Month],Sel_Month)))</f>
        <v/>
      </c>
      <c r="I418" s="12" t="str">
        <f t="shared" si="6"/>
        <v/>
      </c>
    </row>
    <row r="419" spans="4:9" x14ac:dyDescent="0.25">
      <c r="D419" s="11"/>
      <c r="H419" s="11" t="str" cm="1">
        <f t="array" ref="H419">_xlfn.IFS(E419="","",E419="Grand Total",SUM(H$2:H418),TRUE,IF(COUNTIF(Transactions[Custom Category],E419)&gt;0,SUMIFS(Transactions[Amount],Transactions[Custom Category],E419,Transactions[Month],Sel_Month),SUMIFS(Transactions[Amount],Transactions[Name],E419,Transactions[Month],Sel_Month)))</f>
        <v/>
      </c>
      <c r="I419" s="12" t="str">
        <f t="shared" si="6"/>
        <v/>
      </c>
    </row>
    <row r="420" spans="4:9" x14ac:dyDescent="0.25">
      <c r="D420" s="11"/>
      <c r="H420" s="11" t="str" cm="1">
        <f t="array" ref="H420">_xlfn.IFS(E420="","",E420="Grand Total",SUM(H$2:H419),TRUE,IF(COUNTIF(Transactions[Custom Category],E420)&gt;0,SUMIFS(Transactions[Amount],Transactions[Custom Category],E420,Transactions[Month],Sel_Month),SUMIFS(Transactions[Amount],Transactions[Name],E420,Transactions[Month],Sel_Month)))</f>
        <v/>
      </c>
      <c r="I420" s="12" t="str">
        <f t="shared" si="6"/>
        <v/>
      </c>
    </row>
    <row r="421" spans="4:9" x14ac:dyDescent="0.25">
      <c r="D421" s="11"/>
      <c r="H421" s="11" t="str" cm="1">
        <f t="array" ref="H421">_xlfn.IFS(E421="","",E421="Grand Total",SUM(H$2:H420),TRUE,IF(COUNTIF(Transactions[Custom Category],E421)&gt;0,SUMIFS(Transactions[Amount],Transactions[Custom Category],E421,Transactions[Month],Sel_Month),SUMIFS(Transactions[Amount],Transactions[Name],E421,Transactions[Month],Sel_Month)))</f>
        <v/>
      </c>
      <c r="I421" s="12" t="str">
        <f t="shared" si="6"/>
        <v/>
      </c>
    </row>
    <row r="422" spans="4:9" x14ac:dyDescent="0.25">
      <c r="D422" s="11"/>
      <c r="H422" s="11" t="str" cm="1">
        <f t="array" ref="H422">_xlfn.IFS(E422="","",E422="Grand Total",SUM(H$2:H421),TRUE,IF(COUNTIF(Transactions[Custom Category],E422)&gt;0,SUMIFS(Transactions[Amount],Transactions[Custom Category],E422,Transactions[Month],Sel_Month),SUMIFS(Transactions[Amount],Transactions[Name],E422,Transactions[Month],Sel_Month)))</f>
        <v/>
      </c>
      <c r="I422" s="12" t="str">
        <f t="shared" si="6"/>
        <v/>
      </c>
    </row>
    <row r="423" spans="4:9" x14ac:dyDescent="0.25">
      <c r="D423" s="11"/>
      <c r="H423" s="11" t="str" cm="1">
        <f t="array" ref="H423">_xlfn.IFS(E423="","",E423="Grand Total",SUM(H$2:H422),TRUE,IF(COUNTIF(Transactions[Custom Category],E423)&gt;0,SUMIFS(Transactions[Amount],Transactions[Custom Category],E423,Transactions[Month],Sel_Month),SUMIFS(Transactions[Amount],Transactions[Name],E423,Transactions[Month],Sel_Month)))</f>
        <v/>
      </c>
      <c r="I423" s="12" t="str">
        <f t="shared" si="6"/>
        <v/>
      </c>
    </row>
    <row r="424" spans="4:9" x14ac:dyDescent="0.25">
      <c r="D424" s="11"/>
      <c r="H424" s="11" t="str" cm="1">
        <f t="array" ref="H424">_xlfn.IFS(E424="","",E424="Grand Total",SUM(H$2:H423),TRUE,IF(COUNTIF(Transactions[Custom Category],E424)&gt;0,SUMIFS(Transactions[Amount],Transactions[Custom Category],E424,Transactions[Month],Sel_Month),SUMIFS(Transactions[Amount],Transactions[Name],E424,Transactions[Month],Sel_Month)))</f>
        <v/>
      </c>
      <c r="I424" s="12" t="str">
        <f t="shared" si="6"/>
        <v/>
      </c>
    </row>
    <row r="425" spans="4:9" x14ac:dyDescent="0.25">
      <c r="D425" s="11"/>
      <c r="H425" s="11" t="str" cm="1">
        <f t="array" ref="H425">_xlfn.IFS(E425="","",E425="Grand Total",SUM(H$2:H424),TRUE,IF(COUNTIF(Transactions[Custom Category],E425)&gt;0,SUMIFS(Transactions[Amount],Transactions[Custom Category],E425,Transactions[Month],Sel_Month),SUMIFS(Transactions[Amount],Transactions[Name],E425,Transactions[Month],Sel_Month)))</f>
        <v/>
      </c>
      <c r="I425" s="12" t="str">
        <f t="shared" si="6"/>
        <v/>
      </c>
    </row>
    <row r="426" spans="4:9" x14ac:dyDescent="0.25">
      <c r="D426" s="11"/>
      <c r="H426" s="11" t="str" cm="1">
        <f t="array" ref="H426">_xlfn.IFS(E426="","",E426="Grand Total",SUM(H$2:H425),TRUE,IF(COUNTIF(Transactions[Custom Category],E426)&gt;0,SUMIFS(Transactions[Amount],Transactions[Custom Category],E426,Transactions[Month],Sel_Month),SUMIFS(Transactions[Amount],Transactions[Name],E426,Transactions[Month],Sel_Month)))</f>
        <v/>
      </c>
      <c r="I426" s="12" t="str">
        <f t="shared" si="6"/>
        <v/>
      </c>
    </row>
    <row r="427" spans="4:9" x14ac:dyDescent="0.25">
      <c r="D427" s="11"/>
      <c r="H427" s="11" t="str" cm="1">
        <f t="array" ref="H427">_xlfn.IFS(E427="","",E427="Grand Total",SUM(H$2:H426),TRUE,IF(COUNTIF(Transactions[Custom Category],E427)&gt;0,SUMIFS(Transactions[Amount],Transactions[Custom Category],E427,Transactions[Month],Sel_Month),SUMIFS(Transactions[Amount],Transactions[Name],E427,Transactions[Month],Sel_Month)))</f>
        <v/>
      </c>
      <c r="I427" s="12" t="str">
        <f t="shared" si="6"/>
        <v/>
      </c>
    </row>
    <row r="428" spans="4:9" x14ac:dyDescent="0.25">
      <c r="D428" s="11"/>
      <c r="H428" s="11" t="str" cm="1">
        <f t="array" ref="H428">_xlfn.IFS(E428="","",E428="Grand Total",SUM(H$2:H427),TRUE,IF(COUNTIF(Transactions[Custom Category],E428)&gt;0,SUMIFS(Transactions[Amount],Transactions[Custom Category],E428,Transactions[Month],Sel_Month),SUMIFS(Transactions[Amount],Transactions[Name],E428,Transactions[Month],Sel_Month)))</f>
        <v/>
      </c>
      <c r="I428" s="12" t="str">
        <f t="shared" si="6"/>
        <v/>
      </c>
    </row>
    <row r="429" spans="4:9" x14ac:dyDescent="0.25">
      <c r="D429" s="11"/>
      <c r="H429" s="11" t="str" cm="1">
        <f t="array" ref="H429">_xlfn.IFS(E429="","",E429="Grand Total",SUM(H$2:H428),TRUE,IF(COUNTIF(Transactions[Custom Category],E429)&gt;0,SUMIFS(Transactions[Amount],Transactions[Custom Category],E429,Transactions[Month],Sel_Month),SUMIFS(Transactions[Amount],Transactions[Name],E429,Transactions[Month],Sel_Month)))</f>
        <v/>
      </c>
      <c r="I429" s="12" t="str">
        <f t="shared" si="6"/>
        <v/>
      </c>
    </row>
    <row r="430" spans="4:9" x14ac:dyDescent="0.25">
      <c r="D430" s="11"/>
      <c r="H430" s="11" t="str" cm="1">
        <f t="array" ref="H430">_xlfn.IFS(E430="","",E430="Grand Total",SUM(H$2:H429),TRUE,IF(COUNTIF(Transactions[Custom Category],E430)&gt;0,SUMIFS(Transactions[Amount],Transactions[Custom Category],E430,Transactions[Month],Sel_Month),SUMIFS(Transactions[Amount],Transactions[Name],E430,Transactions[Month],Sel_Month)))</f>
        <v/>
      </c>
      <c r="I430" s="12" t="str">
        <f t="shared" si="6"/>
        <v/>
      </c>
    </row>
    <row r="431" spans="4:9" x14ac:dyDescent="0.25">
      <c r="D431" s="11"/>
      <c r="H431" s="11" t="str" cm="1">
        <f t="array" ref="H431">_xlfn.IFS(E431="","",E431="Grand Total",SUM(H$2:H430),TRUE,IF(COUNTIF(Transactions[Custom Category],E431)&gt;0,SUMIFS(Transactions[Amount],Transactions[Custom Category],E431,Transactions[Month],Sel_Month),SUMIFS(Transactions[Amount],Transactions[Name],E431,Transactions[Month],Sel_Month)))</f>
        <v/>
      </c>
      <c r="I431" s="12" t="str">
        <f t="shared" si="6"/>
        <v/>
      </c>
    </row>
    <row r="432" spans="4:9" x14ac:dyDescent="0.25">
      <c r="D432" s="11"/>
      <c r="H432" s="11" t="str" cm="1">
        <f t="array" ref="H432">_xlfn.IFS(E432="","",E432="Grand Total",SUM(H$2:H431),TRUE,IF(COUNTIF(Transactions[Custom Category],E432)&gt;0,SUMIFS(Transactions[Amount],Transactions[Custom Category],E432,Transactions[Month],Sel_Month),SUMIFS(Transactions[Amount],Transactions[Name],E432,Transactions[Month],Sel_Month)))</f>
        <v/>
      </c>
      <c r="I432" s="12" t="str">
        <f t="shared" si="6"/>
        <v/>
      </c>
    </row>
    <row r="433" spans="4:9" x14ac:dyDescent="0.25">
      <c r="D433" s="11"/>
      <c r="H433" s="11" t="str" cm="1">
        <f t="array" ref="H433">_xlfn.IFS(E433="","",E433="Grand Total",SUM(H$2:H432),TRUE,IF(COUNTIF(Transactions[Custom Category],E433)&gt;0,SUMIFS(Transactions[Amount],Transactions[Custom Category],E433,Transactions[Month],Sel_Month),SUMIFS(Transactions[Amount],Transactions[Name],E433,Transactions[Month],Sel_Month)))</f>
        <v/>
      </c>
      <c r="I433" s="12" t="str">
        <f t="shared" si="6"/>
        <v/>
      </c>
    </row>
    <row r="434" spans="4:9" x14ac:dyDescent="0.25">
      <c r="D434" s="11"/>
      <c r="H434" s="11" t="str" cm="1">
        <f t="array" ref="H434">_xlfn.IFS(E434="","",E434="Grand Total",SUM(H$2:H433),TRUE,IF(COUNTIF(Transactions[Custom Category],E434)&gt;0,SUMIFS(Transactions[Amount],Transactions[Custom Category],E434,Transactions[Month],Sel_Month),SUMIFS(Transactions[Amount],Transactions[Name],E434,Transactions[Month],Sel_Month)))</f>
        <v/>
      </c>
      <c r="I434" s="12" t="str">
        <f t="shared" si="6"/>
        <v/>
      </c>
    </row>
    <row r="435" spans="4:9" x14ac:dyDescent="0.25">
      <c r="D435" s="11"/>
      <c r="H435" s="11" t="str" cm="1">
        <f t="array" ref="H435">_xlfn.IFS(E435="","",E435="Grand Total",SUM(H$2:H434),TRUE,IF(COUNTIF(Transactions[Custom Category],E435)&gt;0,SUMIFS(Transactions[Amount],Transactions[Custom Category],E435,Transactions[Month],Sel_Month),SUMIFS(Transactions[Amount],Transactions[Name],E435,Transactions[Month],Sel_Month)))</f>
        <v/>
      </c>
      <c r="I435" s="12" t="str">
        <f t="shared" si="6"/>
        <v/>
      </c>
    </row>
    <row r="436" spans="4:9" x14ac:dyDescent="0.25">
      <c r="H436" s="11" t="str" cm="1">
        <f t="array" ref="H436">_xlfn.IFS(E436="","",E436="Grand Total",SUM(H$2:H435),TRUE,IF(COUNTIF(Transactions[Custom Category],E436)&gt;0,SUMIFS(Transactions[Amount],Transactions[Custom Category],E436,Transactions[Month],Sel_Month),SUMIFS(Transactions[Amount],Transactions[Name],E436,Transactions[Month],Sel_Month)))</f>
        <v/>
      </c>
      <c r="I436" s="12" t="str">
        <f t="shared" si="6"/>
        <v/>
      </c>
    </row>
    <row r="437" spans="4:9" x14ac:dyDescent="0.25">
      <c r="H437" s="11" t="str" cm="1">
        <f t="array" ref="H437">_xlfn.IFS(E437="","",E437="Grand Total",SUM(H$2:H436),TRUE,IF(COUNTIF(Transactions[Custom Category],E437)&gt;0,SUMIFS(Transactions[Amount],Transactions[Custom Category],E437,Transactions[Month],Sel_Month),SUMIFS(Transactions[Amount],Transactions[Name],E437,Transactions[Month],Sel_Month)))</f>
        <v/>
      </c>
      <c r="I437" s="12" t="str">
        <f t="shared" si="6"/>
        <v/>
      </c>
    </row>
    <row r="438" spans="4:9" x14ac:dyDescent="0.25">
      <c r="H438" s="11" t="str" cm="1">
        <f t="array" ref="H438">_xlfn.IFS(E438="","",E438="Grand Total",SUM(H$2:H437),TRUE,IF(COUNTIF(Transactions[Custom Category],E438)&gt;0,SUMIFS(Transactions[Amount],Transactions[Custom Category],E438,Transactions[Month],Sel_Month),SUMIFS(Transactions[Amount],Transactions[Name],E438,Transactions[Month],Sel_Month)))</f>
        <v/>
      </c>
      <c r="I438" s="12" t="str">
        <f t="shared" si="6"/>
        <v/>
      </c>
    </row>
    <row r="439" spans="4:9" x14ac:dyDescent="0.25">
      <c r="H439" s="11" t="str" cm="1">
        <f t="array" ref="H439">_xlfn.IFS(E439="","",E439="Grand Total",SUM(H$2:H438),TRUE,IF(COUNTIF(Transactions[Custom Category],E439)&gt;0,SUMIFS(Transactions[Amount],Transactions[Custom Category],E439,Transactions[Month],Sel_Month),SUMIFS(Transactions[Amount],Transactions[Name],E439,Transactions[Month],Sel_Month)))</f>
        <v/>
      </c>
      <c r="I439" s="12" t="str">
        <f t="shared" si="6"/>
        <v/>
      </c>
    </row>
    <row r="440" spans="4:9" x14ac:dyDescent="0.25">
      <c r="H440" s="11" t="str" cm="1">
        <f t="array" ref="H440">_xlfn.IFS(E440="","",E440="Grand Total",SUM(H$2:H439),TRUE,IF(COUNTIF(Transactions[Custom Category],E440)&gt;0,SUMIFS(Transactions[Amount],Transactions[Custom Category],E440,Transactions[Month],Sel_Month),SUMIFS(Transactions[Amount],Transactions[Name],E440,Transactions[Month],Sel_Month)))</f>
        <v/>
      </c>
      <c r="I440" s="12" t="str">
        <f t="shared" si="6"/>
        <v/>
      </c>
    </row>
    <row r="441" spans="4:9" x14ac:dyDescent="0.25">
      <c r="H441" s="11" t="str" cm="1">
        <f t="array" ref="H441">_xlfn.IFS(E441="","",E441="Grand Total",SUM(H$2:H440),TRUE,IF(COUNTIF(Transactions[Custom Category],E441)&gt;0,SUMIFS(Transactions[Amount],Transactions[Custom Category],E441,Transactions[Month],Sel_Month),SUMIFS(Transactions[Amount],Transactions[Name],E441,Transactions[Month],Sel_Month)))</f>
        <v/>
      </c>
      <c r="I441" s="12" t="str">
        <f t="shared" si="6"/>
        <v/>
      </c>
    </row>
    <row r="442" spans="4:9" x14ac:dyDescent="0.25">
      <c r="H442" s="11" t="str" cm="1">
        <f t="array" ref="H442">_xlfn.IFS(E442="","",E442="Grand Total",SUM(H$2:H441),TRUE,IF(COUNTIF(Transactions[Custom Category],E442)&gt;0,SUMIFS(Transactions[Amount],Transactions[Custom Category],E442,Transactions[Month],Sel_Month),SUMIFS(Transactions[Amount],Transactions[Name],E442,Transactions[Month],Sel_Month)))</f>
        <v/>
      </c>
      <c r="I442" s="12" t="str">
        <f t="shared" si="6"/>
        <v/>
      </c>
    </row>
    <row r="443" spans="4:9" x14ac:dyDescent="0.25">
      <c r="H443" s="11" t="str" cm="1">
        <f t="array" ref="H443">_xlfn.IFS(E443="","",E443="Grand Total",SUM(H$2:H442),TRUE,IF(COUNTIF(Transactions[Custom Category],E443)&gt;0,SUMIFS(Transactions[Amount],Transactions[Custom Category],E443,Transactions[Month],Sel_Month),SUMIFS(Transactions[Amount],Transactions[Name],E443,Transactions[Month],Sel_Month)))</f>
        <v/>
      </c>
      <c r="I443" s="12" t="str">
        <f t="shared" si="6"/>
        <v/>
      </c>
    </row>
    <row r="444" spans="4:9" x14ac:dyDescent="0.25">
      <c r="H444" s="11" t="str" cm="1">
        <f t="array" ref="H444">_xlfn.IFS(E444="","",E444="Grand Total",SUM(H$2:H443),TRUE,IF(COUNTIF(Transactions[Custom Category],E444)&gt;0,SUMIFS(Transactions[Amount],Transactions[Custom Category],E444,Transactions[Month],Sel_Month),SUMIFS(Transactions[Amount],Transactions[Name],E444,Transactions[Month],Sel_Month)))</f>
        <v/>
      </c>
      <c r="I444" s="12" t="str">
        <f t="shared" si="6"/>
        <v/>
      </c>
    </row>
    <row r="445" spans="4:9" x14ac:dyDescent="0.25">
      <c r="H445" s="11" t="str" cm="1">
        <f t="array" ref="H445">_xlfn.IFS(E445="","",E445="Grand Total",SUM(H$2:H444),TRUE,IF(COUNTIF(Transactions[Custom Category],E445)&gt;0,SUMIFS(Transactions[Amount],Transactions[Custom Category],E445,Transactions[Month],Sel_Month),SUMIFS(Transactions[Amount],Transactions[Name],E445,Transactions[Month],Sel_Month)))</f>
        <v/>
      </c>
      <c r="I445" s="12" t="str">
        <f t="shared" si="6"/>
        <v/>
      </c>
    </row>
    <row r="446" spans="4:9" x14ac:dyDescent="0.25">
      <c r="H446" s="11" t="str" cm="1">
        <f t="array" ref="H446">_xlfn.IFS(E446="","",E446="Grand Total",SUM(H$2:H445),TRUE,IF(COUNTIF(Transactions[Custom Category],E446)&gt;0,SUMIFS(Transactions[Amount],Transactions[Custom Category],E446,Transactions[Month],Sel_Month),SUMIFS(Transactions[Amount],Transactions[Name],E446,Transactions[Month],Sel_Month)))</f>
        <v/>
      </c>
      <c r="I446" s="12" t="str">
        <f t="shared" si="6"/>
        <v/>
      </c>
    </row>
    <row r="447" spans="4:9" x14ac:dyDescent="0.25">
      <c r="H447" s="11" t="str" cm="1">
        <f t="array" ref="H447">_xlfn.IFS(E447="","",E447="Grand Total",SUM(H$2:H446),TRUE,IF(COUNTIF(Transactions[Custom Category],E447)&gt;0,SUMIFS(Transactions[Amount],Transactions[Custom Category],E447,Transactions[Month],Sel_Month),SUMIFS(Transactions[Amount],Transactions[Name],E447,Transactions[Month],Sel_Month)))</f>
        <v/>
      </c>
      <c r="I447" s="12" t="str">
        <f t="shared" si="6"/>
        <v/>
      </c>
    </row>
    <row r="448" spans="4:9" x14ac:dyDescent="0.25">
      <c r="H448" s="11" t="str" cm="1">
        <f t="array" ref="H448">_xlfn.IFS(E448="","",E448="Grand Total",SUM(H$2:H447),TRUE,IF(COUNTIF(Transactions[Custom Category],E448)&gt;0,SUMIFS(Transactions[Amount],Transactions[Custom Category],E448,Transactions[Month],Sel_Month),SUMIFS(Transactions[Amount],Transactions[Name],E448,Transactions[Month],Sel_Month)))</f>
        <v/>
      </c>
      <c r="I448" s="12" t="str">
        <f t="shared" si="6"/>
        <v/>
      </c>
    </row>
    <row r="449" spans="8:9" x14ac:dyDescent="0.25">
      <c r="H449" s="11" t="str" cm="1">
        <f t="array" ref="H449">_xlfn.IFS(E449="","",E449="Grand Total",SUM(H$2:H448),TRUE,IF(COUNTIF(Transactions[Custom Category],E449)&gt;0,SUMIFS(Transactions[Amount],Transactions[Custom Category],E449,Transactions[Month],Sel_Month),SUMIFS(Transactions[Amount],Transactions[Name],E449,Transactions[Month],Sel_Month)))</f>
        <v/>
      </c>
      <c r="I449" s="12" t="str">
        <f t="shared" si="6"/>
        <v/>
      </c>
    </row>
    <row r="450" spans="8:9" x14ac:dyDescent="0.25">
      <c r="H450" s="11" t="str" cm="1">
        <f t="array" ref="H450">_xlfn.IFS(E450="","",E450="Grand Total",SUM(H$2:H449),TRUE,IF(COUNTIF(Transactions[Custom Category],E450)&gt;0,SUMIFS(Transactions[Amount],Transactions[Custom Category],E450,Transactions[Month],Sel_Month),SUMIFS(Transactions[Amount],Transactions[Name],E450,Transactions[Month],Sel_Month)))</f>
        <v/>
      </c>
      <c r="I450" s="12" t="str">
        <f t="shared" si="6"/>
        <v/>
      </c>
    </row>
    <row r="451" spans="8:9" x14ac:dyDescent="0.25">
      <c r="H451" s="11" t="str" cm="1">
        <f t="array" ref="H451">_xlfn.IFS(E451="","",E451="Grand Total",SUM(H$2:H450),TRUE,IF(COUNTIF(Transactions[Custom Category],E451)&gt;0,SUMIFS(Transactions[Amount],Transactions[Custom Category],E451,Transactions[Month],Sel_Month),SUMIFS(Transactions[Amount],Transactions[Name],E451,Transactions[Month],Sel_Month)))</f>
        <v/>
      </c>
      <c r="I451" s="12" t="str">
        <f t="shared" si="6"/>
        <v/>
      </c>
    </row>
    <row r="452" spans="8:9" x14ac:dyDescent="0.25">
      <c r="H452" s="11" t="str" cm="1">
        <f t="array" ref="H452">_xlfn.IFS(E452="","",E452="Grand Total",SUM(H$2:H451),TRUE,IF(COUNTIF(Transactions[Custom Category],E452)&gt;0,SUMIFS(Transactions[Amount],Transactions[Custom Category],E452,Transactions[Month],Sel_Month),SUMIFS(Transactions[Amount],Transactions[Name],E452,Transactions[Month],Sel_Month)))</f>
        <v/>
      </c>
      <c r="I452" s="12" t="str">
        <f t="shared" ref="I452:I515" si="7">IF(G452="","",IF(G452=0,0,1-((G452-H452)/G452)))</f>
        <v/>
      </c>
    </row>
    <row r="453" spans="8:9" x14ac:dyDescent="0.25">
      <c r="H453" s="11" t="str" cm="1">
        <f t="array" ref="H453">_xlfn.IFS(E453="","",E453="Grand Total",SUM(H$2:H452),TRUE,IF(COUNTIF(Transactions[Custom Category],E453)&gt;0,SUMIFS(Transactions[Amount],Transactions[Custom Category],E453,Transactions[Month],Sel_Month),SUMIFS(Transactions[Amount],Transactions[Name],E453,Transactions[Month],Sel_Month)))</f>
        <v/>
      </c>
      <c r="I453" s="12" t="str">
        <f t="shared" si="7"/>
        <v/>
      </c>
    </row>
    <row r="454" spans="8:9" x14ac:dyDescent="0.25">
      <c r="H454" s="11" t="str" cm="1">
        <f t="array" ref="H454">_xlfn.IFS(E454="","",E454="Grand Total",SUM(H$2:H453),TRUE,IF(COUNTIF(Transactions[Custom Category],E454)&gt;0,SUMIFS(Transactions[Amount],Transactions[Custom Category],E454,Transactions[Month],Sel_Month),SUMIFS(Transactions[Amount],Transactions[Name],E454,Transactions[Month],Sel_Month)))</f>
        <v/>
      </c>
      <c r="I454" s="12" t="str">
        <f t="shared" si="7"/>
        <v/>
      </c>
    </row>
    <row r="455" spans="8:9" x14ac:dyDescent="0.25">
      <c r="H455" s="11" t="str" cm="1">
        <f t="array" ref="H455">_xlfn.IFS(E455="","",E455="Grand Total",SUM(H$2:H454),TRUE,IF(COUNTIF(Transactions[Custom Category],E455)&gt;0,SUMIFS(Transactions[Amount],Transactions[Custom Category],E455,Transactions[Month],Sel_Month),SUMIFS(Transactions[Amount],Transactions[Name],E455,Transactions[Month],Sel_Month)))</f>
        <v/>
      </c>
      <c r="I455" s="12" t="str">
        <f t="shared" si="7"/>
        <v/>
      </c>
    </row>
    <row r="456" spans="8:9" x14ac:dyDescent="0.25">
      <c r="H456" s="11" t="str" cm="1">
        <f t="array" ref="H456">_xlfn.IFS(E456="","",E456="Grand Total",SUM(H$2:H455),TRUE,IF(COUNTIF(Transactions[Custom Category],E456)&gt;0,SUMIFS(Transactions[Amount],Transactions[Custom Category],E456,Transactions[Month],Sel_Month),SUMIFS(Transactions[Amount],Transactions[Name],E456,Transactions[Month],Sel_Month)))</f>
        <v/>
      </c>
      <c r="I456" s="12" t="str">
        <f t="shared" si="7"/>
        <v/>
      </c>
    </row>
    <row r="457" spans="8:9" x14ac:dyDescent="0.25">
      <c r="H457" s="11" t="str" cm="1">
        <f t="array" ref="H457">_xlfn.IFS(E457="","",E457="Grand Total",SUM(H$2:H456),TRUE,IF(COUNTIF(Transactions[Custom Category],E457)&gt;0,SUMIFS(Transactions[Amount],Transactions[Custom Category],E457,Transactions[Month],Sel_Month),SUMIFS(Transactions[Amount],Transactions[Name],E457,Transactions[Month],Sel_Month)))</f>
        <v/>
      </c>
      <c r="I457" s="12" t="str">
        <f t="shared" si="7"/>
        <v/>
      </c>
    </row>
    <row r="458" spans="8:9" x14ac:dyDescent="0.25">
      <c r="H458" s="11" t="str" cm="1">
        <f t="array" ref="H458">_xlfn.IFS(E458="","",E458="Grand Total",SUM(H$2:H457),TRUE,IF(COUNTIF(Transactions[Custom Category],E458)&gt;0,SUMIFS(Transactions[Amount],Transactions[Custom Category],E458,Transactions[Month],Sel_Month),SUMIFS(Transactions[Amount],Transactions[Name],E458,Transactions[Month],Sel_Month)))</f>
        <v/>
      </c>
      <c r="I458" s="12" t="str">
        <f t="shared" si="7"/>
        <v/>
      </c>
    </row>
    <row r="459" spans="8:9" x14ac:dyDescent="0.25">
      <c r="H459" s="11" t="str" cm="1">
        <f t="array" ref="H459">_xlfn.IFS(E459="","",E459="Grand Total",SUM(H$2:H458),TRUE,IF(COUNTIF(Transactions[Custom Category],E459)&gt;0,SUMIFS(Transactions[Amount],Transactions[Custom Category],E459,Transactions[Month],Sel_Month),SUMIFS(Transactions[Amount],Transactions[Name],E459,Transactions[Month],Sel_Month)))</f>
        <v/>
      </c>
      <c r="I459" s="12" t="str">
        <f t="shared" si="7"/>
        <v/>
      </c>
    </row>
    <row r="460" spans="8:9" x14ac:dyDescent="0.25">
      <c r="H460" s="11" t="str" cm="1">
        <f t="array" ref="H460">_xlfn.IFS(E460="","",E460="Grand Total",SUM(H$2:H459),TRUE,IF(COUNTIF(Transactions[Custom Category],E460)&gt;0,SUMIFS(Transactions[Amount],Transactions[Custom Category],E460,Transactions[Month],Sel_Month),SUMIFS(Transactions[Amount],Transactions[Name],E460,Transactions[Month],Sel_Month)))</f>
        <v/>
      </c>
      <c r="I460" s="12" t="str">
        <f t="shared" si="7"/>
        <v/>
      </c>
    </row>
    <row r="461" spans="8:9" x14ac:dyDescent="0.25">
      <c r="H461" s="11" t="str" cm="1">
        <f t="array" ref="H461">_xlfn.IFS(E461="","",E461="Grand Total",SUM(H$2:H460),TRUE,IF(COUNTIF(Transactions[Custom Category],E461)&gt;0,SUMIFS(Transactions[Amount],Transactions[Custom Category],E461,Transactions[Month],Sel_Month),SUMIFS(Transactions[Amount],Transactions[Name],E461,Transactions[Month],Sel_Month)))</f>
        <v/>
      </c>
      <c r="I461" s="12" t="str">
        <f t="shared" si="7"/>
        <v/>
      </c>
    </row>
    <row r="462" spans="8:9" x14ac:dyDescent="0.25">
      <c r="H462" s="11" t="str" cm="1">
        <f t="array" ref="H462">_xlfn.IFS(E462="","",E462="Grand Total",SUM(H$2:H461),TRUE,IF(COUNTIF(Transactions[Custom Category],E462)&gt;0,SUMIFS(Transactions[Amount],Transactions[Custom Category],E462,Transactions[Month],Sel_Month),SUMIFS(Transactions[Amount],Transactions[Name],E462,Transactions[Month],Sel_Month)))</f>
        <v/>
      </c>
      <c r="I462" s="12" t="str">
        <f t="shared" si="7"/>
        <v/>
      </c>
    </row>
    <row r="463" spans="8:9" x14ac:dyDescent="0.25">
      <c r="H463" s="11" t="str" cm="1">
        <f t="array" ref="H463">_xlfn.IFS(E463="","",E463="Grand Total",SUM(H$2:H462),TRUE,IF(COUNTIF(Transactions[Custom Category],E463)&gt;0,SUMIFS(Transactions[Amount],Transactions[Custom Category],E463,Transactions[Month],Sel_Month),SUMIFS(Transactions[Amount],Transactions[Name],E463,Transactions[Month],Sel_Month)))</f>
        <v/>
      </c>
      <c r="I463" s="12" t="str">
        <f t="shared" si="7"/>
        <v/>
      </c>
    </row>
    <row r="464" spans="8:9" x14ac:dyDescent="0.25">
      <c r="H464" s="11" t="str" cm="1">
        <f t="array" ref="H464">_xlfn.IFS(E464="","",E464="Grand Total",SUM(H$2:H463),TRUE,IF(COUNTIF(Transactions[Custom Category],E464)&gt;0,SUMIFS(Transactions[Amount],Transactions[Custom Category],E464,Transactions[Month],Sel_Month),SUMIFS(Transactions[Amount],Transactions[Name],E464,Transactions[Month],Sel_Month)))</f>
        <v/>
      </c>
      <c r="I464" s="12" t="str">
        <f t="shared" si="7"/>
        <v/>
      </c>
    </row>
    <row r="465" spans="8:9" x14ac:dyDescent="0.25">
      <c r="H465" s="11" t="str" cm="1">
        <f t="array" ref="H465">_xlfn.IFS(E465="","",E465="Grand Total",SUM(H$2:H464),TRUE,IF(COUNTIF(Transactions[Custom Category],E465)&gt;0,SUMIFS(Transactions[Amount],Transactions[Custom Category],E465,Transactions[Month],Sel_Month),SUMIFS(Transactions[Amount],Transactions[Name],E465,Transactions[Month],Sel_Month)))</f>
        <v/>
      </c>
      <c r="I465" s="12" t="str">
        <f t="shared" si="7"/>
        <v/>
      </c>
    </row>
    <row r="466" spans="8:9" x14ac:dyDescent="0.25">
      <c r="H466" s="11" t="str" cm="1">
        <f t="array" ref="H466">_xlfn.IFS(E466="","",E466="Grand Total",SUM(H$2:H465),TRUE,IF(COUNTIF(Transactions[Custom Category],E466)&gt;0,SUMIFS(Transactions[Amount],Transactions[Custom Category],E466,Transactions[Month],Sel_Month),SUMIFS(Transactions[Amount],Transactions[Name],E466,Transactions[Month],Sel_Month)))</f>
        <v/>
      </c>
      <c r="I466" s="12" t="str">
        <f t="shared" si="7"/>
        <v/>
      </c>
    </row>
    <row r="467" spans="8:9" x14ac:dyDescent="0.25">
      <c r="H467" s="11" t="str" cm="1">
        <f t="array" ref="H467">_xlfn.IFS(E467="","",E467="Grand Total",SUM(H$2:H466),TRUE,IF(COUNTIF(Transactions[Custom Category],E467)&gt;0,SUMIFS(Transactions[Amount],Transactions[Custom Category],E467,Transactions[Month],Sel_Month),SUMIFS(Transactions[Amount],Transactions[Name],E467,Transactions[Month],Sel_Month)))</f>
        <v/>
      </c>
      <c r="I467" s="12" t="str">
        <f t="shared" si="7"/>
        <v/>
      </c>
    </row>
    <row r="468" spans="8:9" x14ac:dyDescent="0.25">
      <c r="H468" s="11" t="str" cm="1">
        <f t="array" ref="H468">_xlfn.IFS(E468="","",E468="Grand Total",SUM(H$2:H467),TRUE,IF(COUNTIF(Transactions[Custom Category],E468)&gt;0,SUMIFS(Transactions[Amount],Transactions[Custom Category],E468,Transactions[Month],Sel_Month),SUMIFS(Transactions[Amount],Transactions[Name],E468,Transactions[Month],Sel_Month)))</f>
        <v/>
      </c>
      <c r="I468" s="12" t="str">
        <f t="shared" si="7"/>
        <v/>
      </c>
    </row>
    <row r="469" spans="8:9" x14ac:dyDescent="0.25">
      <c r="H469" s="11" t="str" cm="1">
        <f t="array" ref="H469">_xlfn.IFS(E469="","",E469="Grand Total",SUM(H$2:H468),TRUE,IF(COUNTIF(Transactions[Custom Category],E469)&gt;0,SUMIFS(Transactions[Amount],Transactions[Custom Category],E469,Transactions[Month],Sel_Month),SUMIFS(Transactions[Amount],Transactions[Name],E469,Transactions[Month],Sel_Month)))</f>
        <v/>
      </c>
      <c r="I469" s="12" t="str">
        <f t="shared" si="7"/>
        <v/>
      </c>
    </row>
    <row r="470" spans="8:9" x14ac:dyDescent="0.25">
      <c r="H470" s="11" t="str" cm="1">
        <f t="array" ref="H470">_xlfn.IFS(E470="","",E470="Grand Total",SUM(H$2:H469),TRUE,IF(COUNTIF(Transactions[Custom Category],E470)&gt;0,SUMIFS(Transactions[Amount],Transactions[Custom Category],E470,Transactions[Month],Sel_Month),SUMIFS(Transactions[Amount],Transactions[Name],E470,Transactions[Month],Sel_Month)))</f>
        <v/>
      </c>
      <c r="I470" s="12" t="str">
        <f t="shared" si="7"/>
        <v/>
      </c>
    </row>
    <row r="471" spans="8:9" x14ac:dyDescent="0.25">
      <c r="H471" s="11" t="str" cm="1">
        <f t="array" ref="H471">_xlfn.IFS(E471="","",E471="Grand Total",SUM(H$2:H470),TRUE,IF(COUNTIF(Transactions[Custom Category],E471)&gt;0,SUMIFS(Transactions[Amount],Transactions[Custom Category],E471,Transactions[Month],Sel_Month),SUMIFS(Transactions[Amount],Transactions[Name],E471,Transactions[Month],Sel_Month)))</f>
        <v/>
      </c>
      <c r="I471" s="12" t="str">
        <f t="shared" si="7"/>
        <v/>
      </c>
    </row>
    <row r="472" spans="8:9" x14ac:dyDescent="0.25">
      <c r="H472" s="11" t="str" cm="1">
        <f t="array" ref="H472">_xlfn.IFS(E472="","",E472="Grand Total",SUM(H$2:H471),TRUE,IF(COUNTIF(Transactions[Custom Category],E472)&gt;0,SUMIFS(Transactions[Amount],Transactions[Custom Category],E472,Transactions[Month],Sel_Month),SUMIFS(Transactions[Amount],Transactions[Name],E472,Transactions[Month],Sel_Month)))</f>
        <v/>
      </c>
      <c r="I472" s="12" t="str">
        <f t="shared" si="7"/>
        <v/>
      </c>
    </row>
    <row r="473" spans="8:9" x14ac:dyDescent="0.25">
      <c r="H473" s="11" t="str" cm="1">
        <f t="array" ref="H473">_xlfn.IFS(E473="","",E473="Grand Total",SUM(H$2:H472),TRUE,IF(COUNTIF(Transactions[Custom Category],E473)&gt;0,SUMIFS(Transactions[Amount],Transactions[Custom Category],E473,Transactions[Month],Sel_Month),SUMIFS(Transactions[Amount],Transactions[Name],E473,Transactions[Month],Sel_Month)))</f>
        <v/>
      </c>
      <c r="I473" s="12" t="str">
        <f t="shared" si="7"/>
        <v/>
      </c>
    </row>
    <row r="474" spans="8:9" x14ac:dyDescent="0.25">
      <c r="H474" s="11" t="str" cm="1">
        <f t="array" ref="H474">_xlfn.IFS(E474="","",E474="Grand Total",SUM(H$2:H473),TRUE,IF(COUNTIF(Transactions[Custom Category],E474)&gt;0,SUMIFS(Transactions[Amount],Transactions[Custom Category],E474,Transactions[Month],Sel_Month),SUMIFS(Transactions[Amount],Transactions[Name],E474,Transactions[Month],Sel_Month)))</f>
        <v/>
      </c>
      <c r="I474" s="12" t="str">
        <f t="shared" si="7"/>
        <v/>
      </c>
    </row>
    <row r="475" spans="8:9" x14ac:dyDescent="0.25">
      <c r="H475" s="11" t="str" cm="1">
        <f t="array" ref="H475">_xlfn.IFS(E475="","",E475="Grand Total",SUM(H$2:H474),TRUE,IF(COUNTIF(Transactions[Custom Category],E475)&gt;0,SUMIFS(Transactions[Amount],Transactions[Custom Category],E475,Transactions[Month],Sel_Month),SUMIFS(Transactions[Amount],Transactions[Name],E475,Transactions[Month],Sel_Month)))</f>
        <v/>
      </c>
      <c r="I475" s="12" t="str">
        <f t="shared" si="7"/>
        <v/>
      </c>
    </row>
    <row r="476" spans="8:9" x14ac:dyDescent="0.25">
      <c r="H476" s="11" t="str" cm="1">
        <f t="array" ref="H476">_xlfn.IFS(E476="","",E476="Grand Total",SUM(H$2:H475),TRUE,IF(COUNTIF(Transactions[Custom Category],E476)&gt;0,SUMIFS(Transactions[Amount],Transactions[Custom Category],E476,Transactions[Month],Sel_Month),SUMIFS(Transactions[Amount],Transactions[Name],E476,Transactions[Month],Sel_Month)))</f>
        <v/>
      </c>
      <c r="I476" s="12" t="str">
        <f t="shared" si="7"/>
        <v/>
      </c>
    </row>
    <row r="477" spans="8:9" x14ac:dyDescent="0.25">
      <c r="H477" s="11" t="str" cm="1">
        <f t="array" ref="H477">_xlfn.IFS(E477="","",E477="Grand Total",SUM(H$2:H476),TRUE,IF(COUNTIF(Transactions[Custom Category],E477)&gt;0,SUMIFS(Transactions[Amount],Transactions[Custom Category],E477,Transactions[Month],Sel_Month),SUMIFS(Transactions[Amount],Transactions[Name],E477,Transactions[Month],Sel_Month)))</f>
        <v/>
      </c>
      <c r="I477" s="12" t="str">
        <f t="shared" si="7"/>
        <v/>
      </c>
    </row>
    <row r="478" spans="8:9" x14ac:dyDescent="0.25">
      <c r="H478" s="11" t="str" cm="1">
        <f t="array" ref="H478">_xlfn.IFS(E478="","",E478="Grand Total",SUM(H$2:H477),TRUE,IF(COUNTIF(Transactions[Custom Category],E478)&gt;0,SUMIFS(Transactions[Amount],Transactions[Custom Category],E478,Transactions[Month],Sel_Month),SUMIFS(Transactions[Amount],Transactions[Name],E478,Transactions[Month],Sel_Month)))</f>
        <v/>
      </c>
      <c r="I478" s="12" t="str">
        <f t="shared" si="7"/>
        <v/>
      </c>
    </row>
    <row r="479" spans="8:9" x14ac:dyDescent="0.25">
      <c r="H479" s="11" t="str" cm="1">
        <f t="array" ref="H479">_xlfn.IFS(E479="","",E479="Grand Total",SUM(H$2:H478),TRUE,IF(COUNTIF(Transactions[Custom Category],E479)&gt;0,SUMIFS(Transactions[Amount],Transactions[Custom Category],E479,Transactions[Month],Sel_Month),SUMIFS(Transactions[Amount],Transactions[Name],E479,Transactions[Month],Sel_Month)))</f>
        <v/>
      </c>
      <c r="I479" s="12" t="str">
        <f t="shared" si="7"/>
        <v/>
      </c>
    </row>
    <row r="480" spans="8:9" x14ac:dyDescent="0.25">
      <c r="H480" s="11" t="str" cm="1">
        <f t="array" ref="H480">_xlfn.IFS(E480="","",E480="Grand Total",SUM(H$2:H479),TRUE,IF(COUNTIF(Transactions[Custom Category],E480)&gt;0,SUMIFS(Transactions[Amount],Transactions[Custom Category],E480,Transactions[Month],Sel_Month),SUMIFS(Transactions[Amount],Transactions[Name],E480,Transactions[Month],Sel_Month)))</f>
        <v/>
      </c>
      <c r="I480" s="12" t="str">
        <f t="shared" si="7"/>
        <v/>
      </c>
    </row>
    <row r="481" spans="8:9" x14ac:dyDescent="0.25">
      <c r="H481" s="11" t="str" cm="1">
        <f t="array" ref="H481">_xlfn.IFS(E481="","",E481="Grand Total",SUM(H$2:H480),TRUE,IF(COUNTIF(Transactions[Custom Category],E481)&gt;0,SUMIFS(Transactions[Amount],Transactions[Custom Category],E481,Transactions[Month],Sel_Month),SUMIFS(Transactions[Amount],Transactions[Name],E481,Transactions[Month],Sel_Month)))</f>
        <v/>
      </c>
      <c r="I481" s="12" t="str">
        <f t="shared" si="7"/>
        <v/>
      </c>
    </row>
    <row r="482" spans="8:9" x14ac:dyDescent="0.25">
      <c r="H482" s="11" t="str" cm="1">
        <f t="array" ref="H482">_xlfn.IFS(E482="","",E482="Grand Total",SUM(H$2:H481),TRUE,IF(COUNTIF(Transactions[Custom Category],E482)&gt;0,SUMIFS(Transactions[Amount],Transactions[Custom Category],E482,Transactions[Month],Sel_Month),SUMIFS(Transactions[Amount],Transactions[Name],E482,Transactions[Month],Sel_Month)))</f>
        <v/>
      </c>
      <c r="I482" s="12" t="str">
        <f t="shared" si="7"/>
        <v/>
      </c>
    </row>
    <row r="483" spans="8:9" x14ac:dyDescent="0.25">
      <c r="H483" s="11" t="str" cm="1">
        <f t="array" ref="H483">_xlfn.IFS(E483="","",E483="Grand Total",SUM(H$2:H482),TRUE,IF(COUNTIF(Transactions[Custom Category],E483)&gt;0,SUMIFS(Transactions[Amount],Transactions[Custom Category],E483,Transactions[Month],Sel_Month),SUMIFS(Transactions[Amount],Transactions[Name],E483,Transactions[Month],Sel_Month)))</f>
        <v/>
      </c>
      <c r="I483" s="12" t="str">
        <f t="shared" si="7"/>
        <v/>
      </c>
    </row>
    <row r="484" spans="8:9" x14ac:dyDescent="0.25">
      <c r="H484" s="11" t="str" cm="1">
        <f t="array" ref="H484">_xlfn.IFS(E484="","",E484="Grand Total",SUM(H$2:H483),TRUE,IF(COUNTIF(Transactions[Custom Category],E484)&gt;0,SUMIFS(Transactions[Amount],Transactions[Custom Category],E484,Transactions[Month],Sel_Month),SUMIFS(Transactions[Amount],Transactions[Name],E484,Transactions[Month],Sel_Month)))</f>
        <v/>
      </c>
      <c r="I484" s="12" t="str">
        <f t="shared" si="7"/>
        <v/>
      </c>
    </row>
    <row r="485" spans="8:9" x14ac:dyDescent="0.25">
      <c r="H485" s="11" t="str" cm="1">
        <f t="array" ref="H485">_xlfn.IFS(E485="","",E485="Grand Total",SUM(H$2:H484),TRUE,IF(COUNTIF(Transactions[Custom Category],E485)&gt;0,SUMIFS(Transactions[Amount],Transactions[Custom Category],E485,Transactions[Month],Sel_Month),SUMIFS(Transactions[Amount],Transactions[Name],E485,Transactions[Month],Sel_Month)))</f>
        <v/>
      </c>
      <c r="I485" s="12" t="str">
        <f t="shared" si="7"/>
        <v/>
      </c>
    </row>
    <row r="486" spans="8:9" x14ac:dyDescent="0.25">
      <c r="H486" s="11" t="str" cm="1">
        <f t="array" ref="H486">_xlfn.IFS(E486="","",E486="Grand Total",SUM(H$2:H485),TRUE,IF(COUNTIF(Transactions[Custom Category],E486)&gt;0,SUMIFS(Transactions[Amount],Transactions[Custom Category],E486,Transactions[Month],Sel_Month),SUMIFS(Transactions[Amount],Transactions[Name],E486,Transactions[Month],Sel_Month)))</f>
        <v/>
      </c>
      <c r="I486" s="12" t="str">
        <f t="shared" si="7"/>
        <v/>
      </c>
    </row>
    <row r="487" spans="8:9" x14ac:dyDescent="0.25">
      <c r="H487" s="11" t="str" cm="1">
        <f t="array" ref="H487">_xlfn.IFS(E487="","",E487="Grand Total",SUM(H$2:H486),TRUE,IF(COUNTIF(Transactions[Custom Category],E487)&gt;0,SUMIFS(Transactions[Amount],Transactions[Custom Category],E487,Transactions[Month],Sel_Month),SUMIFS(Transactions[Amount],Transactions[Name],E487,Transactions[Month],Sel_Month)))</f>
        <v/>
      </c>
      <c r="I487" s="12" t="str">
        <f t="shared" si="7"/>
        <v/>
      </c>
    </row>
    <row r="488" spans="8:9" x14ac:dyDescent="0.25">
      <c r="H488" s="11" t="str" cm="1">
        <f t="array" ref="H488">_xlfn.IFS(E488="","",E488="Grand Total",SUM(H$2:H487),TRUE,IF(COUNTIF(Transactions[Custom Category],E488)&gt;0,SUMIFS(Transactions[Amount],Transactions[Custom Category],E488,Transactions[Month],Sel_Month),SUMIFS(Transactions[Amount],Transactions[Name],E488,Transactions[Month],Sel_Month)))</f>
        <v/>
      </c>
      <c r="I488" s="12" t="str">
        <f t="shared" si="7"/>
        <v/>
      </c>
    </row>
    <row r="489" spans="8:9" x14ac:dyDescent="0.25">
      <c r="H489" s="11" t="str" cm="1">
        <f t="array" ref="H489">_xlfn.IFS(E489="","",E489="Grand Total",SUM(H$2:H488),TRUE,IF(COUNTIF(Transactions[Custom Category],E489)&gt;0,SUMIFS(Transactions[Amount],Transactions[Custom Category],E489,Transactions[Month],Sel_Month),SUMIFS(Transactions[Amount],Transactions[Name],E489,Transactions[Month],Sel_Month)))</f>
        <v/>
      </c>
      <c r="I489" s="12" t="str">
        <f t="shared" si="7"/>
        <v/>
      </c>
    </row>
    <row r="490" spans="8:9" x14ac:dyDescent="0.25">
      <c r="H490" s="11" t="str" cm="1">
        <f t="array" ref="H490">_xlfn.IFS(E490="","",E490="Grand Total",SUM(H$2:H489),TRUE,IF(COUNTIF(Transactions[Custom Category],E490)&gt;0,SUMIFS(Transactions[Amount],Transactions[Custom Category],E490,Transactions[Month],Sel_Month),SUMIFS(Transactions[Amount],Transactions[Name],E490,Transactions[Month],Sel_Month)))</f>
        <v/>
      </c>
      <c r="I490" s="12" t="str">
        <f t="shared" si="7"/>
        <v/>
      </c>
    </row>
    <row r="491" spans="8:9" x14ac:dyDescent="0.25">
      <c r="H491" s="11" t="str" cm="1">
        <f t="array" ref="H491">_xlfn.IFS(E491="","",E491="Grand Total",SUM(H$2:H490),TRUE,IF(COUNTIF(Transactions[Custom Category],E491)&gt;0,SUMIFS(Transactions[Amount],Transactions[Custom Category],E491,Transactions[Month],Sel_Month),SUMIFS(Transactions[Amount],Transactions[Name],E491,Transactions[Month],Sel_Month)))</f>
        <v/>
      </c>
      <c r="I491" s="12" t="str">
        <f t="shared" si="7"/>
        <v/>
      </c>
    </row>
    <row r="492" spans="8:9" x14ac:dyDescent="0.25">
      <c r="H492" s="11" t="str" cm="1">
        <f t="array" ref="H492">_xlfn.IFS(E492="","",E492="Grand Total",SUM(H$2:H491),TRUE,IF(COUNTIF(Transactions[Custom Category],E492)&gt;0,SUMIFS(Transactions[Amount],Transactions[Custom Category],E492,Transactions[Month],Sel_Month),SUMIFS(Transactions[Amount],Transactions[Name],E492,Transactions[Month],Sel_Month)))</f>
        <v/>
      </c>
      <c r="I492" s="12" t="str">
        <f t="shared" si="7"/>
        <v/>
      </c>
    </row>
    <row r="493" spans="8:9" x14ac:dyDescent="0.25">
      <c r="H493" s="11" t="str" cm="1">
        <f t="array" ref="H493">_xlfn.IFS(E493="","",E493="Grand Total",SUM(H$2:H492),TRUE,IF(COUNTIF(Transactions[Custom Category],E493)&gt;0,SUMIFS(Transactions[Amount],Transactions[Custom Category],E493,Transactions[Month],Sel_Month),SUMIFS(Transactions[Amount],Transactions[Name],E493,Transactions[Month],Sel_Month)))</f>
        <v/>
      </c>
      <c r="I493" s="12" t="str">
        <f t="shared" si="7"/>
        <v/>
      </c>
    </row>
    <row r="494" spans="8:9" x14ac:dyDescent="0.25">
      <c r="H494" s="11" t="str" cm="1">
        <f t="array" ref="H494">_xlfn.IFS(E494="","",E494="Grand Total",SUM(H$2:H493),TRUE,IF(COUNTIF(Transactions[Custom Category],E494)&gt;0,SUMIFS(Transactions[Amount],Transactions[Custom Category],E494,Transactions[Month],Sel_Month),SUMIFS(Transactions[Amount],Transactions[Name],E494,Transactions[Month],Sel_Month)))</f>
        <v/>
      </c>
      <c r="I494" s="12" t="str">
        <f t="shared" si="7"/>
        <v/>
      </c>
    </row>
    <row r="495" spans="8:9" x14ac:dyDescent="0.25">
      <c r="H495" s="11" t="str" cm="1">
        <f t="array" ref="H495">_xlfn.IFS(E495="","",E495="Grand Total",SUM(H$2:H494),TRUE,IF(COUNTIF(Transactions[Custom Category],E495)&gt;0,SUMIFS(Transactions[Amount],Transactions[Custom Category],E495,Transactions[Month],Sel_Month),SUMIFS(Transactions[Amount],Transactions[Name],E495,Transactions[Month],Sel_Month)))</f>
        <v/>
      </c>
      <c r="I495" s="12" t="str">
        <f t="shared" si="7"/>
        <v/>
      </c>
    </row>
    <row r="496" spans="8:9" x14ac:dyDescent="0.25">
      <c r="H496" s="11" t="str" cm="1">
        <f t="array" ref="H496">_xlfn.IFS(E496="","",E496="Grand Total",SUM(H$2:H495),TRUE,IF(COUNTIF(Transactions[Custom Category],E496)&gt;0,SUMIFS(Transactions[Amount],Transactions[Custom Category],E496,Transactions[Month],Sel_Month),SUMIFS(Transactions[Amount],Transactions[Name],E496,Transactions[Month],Sel_Month)))</f>
        <v/>
      </c>
      <c r="I496" s="12" t="str">
        <f t="shared" si="7"/>
        <v/>
      </c>
    </row>
    <row r="497" spans="8:9" x14ac:dyDescent="0.25">
      <c r="H497" s="11" t="str" cm="1">
        <f t="array" ref="H497">_xlfn.IFS(E497="","",E497="Grand Total",SUM(H$2:H496),TRUE,IF(COUNTIF(Transactions[Custom Category],E497)&gt;0,SUMIFS(Transactions[Amount],Transactions[Custom Category],E497,Transactions[Month],Sel_Month),SUMIFS(Transactions[Amount],Transactions[Name],E497,Transactions[Month],Sel_Month)))</f>
        <v/>
      </c>
      <c r="I497" s="12" t="str">
        <f t="shared" si="7"/>
        <v/>
      </c>
    </row>
    <row r="498" spans="8:9" x14ac:dyDescent="0.25">
      <c r="H498" s="11" t="str" cm="1">
        <f t="array" ref="H498">_xlfn.IFS(E498="","",E498="Grand Total",SUM(H$2:H497),TRUE,IF(COUNTIF(Transactions[Custom Category],E498)&gt;0,SUMIFS(Transactions[Amount],Transactions[Custom Category],E498,Transactions[Month],Sel_Month),SUMIFS(Transactions[Amount],Transactions[Name],E498,Transactions[Month],Sel_Month)))</f>
        <v/>
      </c>
      <c r="I498" s="12" t="str">
        <f t="shared" si="7"/>
        <v/>
      </c>
    </row>
    <row r="499" spans="8:9" x14ac:dyDescent="0.25">
      <c r="H499" s="11" t="str" cm="1">
        <f t="array" ref="H499">_xlfn.IFS(E499="","",E499="Grand Total",SUM(H$2:H498),TRUE,IF(COUNTIF(Transactions[Custom Category],E499)&gt;0,SUMIFS(Transactions[Amount],Transactions[Custom Category],E499,Transactions[Month],Sel_Month),SUMIFS(Transactions[Amount],Transactions[Name],E499,Transactions[Month],Sel_Month)))</f>
        <v/>
      </c>
      <c r="I499" s="12" t="str">
        <f t="shared" si="7"/>
        <v/>
      </c>
    </row>
    <row r="500" spans="8:9" x14ac:dyDescent="0.25">
      <c r="H500" s="11" t="str" cm="1">
        <f t="array" ref="H500">_xlfn.IFS(E500="","",E500="Grand Total",SUM(H$2:H499),TRUE,IF(COUNTIF(Transactions[Custom Category],E500)&gt;0,SUMIFS(Transactions[Amount],Transactions[Custom Category],E500,Transactions[Month],Sel_Month),SUMIFS(Transactions[Amount],Transactions[Name],E500,Transactions[Month],Sel_Month)))</f>
        <v/>
      </c>
      <c r="I500" s="12" t="str">
        <f t="shared" si="7"/>
        <v/>
      </c>
    </row>
    <row r="501" spans="8:9" x14ac:dyDescent="0.25">
      <c r="H501" s="11" t="str" cm="1">
        <f t="array" ref="H501">_xlfn.IFS(E501="","",E501="Grand Total",SUM(H$2:H500),TRUE,IF(COUNTIF(Transactions[Custom Category],E501)&gt;0,SUMIFS(Transactions[Amount],Transactions[Custom Category],E501,Transactions[Month],Sel_Month),SUMIFS(Transactions[Amount],Transactions[Name],E501,Transactions[Month],Sel_Month)))</f>
        <v/>
      </c>
      <c r="I501" s="12" t="str">
        <f t="shared" si="7"/>
        <v/>
      </c>
    </row>
    <row r="502" spans="8:9" x14ac:dyDescent="0.25">
      <c r="H502" s="11" t="str" cm="1">
        <f t="array" ref="H502">_xlfn.IFS(E502="","",E502="Grand Total",SUM(H$2:H501),TRUE,IF(COUNTIF(Transactions[Custom Category],E502)&gt;0,SUMIFS(Transactions[Amount],Transactions[Custom Category],E502,Transactions[Month],Sel_Month),SUMIFS(Transactions[Amount],Transactions[Name],E502,Transactions[Month],Sel_Month)))</f>
        <v/>
      </c>
      <c r="I502" s="12" t="str">
        <f t="shared" si="7"/>
        <v/>
      </c>
    </row>
    <row r="503" spans="8:9" x14ac:dyDescent="0.25">
      <c r="H503" s="11" t="str" cm="1">
        <f t="array" ref="H503">_xlfn.IFS(E503="","",E503="Grand Total",SUM(H$2:H502),TRUE,IF(COUNTIF(Transactions[Custom Category],E503)&gt;0,SUMIFS(Transactions[Amount],Transactions[Custom Category],E503,Transactions[Month],Sel_Month),SUMIFS(Transactions[Amount],Transactions[Name],E503,Transactions[Month],Sel_Month)))</f>
        <v/>
      </c>
      <c r="I503" s="12" t="str">
        <f t="shared" si="7"/>
        <v/>
      </c>
    </row>
    <row r="504" spans="8:9" x14ac:dyDescent="0.25">
      <c r="H504" s="11" t="str" cm="1">
        <f t="array" ref="H504">_xlfn.IFS(E504="","",E504="Grand Total",SUM(H$2:H503),TRUE,IF(COUNTIF(Transactions[Custom Category],E504)&gt;0,SUMIFS(Transactions[Amount],Transactions[Custom Category],E504,Transactions[Month],Sel_Month),SUMIFS(Transactions[Amount],Transactions[Name],E504,Transactions[Month],Sel_Month)))</f>
        <v/>
      </c>
      <c r="I504" s="12" t="str">
        <f t="shared" si="7"/>
        <v/>
      </c>
    </row>
    <row r="505" spans="8:9" x14ac:dyDescent="0.25">
      <c r="H505" s="11" t="str" cm="1">
        <f t="array" ref="H505">_xlfn.IFS(E505="","",E505="Grand Total",SUM(H$2:H504),TRUE,IF(COUNTIF(Transactions[Custom Category],E505)&gt;0,SUMIFS(Transactions[Amount],Transactions[Custom Category],E505,Transactions[Month],Sel_Month),SUMIFS(Transactions[Amount],Transactions[Name],E505,Transactions[Month],Sel_Month)))</f>
        <v/>
      </c>
      <c r="I505" s="12" t="str">
        <f t="shared" si="7"/>
        <v/>
      </c>
    </row>
    <row r="506" spans="8:9" x14ac:dyDescent="0.25">
      <c r="H506" s="11" t="str" cm="1">
        <f t="array" ref="H506">_xlfn.IFS(E506="","",E506="Grand Total",SUM(H$2:H505),TRUE,IF(COUNTIF(Transactions[Custom Category],E506)&gt;0,SUMIFS(Transactions[Amount],Transactions[Custom Category],E506,Transactions[Month],Sel_Month),SUMIFS(Transactions[Amount],Transactions[Name],E506,Transactions[Month],Sel_Month)))</f>
        <v/>
      </c>
      <c r="I506" s="12" t="str">
        <f t="shared" si="7"/>
        <v/>
      </c>
    </row>
    <row r="507" spans="8:9" x14ac:dyDescent="0.25">
      <c r="H507" s="11" t="str" cm="1">
        <f t="array" ref="H507">_xlfn.IFS(E507="","",E507="Grand Total",SUM(H$2:H506),TRUE,IF(COUNTIF(Transactions[Custom Category],E507)&gt;0,SUMIFS(Transactions[Amount],Transactions[Custom Category],E507,Transactions[Month],Sel_Month),SUMIFS(Transactions[Amount],Transactions[Name],E507,Transactions[Month],Sel_Month)))</f>
        <v/>
      </c>
      <c r="I507" s="12" t="str">
        <f t="shared" si="7"/>
        <v/>
      </c>
    </row>
    <row r="508" spans="8:9" x14ac:dyDescent="0.25">
      <c r="H508" s="11" t="str" cm="1">
        <f t="array" ref="H508">_xlfn.IFS(E508="","",E508="Grand Total",SUM(H$2:H507),TRUE,IF(COUNTIF(Transactions[Custom Category],E508)&gt;0,SUMIFS(Transactions[Amount],Transactions[Custom Category],E508,Transactions[Month],Sel_Month),SUMIFS(Transactions[Amount],Transactions[Name],E508,Transactions[Month],Sel_Month)))</f>
        <v/>
      </c>
      <c r="I508" s="12" t="str">
        <f t="shared" si="7"/>
        <v/>
      </c>
    </row>
    <row r="509" spans="8:9" x14ac:dyDescent="0.25">
      <c r="H509" s="11" t="str" cm="1">
        <f t="array" ref="H509">_xlfn.IFS(E509="","",E509="Grand Total",SUM(H$2:H508),TRUE,IF(COUNTIF(Transactions[Custom Category],E509)&gt;0,SUMIFS(Transactions[Amount],Transactions[Custom Category],E509,Transactions[Month],Sel_Month),SUMIFS(Transactions[Amount],Transactions[Name],E509,Transactions[Month],Sel_Month)))</f>
        <v/>
      </c>
      <c r="I509" s="12" t="str">
        <f t="shared" si="7"/>
        <v/>
      </c>
    </row>
    <row r="510" spans="8:9" x14ac:dyDescent="0.25">
      <c r="H510" s="11" t="str" cm="1">
        <f t="array" ref="H510">_xlfn.IFS(E510="","",E510="Grand Total",SUM(H$2:H509),TRUE,IF(COUNTIF(Transactions[Custom Category],E510)&gt;0,SUMIFS(Transactions[Amount],Transactions[Custom Category],E510,Transactions[Month],Sel_Month),SUMIFS(Transactions[Amount],Transactions[Name],E510,Transactions[Month],Sel_Month)))</f>
        <v/>
      </c>
      <c r="I510" s="12" t="str">
        <f t="shared" si="7"/>
        <v/>
      </c>
    </row>
    <row r="511" spans="8:9" x14ac:dyDescent="0.25">
      <c r="H511" s="11" t="str" cm="1">
        <f t="array" ref="H511">_xlfn.IFS(E511="","",E511="Grand Total",SUM(H$2:H510),TRUE,IF(COUNTIF(Transactions[Custom Category],E511)&gt;0,SUMIFS(Transactions[Amount],Transactions[Custom Category],E511,Transactions[Month],Sel_Month),SUMIFS(Transactions[Amount],Transactions[Name],E511,Transactions[Month],Sel_Month)))</f>
        <v/>
      </c>
      <c r="I511" s="12" t="str">
        <f t="shared" si="7"/>
        <v/>
      </c>
    </row>
    <row r="512" spans="8:9" x14ac:dyDescent="0.25">
      <c r="H512" s="11" t="str" cm="1">
        <f t="array" ref="H512">_xlfn.IFS(E512="","",E512="Grand Total",SUM(H$2:H511),TRUE,IF(COUNTIF(Transactions[Custom Category],E512)&gt;0,SUMIFS(Transactions[Amount],Transactions[Custom Category],E512,Transactions[Month],Sel_Month),SUMIFS(Transactions[Amount],Transactions[Name],E512,Transactions[Month],Sel_Month)))</f>
        <v/>
      </c>
      <c r="I512" s="12" t="str">
        <f t="shared" si="7"/>
        <v/>
      </c>
    </row>
    <row r="513" spans="8:9" x14ac:dyDescent="0.25">
      <c r="H513" s="11" t="str" cm="1">
        <f t="array" ref="H513">_xlfn.IFS(E513="","",E513="Grand Total",SUM(H$2:H512),TRUE,IF(COUNTIF(Transactions[Custom Category],E513)&gt;0,SUMIFS(Transactions[Amount],Transactions[Custom Category],E513,Transactions[Month],Sel_Month),SUMIFS(Transactions[Amount],Transactions[Name],E513,Transactions[Month],Sel_Month)))</f>
        <v/>
      </c>
      <c r="I513" s="12" t="str">
        <f t="shared" si="7"/>
        <v/>
      </c>
    </row>
    <row r="514" spans="8:9" x14ac:dyDescent="0.25">
      <c r="H514" s="11" t="str" cm="1">
        <f t="array" ref="H514">_xlfn.IFS(E514="","",E514="Grand Total",SUM(H$2:H513),TRUE,IF(COUNTIF(Transactions[Custom Category],E514)&gt;0,SUMIFS(Transactions[Amount],Transactions[Custom Category],E514,Transactions[Month],Sel_Month),SUMIFS(Transactions[Amount],Transactions[Name],E514,Transactions[Month],Sel_Month)))</f>
        <v/>
      </c>
      <c r="I514" s="12" t="str">
        <f t="shared" si="7"/>
        <v/>
      </c>
    </row>
    <row r="515" spans="8:9" x14ac:dyDescent="0.25">
      <c r="H515" s="11" t="str" cm="1">
        <f t="array" ref="H515">_xlfn.IFS(E515="","",E515="Grand Total",SUM(H$2:H514),TRUE,IF(COUNTIF(Transactions[Custom Category],E515)&gt;0,SUMIFS(Transactions[Amount],Transactions[Custom Category],E515,Transactions[Month],Sel_Month),SUMIFS(Transactions[Amount],Transactions[Name],E515,Transactions[Month],Sel_Month)))</f>
        <v/>
      </c>
      <c r="I515" s="12" t="str">
        <f t="shared" si="7"/>
        <v/>
      </c>
    </row>
    <row r="516" spans="8:9" x14ac:dyDescent="0.25">
      <c r="H516" s="11" t="str" cm="1">
        <f t="array" ref="H516">_xlfn.IFS(E516="","",E516="Grand Total",SUM(H$2:H515),TRUE,IF(COUNTIF(Transactions[Custom Category],E516)&gt;0,SUMIFS(Transactions[Amount],Transactions[Custom Category],E516,Transactions[Month],Sel_Month),SUMIFS(Transactions[Amount],Transactions[Name],E516,Transactions[Month],Sel_Month)))</f>
        <v/>
      </c>
      <c r="I516" s="12" t="str">
        <f t="shared" ref="I516:I579" si="8">IF(G516="","",IF(G516=0,0,1-((G516-H516)/G516)))</f>
        <v/>
      </c>
    </row>
    <row r="517" spans="8:9" x14ac:dyDescent="0.25">
      <c r="H517" s="11" t="str" cm="1">
        <f t="array" ref="H517">_xlfn.IFS(E517="","",E517="Grand Total",SUM(H$2:H516),TRUE,IF(COUNTIF(Transactions[Custom Category],E517)&gt;0,SUMIFS(Transactions[Amount],Transactions[Custom Category],E517,Transactions[Month],Sel_Month),SUMIFS(Transactions[Amount],Transactions[Name],E517,Transactions[Month],Sel_Month)))</f>
        <v/>
      </c>
      <c r="I517" s="12" t="str">
        <f t="shared" si="8"/>
        <v/>
      </c>
    </row>
    <row r="518" spans="8:9" x14ac:dyDescent="0.25">
      <c r="H518" s="11" t="str" cm="1">
        <f t="array" ref="H518">_xlfn.IFS(E518="","",E518="Grand Total",SUM(H$2:H517),TRUE,IF(COUNTIF(Transactions[Custom Category],E518)&gt;0,SUMIFS(Transactions[Amount],Transactions[Custom Category],E518,Transactions[Month],Sel_Month),SUMIFS(Transactions[Amount],Transactions[Name],E518,Transactions[Month],Sel_Month)))</f>
        <v/>
      </c>
      <c r="I518" s="12" t="str">
        <f t="shared" si="8"/>
        <v/>
      </c>
    </row>
    <row r="519" spans="8:9" x14ac:dyDescent="0.25">
      <c r="H519" s="11" t="str" cm="1">
        <f t="array" ref="H519">_xlfn.IFS(E519="","",E519="Grand Total",SUM(H$2:H518),TRUE,IF(COUNTIF(Transactions[Custom Category],E519)&gt;0,SUMIFS(Transactions[Amount],Transactions[Custom Category],E519,Transactions[Month],Sel_Month),SUMIFS(Transactions[Amount],Transactions[Name],E519,Transactions[Month],Sel_Month)))</f>
        <v/>
      </c>
      <c r="I519" s="12" t="str">
        <f t="shared" si="8"/>
        <v/>
      </c>
    </row>
    <row r="520" spans="8:9" x14ac:dyDescent="0.25">
      <c r="H520" s="11" t="str" cm="1">
        <f t="array" ref="H520">_xlfn.IFS(E520="","",E520="Grand Total",SUM(H$2:H519),TRUE,IF(COUNTIF(Transactions[Custom Category],E520)&gt;0,SUMIFS(Transactions[Amount],Transactions[Custom Category],E520,Transactions[Month],Sel_Month),SUMIFS(Transactions[Amount],Transactions[Name],E520,Transactions[Month],Sel_Month)))</f>
        <v/>
      </c>
      <c r="I520" s="12" t="str">
        <f t="shared" si="8"/>
        <v/>
      </c>
    </row>
    <row r="521" spans="8:9" x14ac:dyDescent="0.25">
      <c r="H521" s="11" t="str" cm="1">
        <f t="array" ref="H521">_xlfn.IFS(E521="","",E521="Grand Total",SUM(H$2:H520),TRUE,IF(COUNTIF(Transactions[Custom Category],E521)&gt;0,SUMIFS(Transactions[Amount],Transactions[Custom Category],E521,Transactions[Month],Sel_Month),SUMIFS(Transactions[Amount],Transactions[Name],E521,Transactions[Month],Sel_Month)))</f>
        <v/>
      </c>
      <c r="I521" s="12" t="str">
        <f t="shared" si="8"/>
        <v/>
      </c>
    </row>
    <row r="522" spans="8:9" x14ac:dyDescent="0.25">
      <c r="H522" s="11" t="str" cm="1">
        <f t="array" ref="H522">_xlfn.IFS(E522="","",E522="Grand Total",SUM(H$2:H521),TRUE,IF(COUNTIF(Transactions[Custom Category],E522)&gt;0,SUMIFS(Transactions[Amount],Transactions[Custom Category],E522,Transactions[Month],Sel_Month),SUMIFS(Transactions[Amount],Transactions[Name],E522,Transactions[Month],Sel_Month)))</f>
        <v/>
      </c>
      <c r="I522" s="12" t="str">
        <f t="shared" si="8"/>
        <v/>
      </c>
    </row>
    <row r="523" spans="8:9" x14ac:dyDescent="0.25">
      <c r="H523" s="11" t="str" cm="1">
        <f t="array" ref="H523">_xlfn.IFS(E523="","",E523="Grand Total",SUM(H$2:H522),TRUE,IF(COUNTIF(Transactions[Custom Category],E523)&gt;0,SUMIFS(Transactions[Amount],Transactions[Custom Category],E523,Transactions[Month],Sel_Month),SUMIFS(Transactions[Amount],Transactions[Name],E523,Transactions[Month],Sel_Month)))</f>
        <v/>
      </c>
      <c r="I523" s="12" t="str">
        <f t="shared" si="8"/>
        <v/>
      </c>
    </row>
    <row r="524" spans="8:9" x14ac:dyDescent="0.25">
      <c r="H524" s="11" t="str" cm="1">
        <f t="array" ref="H524">_xlfn.IFS(E524="","",E524="Grand Total",SUM(H$2:H523),TRUE,IF(COUNTIF(Transactions[Custom Category],E524)&gt;0,SUMIFS(Transactions[Amount],Transactions[Custom Category],E524,Transactions[Month],Sel_Month),SUMIFS(Transactions[Amount],Transactions[Name],E524,Transactions[Month],Sel_Month)))</f>
        <v/>
      </c>
      <c r="I524" s="12" t="str">
        <f t="shared" si="8"/>
        <v/>
      </c>
    </row>
    <row r="525" spans="8:9" x14ac:dyDescent="0.25">
      <c r="H525" s="11" t="str" cm="1">
        <f t="array" ref="H525">_xlfn.IFS(E525="","",E525="Grand Total",SUM(H$2:H524),TRUE,IF(COUNTIF(Transactions[Custom Category],E525)&gt;0,SUMIFS(Transactions[Amount],Transactions[Custom Category],E525,Transactions[Month],Sel_Month),SUMIFS(Transactions[Amount],Transactions[Name],E525,Transactions[Month],Sel_Month)))</f>
        <v/>
      </c>
      <c r="I525" s="12" t="str">
        <f t="shared" si="8"/>
        <v/>
      </c>
    </row>
    <row r="526" spans="8:9" x14ac:dyDescent="0.25">
      <c r="H526" s="11" t="str" cm="1">
        <f t="array" ref="H526">_xlfn.IFS(E526="","",E526="Grand Total",SUM(H$2:H525),TRUE,IF(COUNTIF(Transactions[Custom Category],E526)&gt;0,SUMIFS(Transactions[Amount],Transactions[Custom Category],E526,Transactions[Month],Sel_Month),SUMIFS(Transactions[Amount],Transactions[Name],E526,Transactions[Month],Sel_Month)))</f>
        <v/>
      </c>
      <c r="I526" s="12" t="str">
        <f t="shared" si="8"/>
        <v/>
      </c>
    </row>
    <row r="527" spans="8:9" x14ac:dyDescent="0.25">
      <c r="H527" s="11" t="str" cm="1">
        <f t="array" ref="H527">_xlfn.IFS(E527="","",E527="Grand Total",SUM(H$2:H526),TRUE,IF(COUNTIF(Transactions[Custom Category],E527)&gt;0,SUMIFS(Transactions[Amount],Transactions[Custom Category],E527,Transactions[Month],Sel_Month),SUMIFS(Transactions[Amount],Transactions[Name],E527,Transactions[Month],Sel_Month)))</f>
        <v/>
      </c>
      <c r="I527" s="12" t="str">
        <f t="shared" si="8"/>
        <v/>
      </c>
    </row>
    <row r="528" spans="8:9" x14ac:dyDescent="0.25">
      <c r="H528" s="11" t="str" cm="1">
        <f t="array" ref="H528">_xlfn.IFS(E528="","",E528="Grand Total",SUM(H$2:H527),TRUE,IF(COUNTIF(Transactions[Custom Category],E528)&gt;0,SUMIFS(Transactions[Amount],Transactions[Custom Category],E528,Transactions[Month],Sel_Month),SUMIFS(Transactions[Amount],Transactions[Name],E528,Transactions[Month],Sel_Month)))</f>
        <v/>
      </c>
      <c r="I528" s="12" t="str">
        <f t="shared" si="8"/>
        <v/>
      </c>
    </row>
    <row r="529" spans="8:9" x14ac:dyDescent="0.25">
      <c r="H529" s="11" t="str" cm="1">
        <f t="array" ref="H529">_xlfn.IFS(E529="","",E529="Grand Total",SUM(H$2:H528),TRUE,IF(COUNTIF(Transactions[Custom Category],E529)&gt;0,SUMIFS(Transactions[Amount],Transactions[Custom Category],E529,Transactions[Month],Sel_Month),SUMIFS(Transactions[Amount],Transactions[Name],E529,Transactions[Month],Sel_Month)))</f>
        <v/>
      </c>
      <c r="I529" s="12" t="str">
        <f t="shared" si="8"/>
        <v/>
      </c>
    </row>
    <row r="530" spans="8:9" x14ac:dyDescent="0.25">
      <c r="H530" s="11" t="str" cm="1">
        <f t="array" ref="H530">_xlfn.IFS(E530="","",E530="Grand Total",SUM(H$2:H529),TRUE,IF(COUNTIF(Transactions[Custom Category],E530)&gt;0,SUMIFS(Transactions[Amount],Transactions[Custom Category],E530,Transactions[Month],Sel_Month),SUMIFS(Transactions[Amount],Transactions[Name],E530,Transactions[Month],Sel_Month)))</f>
        <v/>
      </c>
      <c r="I530" s="12" t="str">
        <f t="shared" si="8"/>
        <v/>
      </c>
    </row>
    <row r="531" spans="8:9" x14ac:dyDescent="0.25">
      <c r="H531" s="11" t="str" cm="1">
        <f t="array" ref="H531">_xlfn.IFS(E531="","",E531="Grand Total",SUM(H$2:H530),TRUE,IF(COUNTIF(Transactions[Custom Category],E531)&gt;0,SUMIFS(Transactions[Amount],Transactions[Custom Category],E531,Transactions[Month],Sel_Month),SUMIFS(Transactions[Amount],Transactions[Name],E531,Transactions[Month],Sel_Month)))</f>
        <v/>
      </c>
      <c r="I531" s="12" t="str">
        <f t="shared" si="8"/>
        <v/>
      </c>
    </row>
    <row r="532" spans="8:9" x14ac:dyDescent="0.25">
      <c r="H532" s="11" t="str" cm="1">
        <f t="array" ref="H532">_xlfn.IFS(E532="","",E532="Grand Total",SUM(H$2:H531),TRUE,IF(COUNTIF(Transactions[Custom Category],E532)&gt;0,SUMIFS(Transactions[Amount],Transactions[Custom Category],E532,Transactions[Month],Sel_Month),SUMIFS(Transactions[Amount],Transactions[Name],E532,Transactions[Month],Sel_Month)))</f>
        <v/>
      </c>
      <c r="I532" s="12" t="str">
        <f t="shared" si="8"/>
        <v/>
      </c>
    </row>
    <row r="533" spans="8:9" x14ac:dyDescent="0.25">
      <c r="H533" s="11" t="str" cm="1">
        <f t="array" ref="H533">_xlfn.IFS(E533="","",E533="Grand Total",SUM(H$2:H532),TRUE,IF(COUNTIF(Transactions[Custom Category],E533)&gt;0,SUMIFS(Transactions[Amount],Transactions[Custom Category],E533,Transactions[Month],Sel_Month),SUMIFS(Transactions[Amount],Transactions[Name],E533,Transactions[Month],Sel_Month)))</f>
        <v/>
      </c>
      <c r="I533" s="12" t="str">
        <f t="shared" si="8"/>
        <v/>
      </c>
    </row>
    <row r="534" spans="8:9" x14ac:dyDescent="0.25">
      <c r="H534" s="11" t="str" cm="1">
        <f t="array" ref="H534">_xlfn.IFS(E534="","",E534="Grand Total",SUM(H$2:H533),TRUE,IF(COUNTIF(Transactions[Custom Category],E534)&gt;0,SUMIFS(Transactions[Amount],Transactions[Custom Category],E534,Transactions[Month],Sel_Month),SUMIFS(Transactions[Amount],Transactions[Name],E534,Transactions[Month],Sel_Month)))</f>
        <v/>
      </c>
      <c r="I534" s="12" t="str">
        <f t="shared" si="8"/>
        <v/>
      </c>
    </row>
    <row r="535" spans="8:9" x14ac:dyDescent="0.25">
      <c r="H535" s="11" t="str" cm="1">
        <f t="array" ref="H535">_xlfn.IFS(E535="","",E535="Grand Total",SUM(H$2:H534),TRUE,IF(COUNTIF(Transactions[Custom Category],E535)&gt;0,SUMIFS(Transactions[Amount],Transactions[Custom Category],E535,Transactions[Month],Sel_Month),SUMIFS(Transactions[Amount],Transactions[Name],E535,Transactions[Month],Sel_Month)))</f>
        <v/>
      </c>
      <c r="I535" s="12" t="str">
        <f t="shared" si="8"/>
        <v/>
      </c>
    </row>
    <row r="536" spans="8:9" x14ac:dyDescent="0.25">
      <c r="H536" s="11" t="str" cm="1">
        <f t="array" ref="H536">_xlfn.IFS(E536="","",E536="Grand Total",SUM(H$2:H535),TRUE,IF(COUNTIF(Transactions[Custom Category],E536)&gt;0,SUMIFS(Transactions[Amount],Transactions[Custom Category],E536,Transactions[Month],Sel_Month),SUMIFS(Transactions[Amount],Transactions[Name],E536,Transactions[Month],Sel_Month)))</f>
        <v/>
      </c>
      <c r="I536" s="12" t="str">
        <f t="shared" si="8"/>
        <v/>
      </c>
    </row>
    <row r="537" spans="8:9" x14ac:dyDescent="0.25">
      <c r="H537" s="11" t="str" cm="1">
        <f t="array" ref="H537">_xlfn.IFS(E537="","",E537="Grand Total",SUM(H$2:H536),TRUE,IF(COUNTIF(Transactions[Custom Category],E537)&gt;0,SUMIFS(Transactions[Amount],Transactions[Custom Category],E537,Transactions[Month],Sel_Month),SUMIFS(Transactions[Amount],Transactions[Name],E537,Transactions[Month],Sel_Month)))</f>
        <v/>
      </c>
      <c r="I537" s="12" t="str">
        <f t="shared" si="8"/>
        <v/>
      </c>
    </row>
    <row r="538" spans="8:9" x14ac:dyDescent="0.25">
      <c r="H538" s="11" t="str" cm="1">
        <f t="array" ref="H538">_xlfn.IFS(E538="","",E538="Grand Total",SUM(H$2:H537),TRUE,IF(COUNTIF(Transactions[Custom Category],E538)&gt;0,SUMIFS(Transactions[Amount],Transactions[Custom Category],E538,Transactions[Month],Sel_Month),SUMIFS(Transactions[Amount],Transactions[Name],E538,Transactions[Month],Sel_Month)))</f>
        <v/>
      </c>
      <c r="I538" s="12" t="str">
        <f t="shared" si="8"/>
        <v/>
      </c>
    </row>
    <row r="539" spans="8:9" x14ac:dyDescent="0.25">
      <c r="H539" s="11" t="str" cm="1">
        <f t="array" ref="H539">_xlfn.IFS(E539="","",E539="Grand Total",SUM(H$2:H538),TRUE,IF(COUNTIF(Transactions[Custom Category],E539)&gt;0,SUMIFS(Transactions[Amount],Transactions[Custom Category],E539,Transactions[Month],Sel_Month),SUMIFS(Transactions[Amount],Transactions[Name],E539,Transactions[Month],Sel_Month)))</f>
        <v/>
      </c>
      <c r="I539" s="12" t="str">
        <f t="shared" si="8"/>
        <v/>
      </c>
    </row>
    <row r="540" spans="8:9" x14ac:dyDescent="0.25">
      <c r="H540" s="11" t="str" cm="1">
        <f t="array" ref="H540">_xlfn.IFS(E540="","",E540="Grand Total",SUM(H$2:H539),TRUE,IF(COUNTIF(Transactions[Custom Category],E540)&gt;0,SUMIFS(Transactions[Amount],Transactions[Custom Category],E540,Transactions[Month],Sel_Month),SUMIFS(Transactions[Amount],Transactions[Name],E540,Transactions[Month],Sel_Month)))</f>
        <v/>
      </c>
      <c r="I540" s="12" t="str">
        <f t="shared" si="8"/>
        <v/>
      </c>
    </row>
    <row r="541" spans="8:9" x14ac:dyDescent="0.25">
      <c r="H541" s="11" t="str" cm="1">
        <f t="array" ref="H541">_xlfn.IFS(E541="","",E541="Grand Total",SUM(H$2:H540),TRUE,IF(COUNTIF(Transactions[Custom Category],E541)&gt;0,SUMIFS(Transactions[Amount],Transactions[Custom Category],E541,Transactions[Month],Sel_Month),SUMIFS(Transactions[Amount],Transactions[Name],E541,Transactions[Month],Sel_Month)))</f>
        <v/>
      </c>
      <c r="I541" s="12" t="str">
        <f t="shared" si="8"/>
        <v/>
      </c>
    </row>
    <row r="542" spans="8:9" x14ac:dyDescent="0.25">
      <c r="H542" s="11" t="str" cm="1">
        <f t="array" ref="H542">_xlfn.IFS(E542="","",E542="Grand Total",SUM(H$2:H541),TRUE,IF(COUNTIF(Transactions[Custom Category],E542)&gt;0,SUMIFS(Transactions[Amount],Transactions[Custom Category],E542,Transactions[Month],Sel_Month),SUMIFS(Transactions[Amount],Transactions[Name],E542,Transactions[Month],Sel_Month)))</f>
        <v/>
      </c>
      <c r="I542" s="12" t="str">
        <f t="shared" si="8"/>
        <v/>
      </c>
    </row>
    <row r="543" spans="8:9" x14ac:dyDescent="0.25">
      <c r="H543" s="11" t="str" cm="1">
        <f t="array" ref="H543">_xlfn.IFS(E543="","",E543="Grand Total",SUM(H$2:H542),TRUE,IF(COUNTIF(Transactions[Custom Category],E543)&gt;0,SUMIFS(Transactions[Amount],Transactions[Custom Category],E543,Transactions[Month],Sel_Month),SUMIFS(Transactions[Amount],Transactions[Name],E543,Transactions[Month],Sel_Month)))</f>
        <v/>
      </c>
      <c r="I543" s="12" t="str">
        <f t="shared" si="8"/>
        <v/>
      </c>
    </row>
    <row r="544" spans="8:9" x14ac:dyDescent="0.25">
      <c r="H544" s="11" t="str" cm="1">
        <f t="array" ref="H544">_xlfn.IFS(E544="","",E544="Grand Total",SUM(H$2:H543),TRUE,IF(COUNTIF(Transactions[Custom Category],E544)&gt;0,SUMIFS(Transactions[Amount],Transactions[Custom Category],E544,Transactions[Month],Sel_Month),SUMIFS(Transactions[Amount],Transactions[Name],E544,Transactions[Month],Sel_Month)))</f>
        <v/>
      </c>
      <c r="I544" s="12" t="str">
        <f t="shared" si="8"/>
        <v/>
      </c>
    </row>
    <row r="545" spans="8:9" x14ac:dyDescent="0.25">
      <c r="H545" s="11" t="str" cm="1">
        <f t="array" ref="H545">_xlfn.IFS(E545="","",E545="Grand Total",SUM(H$2:H544),TRUE,IF(COUNTIF(Transactions[Custom Category],E545)&gt;0,SUMIFS(Transactions[Amount],Transactions[Custom Category],E545,Transactions[Month],Sel_Month),SUMIFS(Transactions[Amount],Transactions[Name],E545,Transactions[Month],Sel_Month)))</f>
        <v/>
      </c>
      <c r="I545" s="12" t="str">
        <f t="shared" si="8"/>
        <v/>
      </c>
    </row>
    <row r="546" spans="8:9" x14ac:dyDescent="0.25">
      <c r="H546" s="11" t="str" cm="1">
        <f t="array" ref="H546">_xlfn.IFS(E546="","",E546="Grand Total",SUM(H$2:H545),TRUE,IF(COUNTIF(Transactions[Custom Category],E546)&gt;0,SUMIFS(Transactions[Amount],Transactions[Custom Category],E546,Transactions[Month],Sel_Month),SUMIFS(Transactions[Amount],Transactions[Name],E546,Transactions[Month],Sel_Month)))</f>
        <v/>
      </c>
      <c r="I546" s="12" t="str">
        <f t="shared" si="8"/>
        <v/>
      </c>
    </row>
    <row r="547" spans="8:9" x14ac:dyDescent="0.25">
      <c r="H547" s="11" t="str" cm="1">
        <f t="array" ref="H547">_xlfn.IFS(E547="","",E547="Grand Total",SUM(H$2:H546),TRUE,IF(COUNTIF(Transactions[Custom Category],E547)&gt;0,SUMIFS(Transactions[Amount],Transactions[Custom Category],E547,Transactions[Month],Sel_Month),SUMIFS(Transactions[Amount],Transactions[Name],E547,Transactions[Month],Sel_Month)))</f>
        <v/>
      </c>
      <c r="I547" s="12" t="str">
        <f t="shared" si="8"/>
        <v/>
      </c>
    </row>
    <row r="548" spans="8:9" x14ac:dyDescent="0.25">
      <c r="H548" s="11" t="str" cm="1">
        <f t="array" ref="H548">_xlfn.IFS(E548="","",E548="Grand Total",SUM(H$2:H547),TRUE,IF(COUNTIF(Transactions[Custom Category],E548)&gt;0,SUMIFS(Transactions[Amount],Transactions[Custom Category],E548,Transactions[Month],Sel_Month),SUMIFS(Transactions[Amount],Transactions[Name],E548,Transactions[Month],Sel_Month)))</f>
        <v/>
      </c>
      <c r="I548" s="12" t="str">
        <f t="shared" si="8"/>
        <v/>
      </c>
    </row>
    <row r="549" spans="8:9" x14ac:dyDescent="0.25">
      <c r="H549" s="11" t="str" cm="1">
        <f t="array" ref="H549">_xlfn.IFS(E549="","",E549="Grand Total",SUM(H$2:H548),TRUE,IF(COUNTIF(Transactions[Custom Category],E549)&gt;0,SUMIFS(Transactions[Amount],Transactions[Custom Category],E549,Transactions[Month],Sel_Month),SUMIFS(Transactions[Amount],Transactions[Name],E549,Transactions[Month],Sel_Month)))</f>
        <v/>
      </c>
      <c r="I549" s="12" t="str">
        <f t="shared" si="8"/>
        <v/>
      </c>
    </row>
    <row r="550" spans="8:9" x14ac:dyDescent="0.25">
      <c r="H550" s="11" t="str" cm="1">
        <f t="array" ref="H550">_xlfn.IFS(E550="","",E550="Grand Total",SUM(H$2:H549),TRUE,IF(COUNTIF(Transactions[Custom Category],E550)&gt;0,SUMIFS(Transactions[Amount],Transactions[Custom Category],E550,Transactions[Month],Sel_Month),SUMIFS(Transactions[Amount],Transactions[Name],E550,Transactions[Month],Sel_Month)))</f>
        <v/>
      </c>
      <c r="I550" s="12" t="str">
        <f t="shared" si="8"/>
        <v/>
      </c>
    </row>
    <row r="551" spans="8:9" x14ac:dyDescent="0.25">
      <c r="H551" s="11" t="str" cm="1">
        <f t="array" ref="H551">_xlfn.IFS(E551="","",E551="Grand Total",SUM(H$2:H550),TRUE,IF(COUNTIF(Transactions[Custom Category],E551)&gt;0,SUMIFS(Transactions[Amount],Transactions[Custom Category],E551,Transactions[Month],Sel_Month),SUMIFS(Transactions[Amount],Transactions[Name],E551,Transactions[Month],Sel_Month)))</f>
        <v/>
      </c>
      <c r="I551" s="12" t="str">
        <f t="shared" si="8"/>
        <v/>
      </c>
    </row>
    <row r="552" spans="8:9" x14ac:dyDescent="0.25">
      <c r="H552" s="11" t="str" cm="1">
        <f t="array" ref="H552">_xlfn.IFS(E552="","",E552="Grand Total",SUM(H$2:H551),TRUE,IF(COUNTIF(Transactions[Custom Category],E552)&gt;0,SUMIFS(Transactions[Amount],Transactions[Custom Category],E552,Transactions[Month],Sel_Month),SUMIFS(Transactions[Amount],Transactions[Name],E552,Transactions[Month],Sel_Month)))</f>
        <v/>
      </c>
      <c r="I552" s="12" t="str">
        <f t="shared" si="8"/>
        <v/>
      </c>
    </row>
    <row r="553" spans="8:9" x14ac:dyDescent="0.25">
      <c r="H553" s="11" t="str" cm="1">
        <f t="array" ref="H553">_xlfn.IFS(E553="","",E553="Grand Total",SUM(H$2:H552),TRUE,IF(COUNTIF(Transactions[Custom Category],E553)&gt;0,SUMIFS(Transactions[Amount],Transactions[Custom Category],E553,Transactions[Month],Sel_Month),SUMIFS(Transactions[Amount],Transactions[Name],E553,Transactions[Month],Sel_Month)))</f>
        <v/>
      </c>
      <c r="I553" s="12" t="str">
        <f t="shared" si="8"/>
        <v/>
      </c>
    </row>
    <row r="554" spans="8:9" x14ac:dyDescent="0.25">
      <c r="H554" s="11" t="str" cm="1">
        <f t="array" ref="H554">_xlfn.IFS(E554="","",E554="Grand Total",SUM(H$2:H553),TRUE,IF(COUNTIF(Transactions[Custom Category],E554)&gt;0,SUMIFS(Transactions[Amount],Transactions[Custom Category],E554,Transactions[Month],Sel_Month),SUMIFS(Transactions[Amount],Transactions[Name],E554,Transactions[Month],Sel_Month)))</f>
        <v/>
      </c>
      <c r="I554" s="12" t="str">
        <f t="shared" si="8"/>
        <v/>
      </c>
    </row>
    <row r="555" spans="8:9" x14ac:dyDescent="0.25">
      <c r="H555" s="11" t="str" cm="1">
        <f t="array" ref="H555">_xlfn.IFS(E555="","",E555="Grand Total",SUM(H$2:H554),TRUE,IF(COUNTIF(Transactions[Custom Category],E555)&gt;0,SUMIFS(Transactions[Amount],Transactions[Custom Category],E555,Transactions[Month],Sel_Month),SUMIFS(Transactions[Amount],Transactions[Name],E555,Transactions[Month],Sel_Month)))</f>
        <v/>
      </c>
      <c r="I555" s="12" t="str">
        <f t="shared" si="8"/>
        <v/>
      </c>
    </row>
    <row r="556" spans="8:9" x14ac:dyDescent="0.25">
      <c r="H556" s="11" t="str" cm="1">
        <f t="array" ref="H556">_xlfn.IFS(E556="","",E556="Grand Total",SUM(H$2:H555),TRUE,IF(COUNTIF(Transactions[Custom Category],E556)&gt;0,SUMIFS(Transactions[Amount],Transactions[Custom Category],E556,Transactions[Month],Sel_Month),SUMIFS(Transactions[Amount],Transactions[Name],E556,Transactions[Month],Sel_Month)))</f>
        <v/>
      </c>
      <c r="I556" s="12" t="str">
        <f t="shared" si="8"/>
        <v/>
      </c>
    </row>
    <row r="557" spans="8:9" x14ac:dyDescent="0.25">
      <c r="H557" s="11" t="str" cm="1">
        <f t="array" ref="H557">_xlfn.IFS(E557="","",E557="Grand Total",SUM(H$2:H556),TRUE,IF(COUNTIF(Transactions[Custom Category],E557)&gt;0,SUMIFS(Transactions[Amount],Transactions[Custom Category],E557,Transactions[Month],Sel_Month),SUMIFS(Transactions[Amount],Transactions[Name],E557,Transactions[Month],Sel_Month)))</f>
        <v/>
      </c>
      <c r="I557" s="12" t="str">
        <f t="shared" si="8"/>
        <v/>
      </c>
    </row>
    <row r="558" spans="8:9" x14ac:dyDescent="0.25">
      <c r="H558" s="11" t="str" cm="1">
        <f t="array" ref="H558">_xlfn.IFS(E558="","",E558="Grand Total",SUM(H$2:H557),TRUE,IF(COUNTIF(Transactions[Custom Category],E558)&gt;0,SUMIFS(Transactions[Amount],Transactions[Custom Category],E558,Transactions[Month],Sel_Month),SUMIFS(Transactions[Amount],Transactions[Name],E558,Transactions[Month],Sel_Month)))</f>
        <v/>
      </c>
      <c r="I558" s="12" t="str">
        <f t="shared" si="8"/>
        <v/>
      </c>
    </row>
    <row r="559" spans="8:9" x14ac:dyDescent="0.25">
      <c r="H559" s="11" t="str" cm="1">
        <f t="array" ref="H559">_xlfn.IFS(E559="","",E559="Grand Total",SUM(H$2:H558),TRUE,IF(COUNTIF(Transactions[Custom Category],E559)&gt;0,SUMIFS(Transactions[Amount],Transactions[Custom Category],E559,Transactions[Month],Sel_Month),SUMIFS(Transactions[Amount],Transactions[Name],E559,Transactions[Month],Sel_Month)))</f>
        <v/>
      </c>
      <c r="I559" s="12" t="str">
        <f t="shared" si="8"/>
        <v/>
      </c>
    </row>
    <row r="560" spans="8:9" x14ac:dyDescent="0.25">
      <c r="H560" s="11" t="str" cm="1">
        <f t="array" ref="H560">_xlfn.IFS(E560="","",E560="Grand Total",SUM(H$2:H559),TRUE,IF(COUNTIF(Transactions[Custom Category],E560)&gt;0,SUMIFS(Transactions[Amount],Transactions[Custom Category],E560,Transactions[Month],Sel_Month),SUMIFS(Transactions[Amount],Transactions[Name],E560,Transactions[Month],Sel_Month)))</f>
        <v/>
      </c>
      <c r="I560" s="12" t="str">
        <f t="shared" si="8"/>
        <v/>
      </c>
    </row>
    <row r="561" spans="8:9" x14ac:dyDescent="0.25">
      <c r="H561" s="11" t="str" cm="1">
        <f t="array" ref="H561">_xlfn.IFS(E561="","",E561="Grand Total",SUM(H$2:H560),TRUE,IF(COUNTIF(Transactions[Custom Category],E561)&gt;0,SUMIFS(Transactions[Amount],Transactions[Custom Category],E561,Transactions[Month],Sel_Month),SUMIFS(Transactions[Amount],Transactions[Name],E561,Transactions[Month],Sel_Month)))</f>
        <v/>
      </c>
      <c r="I561" s="12" t="str">
        <f t="shared" si="8"/>
        <v/>
      </c>
    </row>
    <row r="562" spans="8:9" x14ac:dyDescent="0.25">
      <c r="H562" s="11" t="str" cm="1">
        <f t="array" ref="H562">_xlfn.IFS(E562="","",E562="Grand Total",SUM(H$2:H561),TRUE,IF(COUNTIF(Transactions[Custom Category],E562)&gt;0,SUMIFS(Transactions[Amount],Transactions[Custom Category],E562,Transactions[Month],Sel_Month),SUMIFS(Transactions[Amount],Transactions[Name],E562,Transactions[Month],Sel_Month)))</f>
        <v/>
      </c>
      <c r="I562" s="12" t="str">
        <f t="shared" si="8"/>
        <v/>
      </c>
    </row>
    <row r="563" spans="8:9" x14ac:dyDescent="0.25">
      <c r="H563" s="11" t="str" cm="1">
        <f t="array" ref="H563">_xlfn.IFS(E563="","",E563="Grand Total",SUM(H$2:H562),TRUE,IF(COUNTIF(Transactions[Custom Category],E563)&gt;0,SUMIFS(Transactions[Amount],Transactions[Custom Category],E563,Transactions[Month],Sel_Month),SUMIFS(Transactions[Amount],Transactions[Name],E563,Transactions[Month],Sel_Month)))</f>
        <v/>
      </c>
      <c r="I563" s="12" t="str">
        <f t="shared" si="8"/>
        <v/>
      </c>
    </row>
    <row r="564" spans="8:9" x14ac:dyDescent="0.25">
      <c r="H564" s="11" t="str" cm="1">
        <f t="array" ref="H564">_xlfn.IFS(E564="","",E564="Grand Total",SUM(H$2:H563),TRUE,IF(COUNTIF(Transactions[Custom Category],E564)&gt;0,SUMIFS(Transactions[Amount],Transactions[Custom Category],E564,Transactions[Month],Sel_Month),SUMIFS(Transactions[Amount],Transactions[Name],E564,Transactions[Month],Sel_Month)))</f>
        <v/>
      </c>
      <c r="I564" s="12" t="str">
        <f t="shared" si="8"/>
        <v/>
      </c>
    </row>
    <row r="565" spans="8:9" x14ac:dyDescent="0.25">
      <c r="H565" s="11" t="str" cm="1">
        <f t="array" ref="H565">_xlfn.IFS(E565="","",E565="Grand Total",SUM(H$2:H564),TRUE,IF(COUNTIF(Transactions[Custom Category],E565)&gt;0,SUMIFS(Transactions[Amount],Transactions[Custom Category],E565,Transactions[Month],Sel_Month),SUMIFS(Transactions[Amount],Transactions[Name],E565,Transactions[Month],Sel_Month)))</f>
        <v/>
      </c>
      <c r="I565" s="12" t="str">
        <f t="shared" si="8"/>
        <v/>
      </c>
    </row>
    <row r="566" spans="8:9" x14ac:dyDescent="0.25">
      <c r="H566" s="11" t="str" cm="1">
        <f t="array" ref="H566">_xlfn.IFS(E566="","",E566="Grand Total",SUM(H$2:H565),TRUE,IF(COUNTIF(Transactions[Custom Category],E566)&gt;0,SUMIFS(Transactions[Amount],Transactions[Custom Category],E566,Transactions[Month],Sel_Month),SUMIFS(Transactions[Amount],Transactions[Name],E566,Transactions[Month],Sel_Month)))</f>
        <v/>
      </c>
      <c r="I566" s="12" t="str">
        <f t="shared" si="8"/>
        <v/>
      </c>
    </row>
    <row r="567" spans="8:9" x14ac:dyDescent="0.25">
      <c r="H567" s="11" t="str" cm="1">
        <f t="array" ref="H567">_xlfn.IFS(E567="","",E567="Grand Total",SUM(H$2:H566),TRUE,IF(COUNTIF(Transactions[Custom Category],E567)&gt;0,SUMIFS(Transactions[Amount],Transactions[Custom Category],E567,Transactions[Month],Sel_Month),SUMIFS(Transactions[Amount],Transactions[Name],E567,Transactions[Month],Sel_Month)))</f>
        <v/>
      </c>
      <c r="I567" s="12" t="str">
        <f t="shared" si="8"/>
        <v/>
      </c>
    </row>
    <row r="568" spans="8:9" x14ac:dyDescent="0.25">
      <c r="H568" s="11" t="str" cm="1">
        <f t="array" ref="H568">_xlfn.IFS(E568="","",E568="Grand Total",SUM(H$2:H567),TRUE,IF(COUNTIF(Transactions[Custom Category],E568)&gt;0,SUMIFS(Transactions[Amount],Transactions[Custom Category],E568,Transactions[Month],Sel_Month),SUMIFS(Transactions[Amount],Transactions[Name],E568,Transactions[Month],Sel_Month)))</f>
        <v/>
      </c>
      <c r="I568" s="12" t="str">
        <f t="shared" si="8"/>
        <v/>
      </c>
    </row>
    <row r="569" spans="8:9" x14ac:dyDescent="0.25">
      <c r="H569" s="11" t="str" cm="1">
        <f t="array" ref="H569">_xlfn.IFS(E569="","",E569="Grand Total",SUM(H$2:H568),TRUE,IF(COUNTIF(Transactions[Custom Category],E569)&gt;0,SUMIFS(Transactions[Amount],Transactions[Custom Category],E569,Transactions[Month],Sel_Month),SUMIFS(Transactions[Amount],Transactions[Name],E569,Transactions[Month],Sel_Month)))</f>
        <v/>
      </c>
      <c r="I569" s="12" t="str">
        <f t="shared" si="8"/>
        <v/>
      </c>
    </row>
    <row r="570" spans="8:9" x14ac:dyDescent="0.25">
      <c r="H570" s="11" t="str" cm="1">
        <f t="array" ref="H570">_xlfn.IFS(E570="","",E570="Grand Total",SUM(H$2:H569),TRUE,IF(COUNTIF(Transactions[Custom Category],E570)&gt;0,SUMIFS(Transactions[Amount],Transactions[Custom Category],E570,Transactions[Month],Sel_Month),SUMIFS(Transactions[Amount],Transactions[Name],E570,Transactions[Month],Sel_Month)))</f>
        <v/>
      </c>
      <c r="I570" s="12" t="str">
        <f t="shared" si="8"/>
        <v/>
      </c>
    </row>
    <row r="571" spans="8:9" x14ac:dyDescent="0.25">
      <c r="H571" s="11" t="str" cm="1">
        <f t="array" ref="H571">_xlfn.IFS(E571="","",E571="Grand Total",SUM(H$2:H570),TRUE,IF(COUNTIF(Transactions[Custom Category],E571)&gt;0,SUMIFS(Transactions[Amount],Transactions[Custom Category],E571,Transactions[Month],Sel_Month),SUMIFS(Transactions[Amount],Transactions[Name],E571,Transactions[Month],Sel_Month)))</f>
        <v/>
      </c>
      <c r="I571" s="12" t="str">
        <f t="shared" si="8"/>
        <v/>
      </c>
    </row>
    <row r="572" spans="8:9" x14ac:dyDescent="0.25">
      <c r="H572" s="11" t="str" cm="1">
        <f t="array" ref="H572">_xlfn.IFS(E572="","",E572="Grand Total",SUM(H$2:H571),TRUE,IF(COUNTIF(Transactions[Custom Category],E572)&gt;0,SUMIFS(Transactions[Amount],Transactions[Custom Category],E572,Transactions[Month],Sel_Month),SUMIFS(Transactions[Amount],Transactions[Name],E572,Transactions[Month],Sel_Month)))</f>
        <v/>
      </c>
      <c r="I572" s="12" t="str">
        <f t="shared" si="8"/>
        <v/>
      </c>
    </row>
    <row r="573" spans="8:9" x14ac:dyDescent="0.25">
      <c r="H573" s="11" t="str" cm="1">
        <f t="array" ref="H573">_xlfn.IFS(E573="","",E573="Grand Total",SUM(H$2:H572),TRUE,IF(COUNTIF(Transactions[Custom Category],E573)&gt;0,SUMIFS(Transactions[Amount],Transactions[Custom Category],E573,Transactions[Month],Sel_Month),SUMIFS(Transactions[Amount],Transactions[Name],E573,Transactions[Month],Sel_Month)))</f>
        <v/>
      </c>
      <c r="I573" s="12" t="str">
        <f t="shared" si="8"/>
        <v/>
      </c>
    </row>
    <row r="574" spans="8:9" x14ac:dyDescent="0.25">
      <c r="H574" s="11" t="str" cm="1">
        <f t="array" ref="H574">_xlfn.IFS(E574="","",E574="Grand Total",SUM(H$2:H573),TRUE,IF(COUNTIF(Transactions[Custom Category],E574)&gt;0,SUMIFS(Transactions[Amount],Transactions[Custom Category],E574,Transactions[Month],Sel_Month),SUMIFS(Transactions[Amount],Transactions[Name],E574,Transactions[Month],Sel_Month)))</f>
        <v/>
      </c>
      <c r="I574" s="12" t="str">
        <f t="shared" si="8"/>
        <v/>
      </c>
    </row>
    <row r="575" spans="8:9" x14ac:dyDescent="0.25">
      <c r="H575" s="11" t="str" cm="1">
        <f t="array" ref="H575">_xlfn.IFS(E575="","",E575="Grand Total",SUM(H$2:H574),TRUE,IF(COUNTIF(Transactions[Custom Category],E575)&gt;0,SUMIFS(Transactions[Amount],Transactions[Custom Category],E575,Transactions[Month],Sel_Month),SUMIFS(Transactions[Amount],Transactions[Name],E575,Transactions[Month],Sel_Month)))</f>
        <v/>
      </c>
      <c r="I575" s="12" t="str">
        <f t="shared" si="8"/>
        <v/>
      </c>
    </row>
    <row r="576" spans="8:9" x14ac:dyDescent="0.25">
      <c r="H576" s="11" t="str" cm="1">
        <f t="array" ref="H576">_xlfn.IFS(E576="","",E576="Grand Total",SUM(H$2:H575),TRUE,IF(COUNTIF(Transactions[Custom Category],E576)&gt;0,SUMIFS(Transactions[Amount],Transactions[Custom Category],E576,Transactions[Month],Sel_Month),SUMIFS(Transactions[Amount],Transactions[Name],E576,Transactions[Month],Sel_Month)))</f>
        <v/>
      </c>
      <c r="I576" s="12" t="str">
        <f t="shared" si="8"/>
        <v/>
      </c>
    </row>
    <row r="577" spans="8:9" x14ac:dyDescent="0.25">
      <c r="H577" s="11" t="str" cm="1">
        <f t="array" ref="H577">_xlfn.IFS(E577="","",E577="Grand Total",SUM(H$2:H576),TRUE,IF(COUNTIF(Transactions[Custom Category],E577)&gt;0,SUMIFS(Transactions[Amount],Transactions[Custom Category],E577,Transactions[Month],Sel_Month),SUMIFS(Transactions[Amount],Transactions[Name],E577,Transactions[Month],Sel_Month)))</f>
        <v/>
      </c>
      <c r="I577" s="12" t="str">
        <f t="shared" si="8"/>
        <v/>
      </c>
    </row>
    <row r="578" spans="8:9" x14ac:dyDescent="0.25">
      <c r="H578" s="11" t="str" cm="1">
        <f t="array" ref="H578">_xlfn.IFS(E578="","",E578="Grand Total",SUM(H$2:H577),TRUE,IF(COUNTIF(Transactions[Custom Category],E578)&gt;0,SUMIFS(Transactions[Amount],Transactions[Custom Category],E578,Transactions[Month],Sel_Month),SUMIFS(Transactions[Amount],Transactions[Name],E578,Transactions[Month],Sel_Month)))</f>
        <v/>
      </c>
      <c r="I578" s="12" t="str">
        <f t="shared" si="8"/>
        <v/>
      </c>
    </row>
    <row r="579" spans="8:9" x14ac:dyDescent="0.25">
      <c r="H579" s="11" t="str" cm="1">
        <f t="array" ref="H579">_xlfn.IFS(E579="","",E579="Grand Total",SUM(H$2:H578),TRUE,IF(COUNTIF(Transactions[Custom Category],E579)&gt;0,SUMIFS(Transactions[Amount],Transactions[Custom Category],E579,Transactions[Month],Sel_Month),SUMIFS(Transactions[Amount],Transactions[Name],E579,Transactions[Month],Sel_Month)))</f>
        <v/>
      </c>
      <c r="I579" s="12" t="str">
        <f t="shared" si="8"/>
        <v/>
      </c>
    </row>
    <row r="580" spans="8:9" x14ac:dyDescent="0.25">
      <c r="H580" s="11" t="str" cm="1">
        <f t="array" ref="H580">_xlfn.IFS(E580="","",E580="Grand Total",SUM(H$2:H579),TRUE,IF(COUNTIF(Transactions[Custom Category],E580)&gt;0,SUMIFS(Transactions[Amount],Transactions[Custom Category],E580,Transactions[Month],Sel_Month),SUMIFS(Transactions[Amount],Transactions[Name],E580,Transactions[Month],Sel_Month)))</f>
        <v/>
      </c>
      <c r="I580" s="12" t="str">
        <f t="shared" ref="I580:I643" si="9">IF(G580="","",IF(G580=0,0,1-((G580-H580)/G580)))</f>
        <v/>
      </c>
    </row>
    <row r="581" spans="8:9" x14ac:dyDescent="0.25">
      <c r="H581" s="11" t="str" cm="1">
        <f t="array" ref="H581">_xlfn.IFS(E581="","",E581="Grand Total",SUM(H$2:H580),TRUE,IF(COUNTIF(Transactions[Custom Category],E581)&gt;0,SUMIFS(Transactions[Amount],Transactions[Custom Category],E581,Transactions[Month],Sel_Month),SUMIFS(Transactions[Amount],Transactions[Name],E581,Transactions[Month],Sel_Month)))</f>
        <v/>
      </c>
      <c r="I581" s="12" t="str">
        <f t="shared" si="9"/>
        <v/>
      </c>
    </row>
    <row r="582" spans="8:9" x14ac:dyDescent="0.25">
      <c r="H582" s="11" t="str" cm="1">
        <f t="array" ref="H582">_xlfn.IFS(E582="","",E582="Grand Total",SUM(H$2:H581),TRUE,IF(COUNTIF(Transactions[Custom Category],E582)&gt;0,SUMIFS(Transactions[Amount],Transactions[Custom Category],E582,Transactions[Month],Sel_Month),SUMIFS(Transactions[Amount],Transactions[Name],E582,Transactions[Month],Sel_Month)))</f>
        <v/>
      </c>
      <c r="I582" s="12" t="str">
        <f t="shared" si="9"/>
        <v/>
      </c>
    </row>
    <row r="583" spans="8:9" x14ac:dyDescent="0.25">
      <c r="H583" s="11" t="str" cm="1">
        <f t="array" ref="H583">_xlfn.IFS(E583="","",E583="Grand Total",SUM(H$2:H582),TRUE,IF(COUNTIF(Transactions[Custom Category],E583)&gt;0,SUMIFS(Transactions[Amount],Transactions[Custom Category],E583,Transactions[Month],Sel_Month),SUMIFS(Transactions[Amount],Transactions[Name],E583,Transactions[Month],Sel_Month)))</f>
        <v/>
      </c>
      <c r="I583" s="12" t="str">
        <f t="shared" si="9"/>
        <v/>
      </c>
    </row>
    <row r="584" spans="8:9" x14ac:dyDescent="0.25">
      <c r="H584" s="11" t="str" cm="1">
        <f t="array" ref="H584">_xlfn.IFS(E584="","",E584="Grand Total",SUM(H$2:H583),TRUE,IF(COUNTIF(Transactions[Custom Category],E584)&gt;0,SUMIFS(Transactions[Amount],Transactions[Custom Category],E584,Transactions[Month],Sel_Month),SUMIFS(Transactions[Amount],Transactions[Name],E584,Transactions[Month],Sel_Month)))</f>
        <v/>
      </c>
      <c r="I584" s="12" t="str">
        <f t="shared" si="9"/>
        <v/>
      </c>
    </row>
    <row r="585" spans="8:9" x14ac:dyDescent="0.25">
      <c r="H585" s="11" t="str" cm="1">
        <f t="array" ref="H585">_xlfn.IFS(E585="","",E585="Grand Total",SUM(H$2:H584),TRUE,IF(COUNTIF(Transactions[Custom Category],E585)&gt;0,SUMIFS(Transactions[Amount],Transactions[Custom Category],E585,Transactions[Month],Sel_Month),SUMIFS(Transactions[Amount],Transactions[Name],E585,Transactions[Month],Sel_Month)))</f>
        <v/>
      </c>
      <c r="I585" s="12" t="str">
        <f t="shared" si="9"/>
        <v/>
      </c>
    </row>
    <row r="586" spans="8:9" x14ac:dyDescent="0.25">
      <c r="H586" s="11" t="str" cm="1">
        <f t="array" ref="H586">_xlfn.IFS(E586="","",E586="Grand Total",SUM(H$2:H585),TRUE,IF(COUNTIF(Transactions[Custom Category],E586)&gt;0,SUMIFS(Transactions[Amount],Transactions[Custom Category],E586,Transactions[Month],Sel_Month),SUMIFS(Transactions[Amount],Transactions[Name],E586,Transactions[Month],Sel_Month)))</f>
        <v/>
      </c>
      <c r="I586" s="12" t="str">
        <f t="shared" si="9"/>
        <v/>
      </c>
    </row>
    <row r="587" spans="8:9" x14ac:dyDescent="0.25">
      <c r="H587" s="11" t="str" cm="1">
        <f t="array" ref="H587">_xlfn.IFS(E587="","",E587="Grand Total",SUM(H$2:H586),TRUE,IF(COUNTIF(Transactions[Custom Category],E587)&gt;0,SUMIFS(Transactions[Amount],Transactions[Custom Category],E587,Transactions[Month],Sel_Month),SUMIFS(Transactions[Amount],Transactions[Name],E587,Transactions[Month],Sel_Month)))</f>
        <v/>
      </c>
      <c r="I587" s="12" t="str">
        <f t="shared" si="9"/>
        <v/>
      </c>
    </row>
    <row r="588" spans="8:9" x14ac:dyDescent="0.25">
      <c r="H588" s="11" t="str" cm="1">
        <f t="array" ref="H588">_xlfn.IFS(E588="","",E588="Grand Total",SUM(H$2:H587),TRUE,IF(COUNTIF(Transactions[Custom Category],E588)&gt;0,SUMIFS(Transactions[Amount],Transactions[Custom Category],E588,Transactions[Month],Sel_Month),SUMIFS(Transactions[Amount],Transactions[Name],E588,Transactions[Month],Sel_Month)))</f>
        <v/>
      </c>
      <c r="I588" s="12" t="str">
        <f t="shared" si="9"/>
        <v/>
      </c>
    </row>
    <row r="589" spans="8:9" x14ac:dyDescent="0.25">
      <c r="H589" s="11" t="str" cm="1">
        <f t="array" ref="H589">_xlfn.IFS(E589="","",E589="Grand Total",SUM(H$2:H588),TRUE,IF(COUNTIF(Transactions[Custom Category],E589)&gt;0,SUMIFS(Transactions[Amount],Transactions[Custom Category],E589,Transactions[Month],Sel_Month),SUMIFS(Transactions[Amount],Transactions[Name],E589,Transactions[Month],Sel_Month)))</f>
        <v/>
      </c>
      <c r="I589" s="12" t="str">
        <f t="shared" si="9"/>
        <v/>
      </c>
    </row>
    <row r="590" spans="8:9" x14ac:dyDescent="0.25">
      <c r="H590" s="11" t="str" cm="1">
        <f t="array" ref="H590">_xlfn.IFS(E590="","",E590="Grand Total",SUM(H$2:H589),TRUE,IF(COUNTIF(Transactions[Custom Category],E590)&gt;0,SUMIFS(Transactions[Amount],Transactions[Custom Category],E590,Transactions[Month],Sel_Month),SUMIFS(Transactions[Amount],Transactions[Name],E590,Transactions[Month],Sel_Month)))</f>
        <v/>
      </c>
      <c r="I590" s="12" t="str">
        <f t="shared" si="9"/>
        <v/>
      </c>
    </row>
    <row r="591" spans="8:9" x14ac:dyDescent="0.25">
      <c r="H591" s="11" t="str" cm="1">
        <f t="array" ref="H591">_xlfn.IFS(E591="","",E591="Grand Total",SUM(H$2:H590),TRUE,IF(COUNTIF(Transactions[Custom Category],E591)&gt;0,SUMIFS(Transactions[Amount],Transactions[Custom Category],E591,Transactions[Month],Sel_Month),SUMIFS(Transactions[Amount],Transactions[Name],E591,Transactions[Month],Sel_Month)))</f>
        <v/>
      </c>
      <c r="I591" s="12" t="str">
        <f t="shared" si="9"/>
        <v/>
      </c>
    </row>
    <row r="592" spans="8:9" x14ac:dyDescent="0.25">
      <c r="H592" s="11" t="str" cm="1">
        <f t="array" ref="H592">_xlfn.IFS(E592="","",E592="Grand Total",SUM(H$2:H591),TRUE,IF(COUNTIF(Transactions[Custom Category],E592)&gt;0,SUMIFS(Transactions[Amount],Transactions[Custom Category],E592,Transactions[Month],Sel_Month),SUMIFS(Transactions[Amount],Transactions[Name],E592,Transactions[Month],Sel_Month)))</f>
        <v/>
      </c>
      <c r="I592" s="12" t="str">
        <f t="shared" si="9"/>
        <v/>
      </c>
    </row>
    <row r="593" spans="8:9" x14ac:dyDescent="0.25">
      <c r="H593" s="11" t="str" cm="1">
        <f t="array" ref="H593">_xlfn.IFS(E593="","",E593="Grand Total",SUM(H$2:H592),TRUE,IF(COUNTIF(Transactions[Custom Category],E593)&gt;0,SUMIFS(Transactions[Amount],Transactions[Custom Category],E593,Transactions[Month],Sel_Month),SUMIFS(Transactions[Amount],Transactions[Name],E593,Transactions[Month],Sel_Month)))</f>
        <v/>
      </c>
      <c r="I593" s="12" t="str">
        <f t="shared" si="9"/>
        <v/>
      </c>
    </row>
    <row r="594" spans="8:9" x14ac:dyDescent="0.25">
      <c r="H594" s="11" t="str" cm="1">
        <f t="array" ref="H594">_xlfn.IFS(E594="","",E594="Grand Total",SUM(H$2:H593),TRUE,IF(COUNTIF(Transactions[Custom Category],E594)&gt;0,SUMIFS(Transactions[Amount],Transactions[Custom Category],E594,Transactions[Month],Sel_Month),SUMIFS(Transactions[Amount],Transactions[Name],E594,Transactions[Month],Sel_Month)))</f>
        <v/>
      </c>
      <c r="I594" s="12" t="str">
        <f t="shared" si="9"/>
        <v/>
      </c>
    </row>
    <row r="595" spans="8:9" x14ac:dyDescent="0.25">
      <c r="H595" s="11" t="str" cm="1">
        <f t="array" ref="H595">_xlfn.IFS(E595="","",E595="Grand Total",SUM(H$2:H594),TRUE,IF(COUNTIF(Transactions[Custom Category],E595)&gt;0,SUMIFS(Transactions[Amount],Transactions[Custom Category],E595,Transactions[Month],Sel_Month),SUMIFS(Transactions[Amount],Transactions[Name],E595,Transactions[Month],Sel_Month)))</f>
        <v/>
      </c>
      <c r="I595" s="12" t="str">
        <f t="shared" si="9"/>
        <v/>
      </c>
    </row>
    <row r="596" spans="8:9" x14ac:dyDescent="0.25">
      <c r="H596" s="11" t="str" cm="1">
        <f t="array" ref="H596">_xlfn.IFS(E596="","",E596="Grand Total",SUM(H$2:H595),TRUE,IF(COUNTIF(Transactions[Custom Category],E596)&gt;0,SUMIFS(Transactions[Amount],Transactions[Custom Category],E596,Transactions[Month],Sel_Month),SUMIFS(Transactions[Amount],Transactions[Name],E596,Transactions[Month],Sel_Month)))</f>
        <v/>
      </c>
      <c r="I596" s="12" t="str">
        <f t="shared" si="9"/>
        <v/>
      </c>
    </row>
    <row r="597" spans="8:9" x14ac:dyDescent="0.25">
      <c r="H597" s="11" t="str" cm="1">
        <f t="array" ref="H597">_xlfn.IFS(E597="","",E597="Grand Total",SUM(H$2:H596),TRUE,IF(COUNTIF(Transactions[Custom Category],E597)&gt;0,SUMIFS(Transactions[Amount],Transactions[Custom Category],E597,Transactions[Month],Sel_Month),SUMIFS(Transactions[Amount],Transactions[Name],E597,Transactions[Month],Sel_Month)))</f>
        <v/>
      </c>
      <c r="I597" s="12" t="str">
        <f t="shared" si="9"/>
        <v/>
      </c>
    </row>
    <row r="598" spans="8:9" x14ac:dyDescent="0.25">
      <c r="H598" s="11" t="str" cm="1">
        <f t="array" ref="H598">_xlfn.IFS(E598="","",E598="Grand Total",SUM(H$2:H597),TRUE,IF(COUNTIF(Transactions[Custom Category],E598)&gt;0,SUMIFS(Transactions[Amount],Transactions[Custom Category],E598,Transactions[Month],Sel_Month),SUMIFS(Transactions[Amount],Transactions[Name],E598,Transactions[Month],Sel_Month)))</f>
        <v/>
      </c>
      <c r="I598" s="12" t="str">
        <f t="shared" si="9"/>
        <v/>
      </c>
    </row>
    <row r="599" spans="8:9" x14ac:dyDescent="0.25">
      <c r="H599" s="11" t="str" cm="1">
        <f t="array" ref="H599">_xlfn.IFS(E599="","",E599="Grand Total",SUM(H$2:H598),TRUE,IF(COUNTIF(Transactions[Custom Category],E599)&gt;0,SUMIFS(Transactions[Amount],Transactions[Custom Category],E599,Transactions[Month],Sel_Month),SUMIFS(Transactions[Amount],Transactions[Name],E599,Transactions[Month],Sel_Month)))</f>
        <v/>
      </c>
      <c r="I599" s="12" t="str">
        <f t="shared" si="9"/>
        <v/>
      </c>
    </row>
    <row r="600" spans="8:9" x14ac:dyDescent="0.25">
      <c r="H600" s="11" t="str" cm="1">
        <f t="array" ref="H600">_xlfn.IFS(E600="","",E600="Grand Total",SUM(H$2:H599),TRUE,IF(COUNTIF(Transactions[Custom Category],E600)&gt;0,SUMIFS(Transactions[Amount],Transactions[Custom Category],E600,Transactions[Month],Sel_Month),SUMIFS(Transactions[Amount],Transactions[Name],E600,Transactions[Month],Sel_Month)))</f>
        <v/>
      </c>
      <c r="I600" s="12" t="str">
        <f t="shared" si="9"/>
        <v/>
      </c>
    </row>
    <row r="601" spans="8:9" x14ac:dyDescent="0.25">
      <c r="H601" s="11" t="str" cm="1">
        <f t="array" ref="H601">_xlfn.IFS(E601="","",E601="Grand Total",SUM(H$2:H600),TRUE,IF(COUNTIF(Transactions[Custom Category],E601)&gt;0,SUMIFS(Transactions[Amount],Transactions[Custom Category],E601,Transactions[Month],Sel_Month),SUMIFS(Transactions[Amount],Transactions[Name],E601,Transactions[Month],Sel_Month)))</f>
        <v/>
      </c>
      <c r="I601" s="12" t="str">
        <f t="shared" si="9"/>
        <v/>
      </c>
    </row>
    <row r="602" spans="8:9" x14ac:dyDescent="0.25">
      <c r="H602" s="11" t="str" cm="1">
        <f t="array" ref="H602">_xlfn.IFS(E602="","",E602="Grand Total",SUM(H$2:H601),TRUE,IF(COUNTIF(Transactions[Custom Category],E602)&gt;0,SUMIFS(Transactions[Amount],Transactions[Custom Category],E602,Transactions[Month],Sel_Month),SUMIFS(Transactions[Amount],Transactions[Name],E602,Transactions[Month],Sel_Month)))</f>
        <v/>
      </c>
      <c r="I602" s="12" t="str">
        <f t="shared" si="9"/>
        <v/>
      </c>
    </row>
    <row r="603" spans="8:9" x14ac:dyDescent="0.25">
      <c r="H603" s="11" t="str" cm="1">
        <f t="array" ref="H603">_xlfn.IFS(E603="","",E603="Grand Total",SUM(H$2:H602),TRUE,IF(COUNTIF(Transactions[Custom Category],E603)&gt;0,SUMIFS(Transactions[Amount],Transactions[Custom Category],E603,Transactions[Month],Sel_Month),SUMIFS(Transactions[Amount],Transactions[Name],E603,Transactions[Month],Sel_Month)))</f>
        <v/>
      </c>
      <c r="I603" s="12" t="str">
        <f t="shared" si="9"/>
        <v/>
      </c>
    </row>
    <row r="604" spans="8:9" x14ac:dyDescent="0.25">
      <c r="H604" s="11" t="str" cm="1">
        <f t="array" ref="H604">_xlfn.IFS(E604="","",E604="Grand Total",SUM(H$2:H603),TRUE,IF(COUNTIF(Transactions[Custom Category],E604)&gt;0,SUMIFS(Transactions[Amount],Transactions[Custom Category],E604,Transactions[Month],Sel_Month),SUMIFS(Transactions[Amount],Transactions[Name],E604,Transactions[Month],Sel_Month)))</f>
        <v/>
      </c>
      <c r="I604" s="12" t="str">
        <f t="shared" si="9"/>
        <v/>
      </c>
    </row>
    <row r="605" spans="8:9" x14ac:dyDescent="0.25">
      <c r="H605" s="11" t="str" cm="1">
        <f t="array" ref="H605">_xlfn.IFS(E605="","",E605="Grand Total",SUM(H$2:H604),TRUE,IF(COUNTIF(Transactions[Custom Category],E605)&gt;0,SUMIFS(Transactions[Amount],Transactions[Custom Category],E605,Transactions[Month],Sel_Month),SUMIFS(Transactions[Amount],Transactions[Name],E605,Transactions[Month],Sel_Month)))</f>
        <v/>
      </c>
      <c r="I605" s="12" t="str">
        <f t="shared" si="9"/>
        <v/>
      </c>
    </row>
    <row r="606" spans="8:9" x14ac:dyDescent="0.25">
      <c r="H606" s="11" t="str" cm="1">
        <f t="array" ref="H606">_xlfn.IFS(E606="","",E606="Grand Total",SUM(H$2:H605),TRUE,IF(COUNTIF(Transactions[Custom Category],E606)&gt;0,SUMIFS(Transactions[Amount],Transactions[Custom Category],E606,Transactions[Month],Sel_Month),SUMIFS(Transactions[Amount],Transactions[Name],E606,Transactions[Month],Sel_Month)))</f>
        <v/>
      </c>
      <c r="I606" s="12" t="str">
        <f t="shared" si="9"/>
        <v/>
      </c>
    </row>
    <row r="607" spans="8:9" x14ac:dyDescent="0.25">
      <c r="H607" s="11" t="str" cm="1">
        <f t="array" ref="H607">_xlfn.IFS(E607="","",E607="Grand Total",SUM(H$2:H606),TRUE,IF(COUNTIF(Transactions[Custom Category],E607)&gt;0,SUMIFS(Transactions[Amount],Transactions[Custom Category],E607,Transactions[Month],Sel_Month),SUMIFS(Transactions[Amount],Transactions[Name],E607,Transactions[Month],Sel_Month)))</f>
        <v/>
      </c>
      <c r="I607" s="12" t="str">
        <f t="shared" si="9"/>
        <v/>
      </c>
    </row>
    <row r="608" spans="8:9" x14ac:dyDescent="0.25">
      <c r="H608" s="11" t="str" cm="1">
        <f t="array" ref="H608">_xlfn.IFS(E608="","",E608="Grand Total",SUM(H$2:H607),TRUE,IF(COUNTIF(Transactions[Custom Category],E608)&gt;0,SUMIFS(Transactions[Amount],Transactions[Custom Category],E608,Transactions[Month],Sel_Month),SUMIFS(Transactions[Amount],Transactions[Name],E608,Transactions[Month],Sel_Month)))</f>
        <v/>
      </c>
      <c r="I608" s="12" t="str">
        <f t="shared" si="9"/>
        <v/>
      </c>
    </row>
    <row r="609" spans="8:9" x14ac:dyDescent="0.25">
      <c r="H609" s="11" t="str" cm="1">
        <f t="array" ref="H609">_xlfn.IFS(E609="","",E609="Grand Total",SUM(H$2:H608),TRUE,IF(COUNTIF(Transactions[Custom Category],E609)&gt;0,SUMIFS(Transactions[Amount],Transactions[Custom Category],E609,Transactions[Month],Sel_Month),SUMIFS(Transactions[Amount],Transactions[Name],E609,Transactions[Month],Sel_Month)))</f>
        <v/>
      </c>
      <c r="I609" s="12" t="str">
        <f t="shared" si="9"/>
        <v/>
      </c>
    </row>
    <row r="610" spans="8:9" x14ac:dyDescent="0.25">
      <c r="H610" s="11" t="str" cm="1">
        <f t="array" ref="H610">_xlfn.IFS(E610="","",E610="Grand Total",SUM(H$2:H609),TRUE,IF(COUNTIF(Transactions[Custom Category],E610)&gt;0,SUMIFS(Transactions[Amount],Transactions[Custom Category],E610,Transactions[Month],Sel_Month),SUMIFS(Transactions[Amount],Transactions[Name],E610,Transactions[Month],Sel_Month)))</f>
        <v/>
      </c>
      <c r="I610" s="12" t="str">
        <f t="shared" si="9"/>
        <v/>
      </c>
    </row>
    <row r="611" spans="8:9" x14ac:dyDescent="0.25">
      <c r="H611" s="11" t="str" cm="1">
        <f t="array" ref="H611">_xlfn.IFS(E611="","",E611="Grand Total",SUM(H$2:H610),TRUE,IF(COUNTIF(Transactions[Custom Category],E611)&gt;0,SUMIFS(Transactions[Amount],Transactions[Custom Category],E611,Transactions[Month],Sel_Month),SUMIFS(Transactions[Amount],Transactions[Name],E611,Transactions[Month],Sel_Month)))</f>
        <v/>
      </c>
      <c r="I611" s="12" t="str">
        <f t="shared" si="9"/>
        <v/>
      </c>
    </row>
    <row r="612" spans="8:9" x14ac:dyDescent="0.25">
      <c r="H612" s="11" t="str" cm="1">
        <f t="array" ref="H612">_xlfn.IFS(E612="","",E612="Grand Total",SUM(H$2:H611),TRUE,IF(COUNTIF(Transactions[Custom Category],E612)&gt;0,SUMIFS(Transactions[Amount],Transactions[Custom Category],E612,Transactions[Month],Sel_Month),SUMIFS(Transactions[Amount],Transactions[Name],E612,Transactions[Month],Sel_Month)))</f>
        <v/>
      </c>
      <c r="I612" s="12" t="str">
        <f t="shared" si="9"/>
        <v/>
      </c>
    </row>
    <row r="613" spans="8:9" x14ac:dyDescent="0.25">
      <c r="H613" s="11" t="str" cm="1">
        <f t="array" ref="H613">_xlfn.IFS(E613="","",E613="Grand Total",SUM(H$2:H612),TRUE,IF(COUNTIF(Transactions[Custom Category],E613)&gt;0,SUMIFS(Transactions[Amount],Transactions[Custom Category],E613,Transactions[Month],Sel_Month),SUMIFS(Transactions[Amount],Transactions[Name],E613,Transactions[Month],Sel_Month)))</f>
        <v/>
      </c>
      <c r="I613" s="12" t="str">
        <f t="shared" si="9"/>
        <v/>
      </c>
    </row>
    <row r="614" spans="8:9" x14ac:dyDescent="0.25">
      <c r="H614" s="11" t="str" cm="1">
        <f t="array" ref="H614">_xlfn.IFS(E614="","",E614="Grand Total",SUM(H$2:H613),TRUE,IF(COUNTIF(Transactions[Custom Category],E614)&gt;0,SUMIFS(Transactions[Amount],Transactions[Custom Category],E614,Transactions[Month],Sel_Month),SUMIFS(Transactions[Amount],Transactions[Name],E614,Transactions[Month],Sel_Month)))</f>
        <v/>
      </c>
      <c r="I614" s="12" t="str">
        <f t="shared" si="9"/>
        <v/>
      </c>
    </row>
    <row r="615" spans="8:9" x14ac:dyDescent="0.25">
      <c r="H615" s="11" t="str" cm="1">
        <f t="array" ref="H615">_xlfn.IFS(E615="","",E615="Grand Total",SUM(H$2:H614),TRUE,IF(COUNTIF(Transactions[Custom Category],E615)&gt;0,SUMIFS(Transactions[Amount],Transactions[Custom Category],E615,Transactions[Month],Sel_Month),SUMIFS(Transactions[Amount],Transactions[Name],E615,Transactions[Month],Sel_Month)))</f>
        <v/>
      </c>
      <c r="I615" s="12" t="str">
        <f t="shared" si="9"/>
        <v/>
      </c>
    </row>
    <row r="616" spans="8:9" x14ac:dyDescent="0.25">
      <c r="H616" s="11" t="str" cm="1">
        <f t="array" ref="H616">_xlfn.IFS(E616="","",E616="Grand Total",SUM(H$2:H615),TRUE,IF(COUNTIF(Transactions[Custom Category],E616)&gt;0,SUMIFS(Transactions[Amount],Transactions[Custom Category],E616,Transactions[Month],Sel_Month),SUMIFS(Transactions[Amount],Transactions[Name],E616,Transactions[Month],Sel_Month)))</f>
        <v/>
      </c>
      <c r="I616" s="12" t="str">
        <f t="shared" si="9"/>
        <v/>
      </c>
    </row>
    <row r="617" spans="8:9" x14ac:dyDescent="0.25">
      <c r="H617" s="11" t="str" cm="1">
        <f t="array" ref="H617">_xlfn.IFS(E617="","",E617="Grand Total",SUM(H$2:H616),TRUE,IF(COUNTIF(Transactions[Custom Category],E617)&gt;0,SUMIFS(Transactions[Amount],Transactions[Custom Category],E617,Transactions[Month],Sel_Month),SUMIFS(Transactions[Amount],Transactions[Name],E617,Transactions[Month],Sel_Month)))</f>
        <v/>
      </c>
      <c r="I617" s="12" t="str">
        <f t="shared" si="9"/>
        <v/>
      </c>
    </row>
    <row r="618" spans="8:9" x14ac:dyDescent="0.25">
      <c r="H618" s="11" t="str" cm="1">
        <f t="array" ref="H618">_xlfn.IFS(E618="","",E618="Grand Total",SUM(H$2:H617),TRUE,IF(COUNTIF(Transactions[Custom Category],E618)&gt;0,SUMIFS(Transactions[Amount],Transactions[Custom Category],E618,Transactions[Month],Sel_Month),SUMIFS(Transactions[Amount],Transactions[Name],E618,Transactions[Month],Sel_Month)))</f>
        <v/>
      </c>
      <c r="I618" s="12" t="str">
        <f t="shared" si="9"/>
        <v/>
      </c>
    </row>
    <row r="619" spans="8:9" x14ac:dyDescent="0.25">
      <c r="H619" s="11" t="str" cm="1">
        <f t="array" ref="H619">_xlfn.IFS(E619="","",E619="Grand Total",SUM(H$2:H618),TRUE,IF(COUNTIF(Transactions[Custom Category],E619)&gt;0,SUMIFS(Transactions[Amount],Transactions[Custom Category],E619,Transactions[Month],Sel_Month),SUMIFS(Transactions[Amount],Transactions[Name],E619,Transactions[Month],Sel_Month)))</f>
        <v/>
      </c>
      <c r="I619" s="12" t="str">
        <f t="shared" si="9"/>
        <v/>
      </c>
    </row>
    <row r="620" spans="8:9" x14ac:dyDescent="0.25">
      <c r="H620" s="11" t="str" cm="1">
        <f t="array" ref="H620">_xlfn.IFS(E620="","",E620="Grand Total",SUM(H$2:H619),TRUE,IF(COUNTIF(Transactions[Custom Category],E620)&gt;0,SUMIFS(Transactions[Amount],Transactions[Custom Category],E620,Transactions[Month],Sel_Month),SUMIFS(Transactions[Amount],Transactions[Name],E620,Transactions[Month],Sel_Month)))</f>
        <v/>
      </c>
      <c r="I620" s="12" t="str">
        <f t="shared" si="9"/>
        <v/>
      </c>
    </row>
    <row r="621" spans="8:9" x14ac:dyDescent="0.25">
      <c r="H621" s="11" t="str" cm="1">
        <f t="array" ref="H621">_xlfn.IFS(E621="","",E621="Grand Total",SUM(H$2:H620),TRUE,IF(COUNTIF(Transactions[Custom Category],E621)&gt;0,SUMIFS(Transactions[Amount],Transactions[Custom Category],E621,Transactions[Month],Sel_Month),SUMIFS(Transactions[Amount],Transactions[Name],E621,Transactions[Month],Sel_Month)))</f>
        <v/>
      </c>
      <c r="I621" s="12" t="str">
        <f t="shared" si="9"/>
        <v/>
      </c>
    </row>
    <row r="622" spans="8:9" x14ac:dyDescent="0.25">
      <c r="H622" s="11" t="str" cm="1">
        <f t="array" ref="H622">_xlfn.IFS(E622="","",E622="Grand Total",SUM(H$2:H621),TRUE,IF(COUNTIF(Transactions[Custom Category],E622)&gt;0,SUMIFS(Transactions[Amount],Transactions[Custom Category],E622,Transactions[Month],Sel_Month),SUMIFS(Transactions[Amount],Transactions[Name],E622,Transactions[Month],Sel_Month)))</f>
        <v/>
      </c>
      <c r="I622" s="12" t="str">
        <f t="shared" si="9"/>
        <v/>
      </c>
    </row>
    <row r="623" spans="8:9" x14ac:dyDescent="0.25">
      <c r="H623" s="11" t="str" cm="1">
        <f t="array" ref="H623">_xlfn.IFS(E623="","",E623="Grand Total",SUM(H$2:H622),TRUE,IF(COUNTIF(Transactions[Custom Category],E623)&gt;0,SUMIFS(Transactions[Amount],Transactions[Custom Category],E623,Transactions[Month],Sel_Month),SUMIFS(Transactions[Amount],Transactions[Name],E623,Transactions[Month],Sel_Month)))</f>
        <v/>
      </c>
      <c r="I623" s="12" t="str">
        <f t="shared" si="9"/>
        <v/>
      </c>
    </row>
    <row r="624" spans="8:9" x14ac:dyDescent="0.25">
      <c r="H624" s="11" t="str" cm="1">
        <f t="array" ref="H624">_xlfn.IFS(E624="","",E624="Grand Total",SUM(H$2:H623),TRUE,IF(COUNTIF(Transactions[Custom Category],E624)&gt;0,SUMIFS(Transactions[Amount],Transactions[Custom Category],E624,Transactions[Month],Sel_Month),SUMIFS(Transactions[Amount],Transactions[Name],E624,Transactions[Month],Sel_Month)))</f>
        <v/>
      </c>
      <c r="I624" s="12" t="str">
        <f t="shared" si="9"/>
        <v/>
      </c>
    </row>
    <row r="625" spans="8:9" x14ac:dyDescent="0.25">
      <c r="H625" s="11" t="str" cm="1">
        <f t="array" ref="H625">_xlfn.IFS(E625="","",E625="Grand Total",SUM(H$2:H624),TRUE,IF(COUNTIF(Transactions[Custom Category],E625)&gt;0,SUMIFS(Transactions[Amount],Transactions[Custom Category],E625,Transactions[Month],Sel_Month),SUMIFS(Transactions[Amount],Transactions[Name],E625,Transactions[Month],Sel_Month)))</f>
        <v/>
      </c>
      <c r="I625" s="12" t="str">
        <f t="shared" si="9"/>
        <v/>
      </c>
    </row>
    <row r="626" spans="8:9" x14ac:dyDescent="0.25">
      <c r="H626" s="11" t="str" cm="1">
        <f t="array" ref="H626">_xlfn.IFS(E626="","",E626="Grand Total",SUM(H$2:H625),TRUE,IF(COUNTIF(Transactions[Custom Category],E626)&gt;0,SUMIFS(Transactions[Amount],Transactions[Custom Category],E626,Transactions[Month],Sel_Month),SUMIFS(Transactions[Amount],Transactions[Name],E626,Transactions[Month],Sel_Month)))</f>
        <v/>
      </c>
      <c r="I626" s="12" t="str">
        <f t="shared" si="9"/>
        <v/>
      </c>
    </row>
    <row r="627" spans="8:9" x14ac:dyDescent="0.25">
      <c r="H627" s="11" t="str" cm="1">
        <f t="array" ref="H627">_xlfn.IFS(E627="","",E627="Grand Total",SUM(H$2:H626),TRUE,IF(COUNTIF(Transactions[Custom Category],E627)&gt;0,SUMIFS(Transactions[Amount],Transactions[Custom Category],E627,Transactions[Month],Sel_Month),SUMIFS(Transactions[Amount],Transactions[Name],E627,Transactions[Month],Sel_Month)))</f>
        <v/>
      </c>
      <c r="I627" s="12" t="str">
        <f t="shared" si="9"/>
        <v/>
      </c>
    </row>
    <row r="628" spans="8:9" x14ac:dyDescent="0.25">
      <c r="H628" s="11" t="str" cm="1">
        <f t="array" ref="H628">_xlfn.IFS(E628="","",E628="Grand Total",SUM(H$2:H627),TRUE,IF(COUNTIF(Transactions[Custom Category],E628)&gt;0,SUMIFS(Transactions[Amount],Transactions[Custom Category],E628,Transactions[Month],Sel_Month),SUMIFS(Transactions[Amount],Transactions[Name],E628,Transactions[Month],Sel_Month)))</f>
        <v/>
      </c>
      <c r="I628" s="12" t="str">
        <f t="shared" si="9"/>
        <v/>
      </c>
    </row>
    <row r="629" spans="8:9" x14ac:dyDescent="0.25">
      <c r="H629" s="11" t="str" cm="1">
        <f t="array" ref="H629">_xlfn.IFS(E629="","",E629="Grand Total",SUM(H$2:H628),TRUE,IF(COUNTIF(Transactions[Custom Category],E629)&gt;0,SUMIFS(Transactions[Amount],Transactions[Custom Category],E629,Transactions[Month],Sel_Month),SUMIFS(Transactions[Amount],Transactions[Name],E629,Transactions[Month],Sel_Month)))</f>
        <v/>
      </c>
      <c r="I629" s="12" t="str">
        <f t="shared" si="9"/>
        <v/>
      </c>
    </row>
    <row r="630" spans="8:9" x14ac:dyDescent="0.25">
      <c r="H630" s="11" t="str" cm="1">
        <f t="array" ref="H630">_xlfn.IFS(E630="","",E630="Grand Total",SUM(H$2:H629),TRUE,IF(COUNTIF(Transactions[Custom Category],E630)&gt;0,SUMIFS(Transactions[Amount],Transactions[Custom Category],E630,Transactions[Month],Sel_Month),SUMIFS(Transactions[Amount],Transactions[Name],E630,Transactions[Month],Sel_Month)))</f>
        <v/>
      </c>
      <c r="I630" s="12" t="str">
        <f t="shared" si="9"/>
        <v/>
      </c>
    </row>
    <row r="631" spans="8:9" x14ac:dyDescent="0.25">
      <c r="H631" s="11" t="str" cm="1">
        <f t="array" ref="H631">_xlfn.IFS(E631="","",E631="Grand Total",SUM(H$2:H630),TRUE,IF(COUNTIF(Transactions[Custom Category],E631)&gt;0,SUMIFS(Transactions[Amount],Transactions[Custom Category],E631,Transactions[Month],Sel_Month),SUMIFS(Transactions[Amount],Transactions[Name],E631,Transactions[Month],Sel_Month)))</f>
        <v/>
      </c>
      <c r="I631" s="12" t="str">
        <f t="shared" si="9"/>
        <v/>
      </c>
    </row>
    <row r="632" spans="8:9" x14ac:dyDescent="0.25">
      <c r="H632" s="11" t="str" cm="1">
        <f t="array" ref="H632">_xlfn.IFS(E632="","",E632="Grand Total",SUM(H$2:H631),TRUE,IF(COUNTIF(Transactions[Custom Category],E632)&gt;0,SUMIFS(Transactions[Amount],Transactions[Custom Category],E632,Transactions[Month],Sel_Month),SUMIFS(Transactions[Amount],Transactions[Name],E632,Transactions[Month],Sel_Month)))</f>
        <v/>
      </c>
      <c r="I632" s="12" t="str">
        <f t="shared" si="9"/>
        <v/>
      </c>
    </row>
    <row r="633" spans="8:9" x14ac:dyDescent="0.25">
      <c r="H633" s="11" t="str" cm="1">
        <f t="array" ref="H633">_xlfn.IFS(E633="","",E633="Grand Total",SUM(H$2:H632),TRUE,IF(COUNTIF(Transactions[Custom Category],E633)&gt;0,SUMIFS(Transactions[Amount],Transactions[Custom Category],E633,Transactions[Month],Sel_Month),SUMIFS(Transactions[Amount],Transactions[Name],E633,Transactions[Month],Sel_Month)))</f>
        <v/>
      </c>
      <c r="I633" s="12" t="str">
        <f t="shared" si="9"/>
        <v/>
      </c>
    </row>
    <row r="634" spans="8:9" x14ac:dyDescent="0.25">
      <c r="H634" s="11" t="str" cm="1">
        <f t="array" ref="H634">_xlfn.IFS(E634="","",E634="Grand Total",SUM(H$2:H633),TRUE,IF(COUNTIF(Transactions[Custom Category],E634)&gt;0,SUMIFS(Transactions[Amount],Transactions[Custom Category],E634,Transactions[Month],Sel_Month),SUMIFS(Transactions[Amount],Transactions[Name],E634,Transactions[Month],Sel_Month)))</f>
        <v/>
      </c>
      <c r="I634" s="12" t="str">
        <f t="shared" si="9"/>
        <v/>
      </c>
    </row>
    <row r="635" spans="8:9" x14ac:dyDescent="0.25">
      <c r="H635" s="11" t="str" cm="1">
        <f t="array" ref="H635">_xlfn.IFS(E635="","",E635="Grand Total",SUM(H$2:H634),TRUE,IF(COUNTIF(Transactions[Custom Category],E635)&gt;0,SUMIFS(Transactions[Amount],Transactions[Custom Category],E635,Transactions[Month],Sel_Month),SUMIFS(Transactions[Amount],Transactions[Name],E635,Transactions[Month],Sel_Month)))</f>
        <v/>
      </c>
      <c r="I635" s="12" t="str">
        <f t="shared" si="9"/>
        <v/>
      </c>
    </row>
    <row r="636" spans="8:9" x14ac:dyDescent="0.25">
      <c r="H636" s="11" t="str" cm="1">
        <f t="array" ref="H636">_xlfn.IFS(E636="","",E636="Grand Total",SUM(H$2:H635),TRUE,IF(COUNTIF(Transactions[Custom Category],E636)&gt;0,SUMIFS(Transactions[Amount],Transactions[Custom Category],E636,Transactions[Month],Sel_Month),SUMIFS(Transactions[Amount],Transactions[Name],E636,Transactions[Month],Sel_Month)))</f>
        <v/>
      </c>
      <c r="I636" s="12" t="str">
        <f t="shared" si="9"/>
        <v/>
      </c>
    </row>
    <row r="637" spans="8:9" x14ac:dyDescent="0.25">
      <c r="H637" s="11" t="str" cm="1">
        <f t="array" ref="H637">_xlfn.IFS(E637="","",E637="Grand Total",SUM(H$2:H636),TRUE,IF(COUNTIF(Transactions[Custom Category],E637)&gt;0,SUMIFS(Transactions[Amount],Transactions[Custom Category],E637,Transactions[Month],Sel_Month),SUMIFS(Transactions[Amount],Transactions[Name],E637,Transactions[Month],Sel_Month)))</f>
        <v/>
      </c>
      <c r="I637" s="12" t="str">
        <f t="shared" si="9"/>
        <v/>
      </c>
    </row>
    <row r="638" spans="8:9" x14ac:dyDescent="0.25">
      <c r="H638" s="11" t="str" cm="1">
        <f t="array" ref="H638">_xlfn.IFS(E638="","",E638="Grand Total",SUM(H$2:H637),TRUE,IF(COUNTIF(Transactions[Custom Category],E638)&gt;0,SUMIFS(Transactions[Amount],Transactions[Custom Category],E638,Transactions[Month],Sel_Month),SUMIFS(Transactions[Amount],Transactions[Name],E638,Transactions[Month],Sel_Month)))</f>
        <v/>
      </c>
      <c r="I638" s="12" t="str">
        <f t="shared" si="9"/>
        <v/>
      </c>
    </row>
    <row r="639" spans="8:9" x14ac:dyDescent="0.25">
      <c r="H639" s="11" t="str" cm="1">
        <f t="array" ref="H639">_xlfn.IFS(E639="","",E639="Grand Total",SUM(H$2:H638),TRUE,IF(COUNTIF(Transactions[Custom Category],E639)&gt;0,SUMIFS(Transactions[Amount],Transactions[Custom Category],E639,Transactions[Month],Sel_Month),SUMIFS(Transactions[Amount],Transactions[Name],E639,Transactions[Month],Sel_Month)))</f>
        <v/>
      </c>
      <c r="I639" s="12" t="str">
        <f t="shared" si="9"/>
        <v/>
      </c>
    </row>
    <row r="640" spans="8:9" x14ac:dyDescent="0.25">
      <c r="H640" s="11" t="str" cm="1">
        <f t="array" ref="H640">_xlfn.IFS(E640="","",E640="Grand Total",SUM(H$2:H639),TRUE,IF(COUNTIF(Transactions[Custom Category],E640)&gt;0,SUMIFS(Transactions[Amount],Transactions[Custom Category],E640,Transactions[Month],Sel_Month),SUMIFS(Transactions[Amount],Transactions[Name],E640,Transactions[Month],Sel_Month)))</f>
        <v/>
      </c>
      <c r="I640" s="12" t="str">
        <f t="shared" si="9"/>
        <v/>
      </c>
    </row>
    <row r="641" spans="8:9" x14ac:dyDescent="0.25">
      <c r="H641" s="11" t="str" cm="1">
        <f t="array" ref="H641">_xlfn.IFS(E641="","",E641="Grand Total",SUM(H$2:H640),TRUE,IF(COUNTIF(Transactions[Custom Category],E641)&gt;0,SUMIFS(Transactions[Amount],Transactions[Custom Category],E641,Transactions[Month],Sel_Month),SUMIFS(Transactions[Amount],Transactions[Name],E641,Transactions[Month],Sel_Month)))</f>
        <v/>
      </c>
      <c r="I641" s="12" t="str">
        <f t="shared" si="9"/>
        <v/>
      </c>
    </row>
    <row r="642" spans="8:9" x14ac:dyDescent="0.25">
      <c r="H642" s="11" t="str" cm="1">
        <f t="array" ref="H642">_xlfn.IFS(E642="","",E642="Grand Total",SUM(H$2:H641),TRUE,IF(COUNTIF(Transactions[Custom Category],E642)&gt;0,SUMIFS(Transactions[Amount],Transactions[Custom Category],E642,Transactions[Month],Sel_Month),SUMIFS(Transactions[Amount],Transactions[Name],E642,Transactions[Month],Sel_Month)))</f>
        <v/>
      </c>
      <c r="I642" s="12" t="str">
        <f t="shared" si="9"/>
        <v/>
      </c>
    </row>
    <row r="643" spans="8:9" x14ac:dyDescent="0.25">
      <c r="H643" s="11" t="str" cm="1">
        <f t="array" ref="H643">_xlfn.IFS(E643="","",E643="Grand Total",SUM(H$2:H642),TRUE,IF(COUNTIF(Transactions[Custom Category],E643)&gt;0,SUMIFS(Transactions[Amount],Transactions[Custom Category],E643,Transactions[Month],Sel_Month),SUMIFS(Transactions[Amount],Transactions[Name],E643,Transactions[Month],Sel_Month)))</f>
        <v/>
      </c>
      <c r="I643" s="12" t="str">
        <f t="shared" si="9"/>
        <v/>
      </c>
    </row>
    <row r="644" spans="8:9" x14ac:dyDescent="0.25">
      <c r="H644" s="11" t="str" cm="1">
        <f t="array" ref="H644">_xlfn.IFS(E644="","",E644="Grand Total",SUM(H$2:H643),TRUE,IF(COUNTIF(Transactions[Custom Category],E644)&gt;0,SUMIFS(Transactions[Amount],Transactions[Custom Category],E644,Transactions[Month],Sel_Month),SUMIFS(Transactions[Amount],Transactions[Name],E644,Transactions[Month],Sel_Month)))</f>
        <v/>
      </c>
      <c r="I644" s="12" t="str">
        <f t="shared" ref="I644:I707" si="10">IF(G644="","",IF(G644=0,0,1-((G644-H644)/G644)))</f>
        <v/>
      </c>
    </row>
    <row r="645" spans="8:9" x14ac:dyDescent="0.25">
      <c r="H645" s="11" t="str" cm="1">
        <f t="array" ref="H645">_xlfn.IFS(E645="","",E645="Grand Total",SUM(H$2:H644),TRUE,IF(COUNTIF(Transactions[Custom Category],E645)&gt;0,SUMIFS(Transactions[Amount],Transactions[Custom Category],E645,Transactions[Month],Sel_Month),SUMIFS(Transactions[Amount],Transactions[Name],E645,Transactions[Month],Sel_Month)))</f>
        <v/>
      </c>
      <c r="I645" s="12" t="str">
        <f t="shared" si="10"/>
        <v/>
      </c>
    </row>
    <row r="646" spans="8:9" x14ac:dyDescent="0.25">
      <c r="H646" s="11" t="str" cm="1">
        <f t="array" ref="H646">_xlfn.IFS(E646="","",E646="Grand Total",SUM(H$2:H645),TRUE,IF(COUNTIF(Transactions[Custom Category],E646)&gt;0,SUMIFS(Transactions[Amount],Transactions[Custom Category],E646,Transactions[Month],Sel_Month),SUMIFS(Transactions[Amount],Transactions[Name],E646,Transactions[Month],Sel_Month)))</f>
        <v/>
      </c>
      <c r="I646" s="12" t="str">
        <f t="shared" si="10"/>
        <v/>
      </c>
    </row>
    <row r="647" spans="8:9" x14ac:dyDescent="0.25">
      <c r="H647" s="11" t="str" cm="1">
        <f t="array" ref="H647">_xlfn.IFS(E647="","",E647="Grand Total",SUM(H$2:H646),TRUE,IF(COUNTIF(Transactions[Custom Category],E647)&gt;0,SUMIFS(Transactions[Amount],Transactions[Custom Category],E647,Transactions[Month],Sel_Month),SUMIFS(Transactions[Amount],Transactions[Name],E647,Transactions[Month],Sel_Month)))</f>
        <v/>
      </c>
      <c r="I647" s="12" t="str">
        <f t="shared" si="10"/>
        <v/>
      </c>
    </row>
    <row r="648" spans="8:9" x14ac:dyDescent="0.25">
      <c r="H648" s="11" t="str" cm="1">
        <f t="array" ref="H648">_xlfn.IFS(E648="","",E648="Grand Total",SUM(H$2:H647),TRUE,IF(COUNTIF(Transactions[Custom Category],E648)&gt;0,SUMIFS(Transactions[Amount],Transactions[Custom Category],E648,Transactions[Month],Sel_Month),SUMIFS(Transactions[Amount],Transactions[Name],E648,Transactions[Month],Sel_Month)))</f>
        <v/>
      </c>
      <c r="I648" s="12" t="str">
        <f t="shared" si="10"/>
        <v/>
      </c>
    </row>
    <row r="649" spans="8:9" x14ac:dyDescent="0.25">
      <c r="H649" s="11" t="str" cm="1">
        <f t="array" ref="H649">_xlfn.IFS(E649="","",E649="Grand Total",SUM(H$2:H648),TRUE,IF(COUNTIF(Transactions[Custom Category],E649)&gt;0,SUMIFS(Transactions[Amount],Transactions[Custom Category],E649,Transactions[Month],Sel_Month),SUMIFS(Transactions[Amount],Transactions[Name],E649,Transactions[Month],Sel_Month)))</f>
        <v/>
      </c>
      <c r="I649" s="12" t="str">
        <f t="shared" si="10"/>
        <v/>
      </c>
    </row>
    <row r="650" spans="8:9" x14ac:dyDescent="0.25">
      <c r="H650" s="11" t="str" cm="1">
        <f t="array" ref="H650">_xlfn.IFS(E650="","",E650="Grand Total",SUM(H$2:H649),TRUE,IF(COUNTIF(Transactions[Custom Category],E650)&gt;0,SUMIFS(Transactions[Amount],Transactions[Custom Category],E650,Transactions[Month],Sel_Month),SUMIFS(Transactions[Amount],Transactions[Name],E650,Transactions[Month],Sel_Month)))</f>
        <v/>
      </c>
      <c r="I650" s="12" t="str">
        <f t="shared" si="10"/>
        <v/>
      </c>
    </row>
    <row r="651" spans="8:9" x14ac:dyDescent="0.25">
      <c r="H651" s="11" t="str" cm="1">
        <f t="array" ref="H651">_xlfn.IFS(E651="","",E651="Grand Total",SUM(H$2:H650),TRUE,IF(COUNTIF(Transactions[Custom Category],E651)&gt;0,SUMIFS(Transactions[Amount],Transactions[Custom Category],E651,Transactions[Month],Sel_Month),SUMIFS(Transactions[Amount],Transactions[Name],E651,Transactions[Month],Sel_Month)))</f>
        <v/>
      </c>
      <c r="I651" s="12" t="str">
        <f t="shared" si="10"/>
        <v/>
      </c>
    </row>
    <row r="652" spans="8:9" x14ac:dyDescent="0.25">
      <c r="H652" s="11" t="str" cm="1">
        <f t="array" ref="H652">_xlfn.IFS(E652="","",E652="Grand Total",SUM(H$2:H651),TRUE,IF(COUNTIF(Transactions[Custom Category],E652)&gt;0,SUMIFS(Transactions[Amount],Transactions[Custom Category],E652,Transactions[Month],Sel_Month),SUMIFS(Transactions[Amount],Transactions[Name],E652,Transactions[Month],Sel_Month)))</f>
        <v/>
      </c>
      <c r="I652" s="12" t="str">
        <f t="shared" si="10"/>
        <v/>
      </c>
    </row>
    <row r="653" spans="8:9" x14ac:dyDescent="0.25">
      <c r="H653" s="11" t="str" cm="1">
        <f t="array" ref="H653">_xlfn.IFS(E653="","",E653="Grand Total",SUM(H$2:H652),TRUE,IF(COUNTIF(Transactions[Custom Category],E653)&gt;0,SUMIFS(Transactions[Amount],Transactions[Custom Category],E653,Transactions[Month],Sel_Month),SUMIFS(Transactions[Amount],Transactions[Name],E653,Transactions[Month],Sel_Month)))</f>
        <v/>
      </c>
      <c r="I653" s="12" t="str">
        <f t="shared" si="10"/>
        <v/>
      </c>
    </row>
    <row r="654" spans="8:9" x14ac:dyDescent="0.25">
      <c r="H654" s="11" t="str" cm="1">
        <f t="array" ref="H654">_xlfn.IFS(E654="","",E654="Grand Total",SUM(H$2:H653),TRUE,IF(COUNTIF(Transactions[Custom Category],E654)&gt;0,SUMIFS(Transactions[Amount],Transactions[Custom Category],E654,Transactions[Month],Sel_Month),SUMIFS(Transactions[Amount],Transactions[Name],E654,Transactions[Month],Sel_Month)))</f>
        <v/>
      </c>
      <c r="I654" s="12" t="str">
        <f t="shared" si="10"/>
        <v/>
      </c>
    </row>
    <row r="655" spans="8:9" x14ac:dyDescent="0.25">
      <c r="H655" s="11" t="str" cm="1">
        <f t="array" ref="H655">_xlfn.IFS(E655="","",E655="Grand Total",SUM(H$2:H654),TRUE,IF(COUNTIF(Transactions[Custom Category],E655)&gt;0,SUMIFS(Transactions[Amount],Transactions[Custom Category],E655,Transactions[Month],Sel_Month),SUMIFS(Transactions[Amount],Transactions[Name],E655,Transactions[Month],Sel_Month)))</f>
        <v/>
      </c>
      <c r="I655" s="12" t="str">
        <f t="shared" si="10"/>
        <v/>
      </c>
    </row>
    <row r="656" spans="8:9" x14ac:dyDescent="0.25">
      <c r="H656" s="11" t="str" cm="1">
        <f t="array" ref="H656">_xlfn.IFS(E656="","",E656="Grand Total",SUM(H$2:H655),TRUE,IF(COUNTIF(Transactions[Custom Category],E656)&gt;0,SUMIFS(Transactions[Amount],Transactions[Custom Category],E656,Transactions[Month],Sel_Month),SUMIFS(Transactions[Amount],Transactions[Name],E656,Transactions[Month],Sel_Month)))</f>
        <v/>
      </c>
      <c r="I656" s="12" t="str">
        <f t="shared" si="10"/>
        <v/>
      </c>
    </row>
    <row r="657" spans="8:9" x14ac:dyDescent="0.25">
      <c r="H657" s="11" t="str" cm="1">
        <f t="array" ref="H657">_xlfn.IFS(E657="","",E657="Grand Total",SUM(H$2:H656),TRUE,IF(COUNTIF(Transactions[Custom Category],E657)&gt;0,SUMIFS(Transactions[Amount],Transactions[Custom Category],E657,Transactions[Month],Sel_Month),SUMIFS(Transactions[Amount],Transactions[Name],E657,Transactions[Month],Sel_Month)))</f>
        <v/>
      </c>
      <c r="I657" s="12" t="str">
        <f t="shared" si="10"/>
        <v/>
      </c>
    </row>
    <row r="658" spans="8:9" x14ac:dyDescent="0.25">
      <c r="H658" s="11" t="str" cm="1">
        <f t="array" ref="H658">_xlfn.IFS(E658="","",E658="Grand Total",SUM(H$2:H657),TRUE,IF(COUNTIF(Transactions[Custom Category],E658)&gt;0,SUMIFS(Transactions[Amount],Transactions[Custom Category],E658,Transactions[Month],Sel_Month),SUMIFS(Transactions[Amount],Transactions[Name],E658,Transactions[Month],Sel_Month)))</f>
        <v/>
      </c>
      <c r="I658" s="12" t="str">
        <f t="shared" si="10"/>
        <v/>
      </c>
    </row>
    <row r="659" spans="8:9" x14ac:dyDescent="0.25">
      <c r="H659" s="11" t="str" cm="1">
        <f t="array" ref="H659">_xlfn.IFS(E659="","",E659="Grand Total",SUM(H$2:H658),TRUE,IF(COUNTIF(Transactions[Custom Category],E659)&gt;0,SUMIFS(Transactions[Amount],Transactions[Custom Category],E659,Transactions[Month],Sel_Month),SUMIFS(Transactions[Amount],Transactions[Name],E659,Transactions[Month],Sel_Month)))</f>
        <v/>
      </c>
      <c r="I659" s="12" t="str">
        <f t="shared" si="10"/>
        <v/>
      </c>
    </row>
    <row r="660" spans="8:9" x14ac:dyDescent="0.25">
      <c r="H660" s="11" t="str" cm="1">
        <f t="array" ref="H660">_xlfn.IFS(E660="","",E660="Grand Total",SUM(H$2:H659),TRUE,IF(COUNTIF(Transactions[Custom Category],E660)&gt;0,SUMIFS(Transactions[Amount],Transactions[Custom Category],E660,Transactions[Month],Sel_Month),SUMIFS(Transactions[Amount],Transactions[Name],E660,Transactions[Month],Sel_Month)))</f>
        <v/>
      </c>
      <c r="I660" s="12" t="str">
        <f t="shared" si="10"/>
        <v/>
      </c>
    </row>
    <row r="661" spans="8:9" x14ac:dyDescent="0.25">
      <c r="H661" s="11" t="str" cm="1">
        <f t="array" ref="H661">_xlfn.IFS(E661="","",E661="Grand Total",SUM(H$2:H660),TRUE,IF(COUNTIF(Transactions[Custom Category],E661)&gt;0,SUMIFS(Transactions[Amount],Transactions[Custom Category],E661,Transactions[Month],Sel_Month),SUMIFS(Transactions[Amount],Transactions[Name],E661,Transactions[Month],Sel_Month)))</f>
        <v/>
      </c>
      <c r="I661" s="12" t="str">
        <f t="shared" si="10"/>
        <v/>
      </c>
    </row>
    <row r="662" spans="8:9" x14ac:dyDescent="0.25">
      <c r="H662" s="11" t="str" cm="1">
        <f t="array" ref="H662">_xlfn.IFS(E662="","",E662="Grand Total",SUM(H$2:H661),TRUE,IF(COUNTIF(Transactions[Custom Category],E662)&gt;0,SUMIFS(Transactions[Amount],Transactions[Custom Category],E662,Transactions[Month],Sel_Month),SUMIFS(Transactions[Amount],Transactions[Name],E662,Transactions[Month],Sel_Month)))</f>
        <v/>
      </c>
      <c r="I662" s="12" t="str">
        <f t="shared" si="10"/>
        <v/>
      </c>
    </row>
    <row r="663" spans="8:9" x14ac:dyDescent="0.25">
      <c r="H663" s="11" t="str" cm="1">
        <f t="array" ref="H663">_xlfn.IFS(E663="","",E663="Grand Total",SUM(H$2:H662),TRUE,IF(COUNTIF(Transactions[Custom Category],E663)&gt;0,SUMIFS(Transactions[Amount],Transactions[Custom Category],E663,Transactions[Month],Sel_Month),SUMIFS(Transactions[Amount],Transactions[Name],E663,Transactions[Month],Sel_Month)))</f>
        <v/>
      </c>
      <c r="I663" s="12" t="str">
        <f t="shared" si="10"/>
        <v/>
      </c>
    </row>
    <row r="664" spans="8:9" x14ac:dyDescent="0.25">
      <c r="H664" s="11" t="str" cm="1">
        <f t="array" ref="H664">_xlfn.IFS(E664="","",E664="Grand Total",SUM(H$2:H663),TRUE,IF(COUNTIF(Transactions[Custom Category],E664)&gt;0,SUMIFS(Transactions[Amount],Transactions[Custom Category],E664,Transactions[Month],Sel_Month),SUMIFS(Transactions[Amount],Transactions[Name],E664,Transactions[Month],Sel_Month)))</f>
        <v/>
      </c>
      <c r="I664" s="12" t="str">
        <f t="shared" si="10"/>
        <v/>
      </c>
    </row>
    <row r="665" spans="8:9" x14ac:dyDescent="0.25">
      <c r="H665" s="11" t="str" cm="1">
        <f t="array" ref="H665">_xlfn.IFS(E665="","",E665="Grand Total",SUM(H$2:H664),TRUE,IF(COUNTIF(Transactions[Custom Category],E665)&gt;0,SUMIFS(Transactions[Amount],Transactions[Custom Category],E665,Transactions[Month],Sel_Month),SUMIFS(Transactions[Amount],Transactions[Name],E665,Transactions[Month],Sel_Month)))</f>
        <v/>
      </c>
      <c r="I665" s="12" t="str">
        <f t="shared" si="10"/>
        <v/>
      </c>
    </row>
    <row r="666" spans="8:9" x14ac:dyDescent="0.25">
      <c r="H666" s="11" t="str" cm="1">
        <f t="array" ref="H666">_xlfn.IFS(E666="","",E666="Grand Total",SUM(H$2:H665),TRUE,IF(COUNTIF(Transactions[Custom Category],E666)&gt;0,SUMIFS(Transactions[Amount],Transactions[Custom Category],E666,Transactions[Month],Sel_Month),SUMIFS(Transactions[Amount],Transactions[Name],E666,Transactions[Month],Sel_Month)))</f>
        <v/>
      </c>
      <c r="I666" s="12" t="str">
        <f t="shared" si="10"/>
        <v/>
      </c>
    </row>
    <row r="667" spans="8:9" x14ac:dyDescent="0.25">
      <c r="H667" s="11" t="str" cm="1">
        <f t="array" ref="H667">_xlfn.IFS(E667="","",E667="Grand Total",SUM(H$2:H666),TRUE,IF(COUNTIF(Transactions[Custom Category],E667)&gt;0,SUMIFS(Transactions[Amount],Transactions[Custom Category],E667,Transactions[Month],Sel_Month),SUMIFS(Transactions[Amount],Transactions[Name],E667,Transactions[Month],Sel_Month)))</f>
        <v/>
      </c>
      <c r="I667" s="12" t="str">
        <f t="shared" si="10"/>
        <v/>
      </c>
    </row>
    <row r="668" spans="8:9" x14ac:dyDescent="0.25">
      <c r="H668" s="11" t="str" cm="1">
        <f t="array" ref="H668">_xlfn.IFS(E668="","",E668="Grand Total",SUM(H$2:H667),TRUE,IF(COUNTIF(Transactions[Custom Category],E668)&gt;0,SUMIFS(Transactions[Amount],Transactions[Custom Category],E668,Transactions[Month],Sel_Month),SUMIFS(Transactions[Amount],Transactions[Name],E668,Transactions[Month],Sel_Month)))</f>
        <v/>
      </c>
      <c r="I668" s="12" t="str">
        <f t="shared" si="10"/>
        <v/>
      </c>
    </row>
    <row r="669" spans="8:9" x14ac:dyDescent="0.25">
      <c r="H669" s="11" t="str" cm="1">
        <f t="array" ref="H669">_xlfn.IFS(E669="","",E669="Grand Total",SUM(H$2:H668),TRUE,IF(COUNTIF(Transactions[Custom Category],E669)&gt;0,SUMIFS(Transactions[Amount],Transactions[Custom Category],E669,Transactions[Month],Sel_Month),SUMIFS(Transactions[Amount],Transactions[Name],E669,Transactions[Month],Sel_Month)))</f>
        <v/>
      </c>
      <c r="I669" s="12" t="str">
        <f t="shared" si="10"/>
        <v/>
      </c>
    </row>
    <row r="670" spans="8:9" x14ac:dyDescent="0.25">
      <c r="H670" s="11" t="str" cm="1">
        <f t="array" ref="H670">_xlfn.IFS(E670="","",E670="Grand Total",SUM(H$2:H669),TRUE,IF(COUNTIF(Transactions[Custom Category],E670)&gt;0,SUMIFS(Transactions[Amount],Transactions[Custom Category],E670,Transactions[Month],Sel_Month),SUMIFS(Transactions[Amount],Transactions[Name],E670,Transactions[Month],Sel_Month)))</f>
        <v/>
      </c>
      <c r="I670" s="12" t="str">
        <f t="shared" si="10"/>
        <v/>
      </c>
    </row>
    <row r="671" spans="8:9" x14ac:dyDescent="0.25">
      <c r="H671" s="11" t="str" cm="1">
        <f t="array" ref="H671">_xlfn.IFS(E671="","",E671="Grand Total",SUM(H$2:H670),TRUE,IF(COUNTIF(Transactions[Custom Category],E671)&gt;0,SUMIFS(Transactions[Amount],Transactions[Custom Category],E671,Transactions[Month],Sel_Month),SUMIFS(Transactions[Amount],Transactions[Name],E671,Transactions[Month],Sel_Month)))</f>
        <v/>
      </c>
      <c r="I671" s="12" t="str">
        <f t="shared" si="10"/>
        <v/>
      </c>
    </row>
    <row r="672" spans="8:9" x14ac:dyDescent="0.25">
      <c r="H672" s="11" t="str" cm="1">
        <f t="array" ref="H672">_xlfn.IFS(E672="","",E672="Grand Total",SUM(H$2:H671),TRUE,IF(COUNTIF(Transactions[Custom Category],E672)&gt;0,SUMIFS(Transactions[Amount],Transactions[Custom Category],E672,Transactions[Month],Sel_Month),SUMIFS(Transactions[Amount],Transactions[Name],E672,Transactions[Month],Sel_Month)))</f>
        <v/>
      </c>
      <c r="I672" s="12" t="str">
        <f t="shared" si="10"/>
        <v/>
      </c>
    </row>
    <row r="673" spans="8:9" x14ac:dyDescent="0.25">
      <c r="H673" s="11" t="str" cm="1">
        <f t="array" ref="H673">_xlfn.IFS(E673="","",E673="Grand Total",SUM(H$2:H672),TRUE,IF(COUNTIF(Transactions[Custom Category],E673)&gt;0,SUMIFS(Transactions[Amount],Transactions[Custom Category],E673,Transactions[Month],Sel_Month),SUMIFS(Transactions[Amount],Transactions[Name],E673,Transactions[Month],Sel_Month)))</f>
        <v/>
      </c>
      <c r="I673" s="12" t="str">
        <f t="shared" si="10"/>
        <v/>
      </c>
    </row>
    <row r="674" spans="8:9" x14ac:dyDescent="0.25">
      <c r="H674" s="11" t="str" cm="1">
        <f t="array" ref="H674">_xlfn.IFS(E674="","",E674="Grand Total",SUM(H$2:H673),TRUE,IF(COUNTIF(Transactions[Custom Category],E674)&gt;0,SUMIFS(Transactions[Amount],Transactions[Custom Category],E674,Transactions[Month],Sel_Month),SUMIFS(Transactions[Amount],Transactions[Name],E674,Transactions[Month],Sel_Month)))</f>
        <v/>
      </c>
      <c r="I674" s="12" t="str">
        <f t="shared" si="10"/>
        <v/>
      </c>
    </row>
    <row r="675" spans="8:9" x14ac:dyDescent="0.25">
      <c r="H675" s="11" t="str" cm="1">
        <f t="array" ref="H675">_xlfn.IFS(E675="","",E675="Grand Total",SUM(H$2:H674),TRUE,IF(COUNTIF(Transactions[Custom Category],E675)&gt;0,SUMIFS(Transactions[Amount],Transactions[Custom Category],E675,Transactions[Month],Sel_Month),SUMIFS(Transactions[Amount],Transactions[Name],E675,Transactions[Month],Sel_Month)))</f>
        <v/>
      </c>
      <c r="I675" s="12" t="str">
        <f t="shared" si="10"/>
        <v/>
      </c>
    </row>
    <row r="676" spans="8:9" x14ac:dyDescent="0.25">
      <c r="H676" s="11" t="str" cm="1">
        <f t="array" ref="H676">_xlfn.IFS(E676="","",E676="Grand Total",SUM(H$2:H675),TRUE,IF(COUNTIF(Transactions[Custom Category],E676)&gt;0,SUMIFS(Transactions[Amount],Transactions[Custom Category],E676,Transactions[Month],Sel_Month),SUMIFS(Transactions[Amount],Transactions[Name],E676,Transactions[Month],Sel_Month)))</f>
        <v/>
      </c>
      <c r="I676" s="12" t="str">
        <f t="shared" si="10"/>
        <v/>
      </c>
    </row>
    <row r="677" spans="8:9" x14ac:dyDescent="0.25">
      <c r="H677" s="11" t="str" cm="1">
        <f t="array" ref="H677">_xlfn.IFS(E677="","",E677="Grand Total",SUM(H$2:H676),TRUE,IF(COUNTIF(Transactions[Custom Category],E677)&gt;0,SUMIFS(Transactions[Amount],Transactions[Custom Category],E677,Transactions[Month],Sel_Month),SUMIFS(Transactions[Amount],Transactions[Name],E677,Transactions[Month],Sel_Month)))</f>
        <v/>
      </c>
      <c r="I677" s="12" t="str">
        <f t="shared" si="10"/>
        <v/>
      </c>
    </row>
    <row r="678" spans="8:9" x14ac:dyDescent="0.25">
      <c r="H678" s="11" t="str" cm="1">
        <f t="array" ref="H678">_xlfn.IFS(E678="","",E678="Grand Total",SUM(H$2:H677),TRUE,IF(COUNTIF(Transactions[Custom Category],E678)&gt;0,SUMIFS(Transactions[Amount],Transactions[Custom Category],E678,Transactions[Month],Sel_Month),SUMIFS(Transactions[Amount],Transactions[Name],E678,Transactions[Month],Sel_Month)))</f>
        <v/>
      </c>
      <c r="I678" s="12" t="str">
        <f t="shared" si="10"/>
        <v/>
      </c>
    </row>
    <row r="679" spans="8:9" x14ac:dyDescent="0.25">
      <c r="H679" s="11" t="str" cm="1">
        <f t="array" ref="H679">_xlfn.IFS(E679="","",E679="Grand Total",SUM(H$2:H678),TRUE,IF(COUNTIF(Transactions[Custom Category],E679)&gt;0,SUMIFS(Transactions[Amount],Transactions[Custom Category],E679,Transactions[Month],Sel_Month),SUMIFS(Transactions[Amount],Transactions[Name],E679,Transactions[Month],Sel_Month)))</f>
        <v/>
      </c>
      <c r="I679" s="12" t="str">
        <f t="shared" si="10"/>
        <v/>
      </c>
    </row>
    <row r="680" spans="8:9" x14ac:dyDescent="0.25">
      <c r="H680" s="11" t="str" cm="1">
        <f t="array" ref="H680">_xlfn.IFS(E680="","",E680="Grand Total",SUM(H$2:H679),TRUE,IF(COUNTIF(Transactions[Custom Category],E680)&gt;0,SUMIFS(Transactions[Amount],Transactions[Custom Category],E680,Transactions[Month],Sel_Month),SUMIFS(Transactions[Amount],Transactions[Name],E680,Transactions[Month],Sel_Month)))</f>
        <v/>
      </c>
      <c r="I680" s="12" t="str">
        <f t="shared" si="10"/>
        <v/>
      </c>
    </row>
    <row r="681" spans="8:9" x14ac:dyDescent="0.25">
      <c r="H681" s="11" t="str" cm="1">
        <f t="array" ref="H681">_xlfn.IFS(E681="","",E681="Grand Total",SUM(H$2:H680),TRUE,IF(COUNTIF(Transactions[Custom Category],E681)&gt;0,SUMIFS(Transactions[Amount],Transactions[Custom Category],E681,Transactions[Month],Sel_Month),SUMIFS(Transactions[Amount],Transactions[Name],E681,Transactions[Month],Sel_Month)))</f>
        <v/>
      </c>
      <c r="I681" s="12" t="str">
        <f t="shared" si="10"/>
        <v/>
      </c>
    </row>
    <row r="682" spans="8:9" x14ac:dyDescent="0.25">
      <c r="H682" s="11" t="str" cm="1">
        <f t="array" ref="H682">_xlfn.IFS(E682="","",E682="Grand Total",SUM(H$2:H681),TRUE,IF(COUNTIF(Transactions[Custom Category],E682)&gt;0,SUMIFS(Transactions[Amount],Transactions[Custom Category],E682,Transactions[Month],Sel_Month),SUMIFS(Transactions[Amount],Transactions[Name],E682,Transactions[Month],Sel_Month)))</f>
        <v/>
      </c>
      <c r="I682" s="12" t="str">
        <f t="shared" si="10"/>
        <v/>
      </c>
    </row>
    <row r="683" spans="8:9" x14ac:dyDescent="0.25">
      <c r="H683" s="11" t="str" cm="1">
        <f t="array" ref="H683">_xlfn.IFS(E683="","",E683="Grand Total",SUM(H$2:H682),TRUE,IF(COUNTIF(Transactions[Custom Category],E683)&gt;0,SUMIFS(Transactions[Amount],Transactions[Custom Category],E683,Transactions[Month],Sel_Month),SUMIFS(Transactions[Amount],Transactions[Name],E683,Transactions[Month],Sel_Month)))</f>
        <v/>
      </c>
      <c r="I683" s="12" t="str">
        <f t="shared" si="10"/>
        <v/>
      </c>
    </row>
    <row r="684" spans="8:9" x14ac:dyDescent="0.25">
      <c r="H684" s="11" t="str" cm="1">
        <f t="array" ref="H684">_xlfn.IFS(E684="","",E684="Grand Total",SUM(H$2:H683),TRUE,IF(COUNTIF(Transactions[Custom Category],E684)&gt;0,SUMIFS(Transactions[Amount],Transactions[Custom Category],E684,Transactions[Month],Sel_Month),SUMIFS(Transactions[Amount],Transactions[Name],E684,Transactions[Month],Sel_Month)))</f>
        <v/>
      </c>
      <c r="I684" s="12" t="str">
        <f t="shared" si="10"/>
        <v/>
      </c>
    </row>
    <row r="685" spans="8:9" x14ac:dyDescent="0.25">
      <c r="H685" s="11" t="str" cm="1">
        <f t="array" ref="H685">_xlfn.IFS(E685="","",E685="Grand Total",SUM(H$2:H684),TRUE,IF(COUNTIF(Transactions[Custom Category],E685)&gt;0,SUMIFS(Transactions[Amount],Transactions[Custom Category],E685,Transactions[Month],Sel_Month),SUMIFS(Transactions[Amount],Transactions[Name],E685,Transactions[Month],Sel_Month)))</f>
        <v/>
      </c>
      <c r="I685" s="12" t="str">
        <f t="shared" si="10"/>
        <v/>
      </c>
    </row>
    <row r="686" spans="8:9" x14ac:dyDescent="0.25">
      <c r="H686" s="11" t="str" cm="1">
        <f t="array" ref="H686">_xlfn.IFS(E686="","",E686="Grand Total",SUM(H$2:H685),TRUE,IF(COUNTIF(Transactions[Custom Category],E686)&gt;0,SUMIFS(Transactions[Amount],Transactions[Custom Category],E686,Transactions[Month],Sel_Month),SUMIFS(Transactions[Amount],Transactions[Name],E686,Transactions[Month],Sel_Month)))</f>
        <v/>
      </c>
      <c r="I686" s="12" t="str">
        <f t="shared" si="10"/>
        <v/>
      </c>
    </row>
    <row r="687" spans="8:9" x14ac:dyDescent="0.25">
      <c r="H687" s="11" t="str" cm="1">
        <f t="array" ref="H687">_xlfn.IFS(E687="","",E687="Grand Total",SUM(H$2:H686),TRUE,IF(COUNTIF(Transactions[Custom Category],E687)&gt;0,SUMIFS(Transactions[Amount],Transactions[Custom Category],E687,Transactions[Month],Sel_Month),SUMIFS(Transactions[Amount],Transactions[Name],E687,Transactions[Month],Sel_Month)))</f>
        <v/>
      </c>
      <c r="I687" s="12" t="str">
        <f t="shared" si="10"/>
        <v/>
      </c>
    </row>
    <row r="688" spans="8:9" x14ac:dyDescent="0.25">
      <c r="H688" s="11" t="str" cm="1">
        <f t="array" ref="H688">_xlfn.IFS(E688="","",E688="Grand Total",SUM(H$2:H687),TRUE,IF(COUNTIF(Transactions[Custom Category],E688)&gt;0,SUMIFS(Transactions[Amount],Transactions[Custom Category],E688,Transactions[Month],Sel_Month),SUMIFS(Transactions[Amount],Transactions[Name],E688,Transactions[Month],Sel_Month)))</f>
        <v/>
      </c>
      <c r="I688" s="12" t="str">
        <f t="shared" si="10"/>
        <v/>
      </c>
    </row>
    <row r="689" spans="8:9" x14ac:dyDescent="0.25">
      <c r="H689" s="11" t="str" cm="1">
        <f t="array" ref="H689">_xlfn.IFS(E689="","",E689="Grand Total",SUM(H$2:H688),TRUE,IF(COUNTIF(Transactions[Custom Category],E689)&gt;0,SUMIFS(Transactions[Amount],Transactions[Custom Category],E689,Transactions[Month],Sel_Month),SUMIFS(Transactions[Amount],Transactions[Name],E689,Transactions[Month],Sel_Month)))</f>
        <v/>
      </c>
      <c r="I689" s="12" t="str">
        <f t="shared" si="10"/>
        <v/>
      </c>
    </row>
    <row r="690" spans="8:9" x14ac:dyDescent="0.25">
      <c r="H690" s="11" t="str" cm="1">
        <f t="array" ref="H690">_xlfn.IFS(E690="","",E690="Grand Total",SUM(H$2:H689),TRUE,IF(COUNTIF(Transactions[Custom Category],E690)&gt;0,SUMIFS(Transactions[Amount],Transactions[Custom Category],E690,Transactions[Month],Sel_Month),SUMIFS(Transactions[Amount],Transactions[Name],E690,Transactions[Month],Sel_Month)))</f>
        <v/>
      </c>
      <c r="I690" s="12" t="str">
        <f t="shared" si="10"/>
        <v/>
      </c>
    </row>
    <row r="691" spans="8:9" x14ac:dyDescent="0.25">
      <c r="H691" s="11" t="str" cm="1">
        <f t="array" ref="H691">_xlfn.IFS(E691="","",E691="Grand Total",SUM(H$2:H690),TRUE,IF(COUNTIF(Transactions[Custom Category],E691)&gt;0,SUMIFS(Transactions[Amount],Transactions[Custom Category],E691,Transactions[Month],Sel_Month),SUMIFS(Transactions[Amount],Transactions[Name],E691,Transactions[Month],Sel_Month)))</f>
        <v/>
      </c>
      <c r="I691" s="12" t="str">
        <f t="shared" si="10"/>
        <v/>
      </c>
    </row>
    <row r="692" spans="8:9" x14ac:dyDescent="0.25">
      <c r="H692" s="11" t="str" cm="1">
        <f t="array" ref="H692">_xlfn.IFS(E692="","",E692="Grand Total",SUM(H$2:H691),TRUE,IF(COUNTIF(Transactions[Custom Category],E692)&gt;0,SUMIFS(Transactions[Amount],Transactions[Custom Category],E692,Transactions[Month],Sel_Month),SUMIFS(Transactions[Amount],Transactions[Name],E692,Transactions[Month],Sel_Month)))</f>
        <v/>
      </c>
      <c r="I692" s="12" t="str">
        <f t="shared" si="10"/>
        <v/>
      </c>
    </row>
    <row r="693" spans="8:9" x14ac:dyDescent="0.25">
      <c r="H693" s="11" t="str" cm="1">
        <f t="array" ref="H693">_xlfn.IFS(E693="","",E693="Grand Total",SUM(H$2:H692),TRUE,IF(COUNTIF(Transactions[Custom Category],E693)&gt;0,SUMIFS(Transactions[Amount],Transactions[Custom Category],E693,Transactions[Month],Sel_Month),SUMIFS(Transactions[Amount],Transactions[Name],E693,Transactions[Month],Sel_Month)))</f>
        <v/>
      </c>
      <c r="I693" s="12" t="str">
        <f t="shared" si="10"/>
        <v/>
      </c>
    </row>
    <row r="694" spans="8:9" x14ac:dyDescent="0.25">
      <c r="H694" s="11" t="str" cm="1">
        <f t="array" ref="H694">_xlfn.IFS(E694="","",E694="Grand Total",SUM(H$2:H693),TRUE,IF(COUNTIF(Transactions[Custom Category],E694)&gt;0,SUMIFS(Transactions[Amount],Transactions[Custom Category],E694,Transactions[Month],Sel_Month),SUMIFS(Transactions[Amount],Transactions[Name],E694,Transactions[Month],Sel_Month)))</f>
        <v/>
      </c>
      <c r="I694" s="12" t="str">
        <f t="shared" si="10"/>
        <v/>
      </c>
    </row>
    <row r="695" spans="8:9" x14ac:dyDescent="0.25">
      <c r="H695" s="11" t="str" cm="1">
        <f t="array" ref="H695">_xlfn.IFS(E695="","",E695="Grand Total",SUM(H$2:H694),TRUE,IF(COUNTIF(Transactions[Custom Category],E695)&gt;0,SUMIFS(Transactions[Amount],Transactions[Custom Category],E695,Transactions[Month],Sel_Month),SUMIFS(Transactions[Amount],Transactions[Name],E695,Transactions[Month],Sel_Month)))</f>
        <v/>
      </c>
      <c r="I695" s="12" t="str">
        <f t="shared" si="10"/>
        <v/>
      </c>
    </row>
    <row r="696" spans="8:9" x14ac:dyDescent="0.25">
      <c r="H696" s="11" t="str" cm="1">
        <f t="array" ref="H696">_xlfn.IFS(E696="","",E696="Grand Total",SUM(H$2:H695),TRUE,IF(COUNTIF(Transactions[Custom Category],E696)&gt;0,SUMIFS(Transactions[Amount],Transactions[Custom Category],E696,Transactions[Month],Sel_Month),SUMIFS(Transactions[Amount],Transactions[Name],E696,Transactions[Month],Sel_Month)))</f>
        <v/>
      </c>
      <c r="I696" s="12" t="str">
        <f t="shared" si="10"/>
        <v/>
      </c>
    </row>
    <row r="697" spans="8:9" x14ac:dyDescent="0.25">
      <c r="H697" s="11" t="str" cm="1">
        <f t="array" ref="H697">_xlfn.IFS(E697="","",E697="Grand Total",SUM(H$2:H696),TRUE,IF(COUNTIF(Transactions[Custom Category],E697)&gt;0,SUMIFS(Transactions[Amount],Transactions[Custom Category],E697,Transactions[Month],Sel_Month),SUMIFS(Transactions[Amount],Transactions[Name],E697,Transactions[Month],Sel_Month)))</f>
        <v/>
      </c>
      <c r="I697" s="12" t="str">
        <f t="shared" si="10"/>
        <v/>
      </c>
    </row>
    <row r="698" spans="8:9" x14ac:dyDescent="0.25">
      <c r="H698" s="11" t="str" cm="1">
        <f t="array" ref="H698">_xlfn.IFS(E698="","",E698="Grand Total",SUM(H$2:H697),TRUE,IF(COUNTIF(Transactions[Custom Category],E698)&gt;0,SUMIFS(Transactions[Amount],Transactions[Custom Category],E698,Transactions[Month],Sel_Month),SUMIFS(Transactions[Amount],Transactions[Name],E698,Transactions[Month],Sel_Month)))</f>
        <v/>
      </c>
      <c r="I698" s="12" t="str">
        <f t="shared" si="10"/>
        <v/>
      </c>
    </row>
    <row r="699" spans="8:9" x14ac:dyDescent="0.25">
      <c r="H699" s="11" t="str" cm="1">
        <f t="array" ref="H699">_xlfn.IFS(E699="","",E699="Grand Total",SUM(H$2:H698),TRUE,IF(COUNTIF(Transactions[Custom Category],E699)&gt;0,SUMIFS(Transactions[Amount],Transactions[Custom Category],E699,Transactions[Month],Sel_Month),SUMIFS(Transactions[Amount],Transactions[Name],E699,Transactions[Month],Sel_Month)))</f>
        <v/>
      </c>
      <c r="I699" s="12" t="str">
        <f t="shared" si="10"/>
        <v/>
      </c>
    </row>
    <row r="700" spans="8:9" x14ac:dyDescent="0.25">
      <c r="H700" s="11" t="str" cm="1">
        <f t="array" ref="H700">_xlfn.IFS(E700="","",E700="Grand Total",SUM(H$2:H699),TRUE,IF(COUNTIF(Transactions[Custom Category],E700)&gt;0,SUMIFS(Transactions[Amount],Transactions[Custom Category],E700,Transactions[Month],Sel_Month),SUMIFS(Transactions[Amount],Transactions[Name],E700,Transactions[Month],Sel_Month)))</f>
        <v/>
      </c>
      <c r="I700" s="12" t="str">
        <f t="shared" si="10"/>
        <v/>
      </c>
    </row>
    <row r="701" spans="8:9" x14ac:dyDescent="0.25">
      <c r="H701" s="11" t="str" cm="1">
        <f t="array" ref="H701">_xlfn.IFS(E701="","",E701="Grand Total",SUM(H$2:H700),TRUE,IF(COUNTIF(Transactions[Custom Category],E701)&gt;0,SUMIFS(Transactions[Amount],Transactions[Custom Category],E701,Transactions[Month],Sel_Month),SUMIFS(Transactions[Amount],Transactions[Name],E701,Transactions[Month],Sel_Month)))</f>
        <v/>
      </c>
      <c r="I701" s="12" t="str">
        <f t="shared" si="10"/>
        <v/>
      </c>
    </row>
    <row r="702" spans="8:9" x14ac:dyDescent="0.25">
      <c r="H702" s="11" t="str" cm="1">
        <f t="array" ref="H702">_xlfn.IFS(E702="","",E702="Grand Total",SUM(H$2:H701),TRUE,IF(COUNTIF(Transactions[Custom Category],E702)&gt;0,SUMIFS(Transactions[Amount],Transactions[Custom Category],E702,Transactions[Month],Sel_Month),SUMIFS(Transactions[Amount],Transactions[Name],E702,Transactions[Month],Sel_Month)))</f>
        <v/>
      </c>
      <c r="I702" s="12" t="str">
        <f t="shared" si="10"/>
        <v/>
      </c>
    </row>
    <row r="703" spans="8:9" x14ac:dyDescent="0.25">
      <c r="H703" s="11" t="str" cm="1">
        <f t="array" ref="H703">_xlfn.IFS(E703="","",E703="Grand Total",SUM(H$2:H702),TRUE,IF(COUNTIF(Transactions[Custom Category],E703)&gt;0,SUMIFS(Transactions[Amount],Transactions[Custom Category],E703,Transactions[Month],Sel_Month),SUMIFS(Transactions[Amount],Transactions[Name],E703,Transactions[Month],Sel_Month)))</f>
        <v/>
      </c>
      <c r="I703" s="12" t="str">
        <f t="shared" si="10"/>
        <v/>
      </c>
    </row>
    <row r="704" spans="8:9" x14ac:dyDescent="0.25">
      <c r="H704" s="11" t="str" cm="1">
        <f t="array" ref="H704">_xlfn.IFS(E704="","",E704="Grand Total",SUM(H$2:H703),TRUE,IF(COUNTIF(Transactions[Custom Category],E704)&gt;0,SUMIFS(Transactions[Amount],Transactions[Custom Category],E704,Transactions[Month],Sel_Month),SUMIFS(Transactions[Amount],Transactions[Name],E704,Transactions[Month],Sel_Month)))</f>
        <v/>
      </c>
      <c r="I704" s="12" t="str">
        <f t="shared" si="10"/>
        <v/>
      </c>
    </row>
    <row r="705" spans="8:9" x14ac:dyDescent="0.25">
      <c r="H705" s="11" t="str" cm="1">
        <f t="array" ref="H705">_xlfn.IFS(E705="","",E705="Grand Total",SUM(H$2:H704),TRUE,IF(COUNTIF(Transactions[Custom Category],E705)&gt;0,SUMIFS(Transactions[Amount],Transactions[Custom Category],E705,Transactions[Month],Sel_Month),SUMIFS(Transactions[Amount],Transactions[Name],E705,Transactions[Month],Sel_Month)))</f>
        <v/>
      </c>
      <c r="I705" s="12" t="str">
        <f t="shared" si="10"/>
        <v/>
      </c>
    </row>
    <row r="706" spans="8:9" x14ac:dyDescent="0.25">
      <c r="H706" s="11" t="str" cm="1">
        <f t="array" ref="H706">_xlfn.IFS(E706="","",E706="Grand Total",SUM(H$2:H705),TRUE,IF(COUNTIF(Transactions[Custom Category],E706)&gt;0,SUMIFS(Transactions[Amount],Transactions[Custom Category],E706,Transactions[Month],Sel_Month),SUMIFS(Transactions[Amount],Transactions[Name],E706,Transactions[Month],Sel_Month)))</f>
        <v/>
      </c>
      <c r="I706" s="12" t="str">
        <f t="shared" si="10"/>
        <v/>
      </c>
    </row>
    <row r="707" spans="8:9" x14ac:dyDescent="0.25">
      <c r="H707" s="11" t="str" cm="1">
        <f t="array" ref="H707">_xlfn.IFS(E707="","",E707="Grand Total",SUM(H$2:H706),TRUE,IF(COUNTIF(Transactions[Custom Category],E707)&gt;0,SUMIFS(Transactions[Amount],Transactions[Custom Category],E707,Transactions[Month],Sel_Month),SUMIFS(Transactions[Amount],Transactions[Name],E707,Transactions[Month],Sel_Month)))</f>
        <v/>
      </c>
      <c r="I707" s="12" t="str">
        <f t="shared" si="10"/>
        <v/>
      </c>
    </row>
    <row r="708" spans="8:9" x14ac:dyDescent="0.25">
      <c r="H708" s="11" t="str" cm="1">
        <f t="array" ref="H708">_xlfn.IFS(E708="","",E708="Grand Total",SUM(H$2:H707),TRUE,IF(COUNTIF(Transactions[Custom Category],E708)&gt;0,SUMIFS(Transactions[Amount],Transactions[Custom Category],E708,Transactions[Month],Sel_Month),SUMIFS(Transactions[Amount],Transactions[Name],E708,Transactions[Month],Sel_Month)))</f>
        <v/>
      </c>
      <c r="I708" s="12" t="str">
        <f t="shared" ref="I708:I771" si="11">IF(G708="","",IF(G708=0,0,1-((G708-H708)/G708)))</f>
        <v/>
      </c>
    </row>
    <row r="709" spans="8:9" x14ac:dyDescent="0.25">
      <c r="H709" s="11" t="str" cm="1">
        <f t="array" ref="H709">_xlfn.IFS(E709="","",E709="Grand Total",SUM(H$2:H708),TRUE,IF(COUNTIF(Transactions[Custom Category],E709)&gt;0,SUMIFS(Transactions[Amount],Transactions[Custom Category],E709,Transactions[Month],Sel_Month),SUMIFS(Transactions[Amount],Transactions[Name],E709,Transactions[Month],Sel_Month)))</f>
        <v/>
      </c>
      <c r="I709" s="12" t="str">
        <f t="shared" si="11"/>
        <v/>
      </c>
    </row>
    <row r="710" spans="8:9" x14ac:dyDescent="0.25">
      <c r="H710" s="11" t="str" cm="1">
        <f t="array" ref="H710">_xlfn.IFS(E710="","",E710="Grand Total",SUM(H$2:H709),TRUE,IF(COUNTIF(Transactions[Custom Category],E710)&gt;0,SUMIFS(Transactions[Amount],Transactions[Custom Category],E710,Transactions[Month],Sel_Month),SUMIFS(Transactions[Amount],Transactions[Name],E710,Transactions[Month],Sel_Month)))</f>
        <v/>
      </c>
      <c r="I710" s="12" t="str">
        <f t="shared" si="11"/>
        <v/>
      </c>
    </row>
    <row r="711" spans="8:9" x14ac:dyDescent="0.25">
      <c r="H711" s="11" t="str" cm="1">
        <f t="array" ref="H711">_xlfn.IFS(E711="","",E711="Grand Total",SUM(H$2:H710),TRUE,IF(COUNTIF(Transactions[Custom Category],E711)&gt;0,SUMIFS(Transactions[Amount],Transactions[Custom Category],E711,Transactions[Month],Sel_Month),SUMIFS(Transactions[Amount],Transactions[Name],E711,Transactions[Month],Sel_Month)))</f>
        <v/>
      </c>
      <c r="I711" s="12" t="str">
        <f t="shared" si="11"/>
        <v/>
      </c>
    </row>
    <row r="712" spans="8:9" x14ac:dyDescent="0.25">
      <c r="H712" s="11" t="str" cm="1">
        <f t="array" ref="H712">_xlfn.IFS(E712="","",E712="Grand Total",SUM(H$2:H711),TRUE,IF(COUNTIF(Transactions[Custom Category],E712)&gt;0,SUMIFS(Transactions[Amount],Transactions[Custom Category],E712,Transactions[Month],Sel_Month),SUMIFS(Transactions[Amount],Transactions[Name],E712,Transactions[Month],Sel_Month)))</f>
        <v/>
      </c>
      <c r="I712" s="12" t="str">
        <f t="shared" si="11"/>
        <v/>
      </c>
    </row>
    <row r="713" spans="8:9" x14ac:dyDescent="0.25">
      <c r="H713" s="11" t="str" cm="1">
        <f t="array" ref="H713">_xlfn.IFS(E713="","",E713="Grand Total",SUM(H$2:H712),TRUE,IF(COUNTIF(Transactions[Custom Category],E713)&gt;0,SUMIFS(Transactions[Amount],Transactions[Custom Category],E713,Transactions[Month],Sel_Month),SUMIFS(Transactions[Amount],Transactions[Name],E713,Transactions[Month],Sel_Month)))</f>
        <v/>
      </c>
      <c r="I713" s="12" t="str">
        <f t="shared" si="11"/>
        <v/>
      </c>
    </row>
    <row r="714" spans="8:9" x14ac:dyDescent="0.25">
      <c r="H714" s="11" t="str" cm="1">
        <f t="array" ref="H714">_xlfn.IFS(E714="","",E714="Grand Total",SUM(H$2:H713),TRUE,IF(COUNTIF(Transactions[Custom Category],E714)&gt;0,SUMIFS(Transactions[Amount],Transactions[Custom Category],E714,Transactions[Month],Sel_Month),SUMIFS(Transactions[Amount],Transactions[Name],E714,Transactions[Month],Sel_Month)))</f>
        <v/>
      </c>
      <c r="I714" s="12" t="str">
        <f t="shared" si="11"/>
        <v/>
      </c>
    </row>
    <row r="715" spans="8:9" x14ac:dyDescent="0.25">
      <c r="H715" s="11" t="str" cm="1">
        <f t="array" ref="H715">_xlfn.IFS(E715="","",E715="Grand Total",SUM(H$2:H714),TRUE,IF(COUNTIF(Transactions[Custom Category],E715)&gt;0,SUMIFS(Transactions[Amount],Transactions[Custom Category],E715,Transactions[Month],Sel_Month),SUMIFS(Transactions[Amount],Transactions[Name],E715,Transactions[Month],Sel_Month)))</f>
        <v/>
      </c>
      <c r="I715" s="12" t="str">
        <f t="shared" si="11"/>
        <v/>
      </c>
    </row>
    <row r="716" spans="8:9" x14ac:dyDescent="0.25">
      <c r="H716" s="11" t="str" cm="1">
        <f t="array" ref="H716">_xlfn.IFS(E716="","",E716="Grand Total",SUM(H$2:H715),TRUE,IF(COUNTIF(Transactions[Custom Category],E716)&gt;0,SUMIFS(Transactions[Amount],Transactions[Custom Category],E716,Transactions[Month],Sel_Month),SUMIFS(Transactions[Amount],Transactions[Name],E716,Transactions[Month],Sel_Month)))</f>
        <v/>
      </c>
      <c r="I716" s="12" t="str">
        <f t="shared" si="11"/>
        <v/>
      </c>
    </row>
    <row r="717" spans="8:9" x14ac:dyDescent="0.25">
      <c r="H717" s="11" t="str" cm="1">
        <f t="array" ref="H717">_xlfn.IFS(E717="","",E717="Grand Total",SUM(H$2:H716),TRUE,IF(COUNTIF(Transactions[Custom Category],E717)&gt;0,SUMIFS(Transactions[Amount],Transactions[Custom Category],E717,Transactions[Month],Sel_Month),SUMIFS(Transactions[Amount],Transactions[Name],E717,Transactions[Month],Sel_Month)))</f>
        <v/>
      </c>
      <c r="I717" s="12" t="str">
        <f t="shared" si="11"/>
        <v/>
      </c>
    </row>
    <row r="718" spans="8:9" x14ac:dyDescent="0.25">
      <c r="H718" s="11" t="str" cm="1">
        <f t="array" ref="H718">_xlfn.IFS(E718="","",E718="Grand Total",SUM(H$2:H717),TRUE,IF(COUNTIF(Transactions[Custom Category],E718)&gt;0,SUMIFS(Transactions[Amount],Transactions[Custom Category],E718,Transactions[Month],Sel_Month),SUMIFS(Transactions[Amount],Transactions[Name],E718,Transactions[Month],Sel_Month)))</f>
        <v/>
      </c>
      <c r="I718" s="12" t="str">
        <f t="shared" si="11"/>
        <v/>
      </c>
    </row>
    <row r="719" spans="8:9" x14ac:dyDescent="0.25">
      <c r="H719" s="11" t="str" cm="1">
        <f t="array" ref="H719">_xlfn.IFS(E719="","",E719="Grand Total",SUM(H$2:H718),TRUE,IF(COUNTIF(Transactions[Custom Category],E719)&gt;0,SUMIFS(Transactions[Amount],Transactions[Custom Category],E719,Transactions[Month],Sel_Month),SUMIFS(Transactions[Amount],Transactions[Name],E719,Transactions[Month],Sel_Month)))</f>
        <v/>
      </c>
      <c r="I719" s="12" t="str">
        <f t="shared" si="11"/>
        <v/>
      </c>
    </row>
    <row r="720" spans="8:9" x14ac:dyDescent="0.25">
      <c r="H720" s="11" t="str" cm="1">
        <f t="array" ref="H720">_xlfn.IFS(E720="","",E720="Grand Total",SUM(H$2:H719),TRUE,IF(COUNTIF(Transactions[Custom Category],E720)&gt;0,SUMIFS(Transactions[Amount],Transactions[Custom Category],E720,Transactions[Month],Sel_Month),SUMIFS(Transactions[Amount],Transactions[Name],E720,Transactions[Month],Sel_Month)))</f>
        <v/>
      </c>
      <c r="I720" s="12" t="str">
        <f t="shared" si="11"/>
        <v/>
      </c>
    </row>
    <row r="721" spans="8:9" x14ac:dyDescent="0.25">
      <c r="H721" s="11" t="str" cm="1">
        <f t="array" ref="H721">_xlfn.IFS(E721="","",E721="Grand Total",SUM(H$2:H720),TRUE,IF(COUNTIF(Transactions[Custom Category],E721)&gt;0,SUMIFS(Transactions[Amount],Transactions[Custom Category],E721,Transactions[Month],Sel_Month),SUMIFS(Transactions[Amount],Transactions[Name],E721,Transactions[Month],Sel_Month)))</f>
        <v/>
      </c>
      <c r="I721" s="12" t="str">
        <f t="shared" si="11"/>
        <v/>
      </c>
    </row>
    <row r="722" spans="8:9" x14ac:dyDescent="0.25">
      <c r="H722" s="11" t="str" cm="1">
        <f t="array" ref="H722">_xlfn.IFS(E722="","",E722="Grand Total",SUM(H$2:H721),TRUE,IF(COUNTIF(Transactions[Custom Category],E722)&gt;0,SUMIFS(Transactions[Amount],Transactions[Custom Category],E722,Transactions[Month],Sel_Month),SUMIFS(Transactions[Amount],Transactions[Name],E722,Transactions[Month],Sel_Month)))</f>
        <v/>
      </c>
      <c r="I722" s="12" t="str">
        <f t="shared" si="11"/>
        <v/>
      </c>
    </row>
    <row r="723" spans="8:9" x14ac:dyDescent="0.25">
      <c r="H723" s="11" t="str" cm="1">
        <f t="array" ref="H723">_xlfn.IFS(E723="","",E723="Grand Total",SUM(H$2:H722),TRUE,IF(COUNTIF(Transactions[Custom Category],E723)&gt;0,SUMIFS(Transactions[Amount],Transactions[Custom Category],E723,Transactions[Month],Sel_Month),SUMIFS(Transactions[Amount],Transactions[Name],E723,Transactions[Month],Sel_Month)))</f>
        <v/>
      </c>
      <c r="I723" s="12" t="str">
        <f t="shared" si="11"/>
        <v/>
      </c>
    </row>
    <row r="724" spans="8:9" x14ac:dyDescent="0.25">
      <c r="H724" s="11" t="str" cm="1">
        <f t="array" ref="H724">_xlfn.IFS(E724="","",E724="Grand Total",SUM(H$2:H723),TRUE,IF(COUNTIF(Transactions[Custom Category],E724)&gt;0,SUMIFS(Transactions[Amount],Transactions[Custom Category],E724,Transactions[Month],Sel_Month),SUMIFS(Transactions[Amount],Transactions[Name],E724,Transactions[Month],Sel_Month)))</f>
        <v/>
      </c>
      <c r="I724" s="12" t="str">
        <f t="shared" si="11"/>
        <v/>
      </c>
    </row>
    <row r="725" spans="8:9" x14ac:dyDescent="0.25">
      <c r="H725" s="11" t="str" cm="1">
        <f t="array" ref="H725">_xlfn.IFS(E725="","",E725="Grand Total",SUM(H$2:H724),TRUE,IF(COUNTIF(Transactions[Custom Category],E725)&gt;0,SUMIFS(Transactions[Amount],Transactions[Custom Category],E725,Transactions[Month],Sel_Month),SUMIFS(Transactions[Amount],Transactions[Name],E725,Transactions[Month],Sel_Month)))</f>
        <v/>
      </c>
      <c r="I725" s="12" t="str">
        <f t="shared" si="11"/>
        <v/>
      </c>
    </row>
    <row r="726" spans="8:9" x14ac:dyDescent="0.25">
      <c r="H726" s="11" t="str" cm="1">
        <f t="array" ref="H726">_xlfn.IFS(E726="","",E726="Grand Total",SUM(H$2:H725),TRUE,IF(COUNTIF(Transactions[Custom Category],E726)&gt;0,SUMIFS(Transactions[Amount],Transactions[Custom Category],E726,Transactions[Month],Sel_Month),SUMIFS(Transactions[Amount],Transactions[Name],E726,Transactions[Month],Sel_Month)))</f>
        <v/>
      </c>
      <c r="I726" s="12" t="str">
        <f t="shared" si="11"/>
        <v/>
      </c>
    </row>
    <row r="727" spans="8:9" x14ac:dyDescent="0.25">
      <c r="H727" s="11" t="str" cm="1">
        <f t="array" ref="H727">_xlfn.IFS(E727="","",E727="Grand Total",SUM(H$2:H726),TRUE,IF(COUNTIF(Transactions[Custom Category],E727)&gt;0,SUMIFS(Transactions[Amount],Transactions[Custom Category],E727,Transactions[Month],Sel_Month),SUMIFS(Transactions[Amount],Transactions[Name],E727,Transactions[Month],Sel_Month)))</f>
        <v/>
      </c>
      <c r="I727" s="12" t="str">
        <f t="shared" si="11"/>
        <v/>
      </c>
    </row>
    <row r="728" spans="8:9" x14ac:dyDescent="0.25">
      <c r="H728" s="11" t="str" cm="1">
        <f t="array" ref="H728">_xlfn.IFS(E728="","",E728="Grand Total",SUM(H$2:H727),TRUE,IF(COUNTIF(Transactions[Custom Category],E728)&gt;0,SUMIFS(Transactions[Amount],Transactions[Custom Category],E728,Transactions[Month],Sel_Month),SUMIFS(Transactions[Amount],Transactions[Name],E728,Transactions[Month],Sel_Month)))</f>
        <v/>
      </c>
      <c r="I728" s="12" t="str">
        <f t="shared" si="11"/>
        <v/>
      </c>
    </row>
    <row r="729" spans="8:9" x14ac:dyDescent="0.25">
      <c r="H729" s="11" t="str" cm="1">
        <f t="array" ref="H729">_xlfn.IFS(E729="","",E729="Grand Total",SUM(H$2:H728),TRUE,IF(COUNTIF(Transactions[Custom Category],E729)&gt;0,SUMIFS(Transactions[Amount],Transactions[Custom Category],E729,Transactions[Month],Sel_Month),SUMIFS(Transactions[Amount],Transactions[Name],E729,Transactions[Month],Sel_Month)))</f>
        <v/>
      </c>
      <c r="I729" s="12" t="str">
        <f t="shared" si="11"/>
        <v/>
      </c>
    </row>
    <row r="730" spans="8:9" x14ac:dyDescent="0.25">
      <c r="H730" s="11" t="str" cm="1">
        <f t="array" ref="H730">_xlfn.IFS(E730="","",E730="Grand Total",SUM(H$2:H729),TRUE,IF(COUNTIF(Transactions[Custom Category],E730)&gt;0,SUMIFS(Transactions[Amount],Transactions[Custom Category],E730,Transactions[Month],Sel_Month),SUMIFS(Transactions[Amount],Transactions[Name],E730,Transactions[Month],Sel_Month)))</f>
        <v/>
      </c>
      <c r="I730" s="12" t="str">
        <f t="shared" si="11"/>
        <v/>
      </c>
    </row>
    <row r="731" spans="8:9" x14ac:dyDescent="0.25">
      <c r="H731" s="11" t="str" cm="1">
        <f t="array" ref="H731">_xlfn.IFS(E731="","",E731="Grand Total",SUM(H$2:H730),TRUE,IF(COUNTIF(Transactions[Custom Category],E731)&gt;0,SUMIFS(Transactions[Amount],Transactions[Custom Category],E731,Transactions[Month],Sel_Month),SUMIFS(Transactions[Amount],Transactions[Name],E731,Transactions[Month],Sel_Month)))</f>
        <v/>
      </c>
      <c r="I731" s="12" t="str">
        <f t="shared" si="11"/>
        <v/>
      </c>
    </row>
    <row r="732" spans="8:9" x14ac:dyDescent="0.25">
      <c r="H732" s="11" t="str" cm="1">
        <f t="array" ref="H732">_xlfn.IFS(E732="","",E732="Grand Total",SUM(H$2:H731),TRUE,IF(COUNTIF(Transactions[Custom Category],E732)&gt;0,SUMIFS(Transactions[Amount],Transactions[Custom Category],E732,Transactions[Month],Sel_Month),SUMIFS(Transactions[Amount],Transactions[Name],E732,Transactions[Month],Sel_Month)))</f>
        <v/>
      </c>
      <c r="I732" s="12" t="str">
        <f t="shared" si="11"/>
        <v/>
      </c>
    </row>
    <row r="733" spans="8:9" x14ac:dyDescent="0.25">
      <c r="H733" s="11" t="str" cm="1">
        <f t="array" ref="H733">_xlfn.IFS(E733="","",E733="Grand Total",SUM(H$2:H732),TRUE,IF(COUNTIF(Transactions[Custom Category],E733)&gt;0,SUMIFS(Transactions[Amount],Transactions[Custom Category],E733,Transactions[Month],Sel_Month),SUMIFS(Transactions[Amount],Transactions[Name],E733,Transactions[Month],Sel_Month)))</f>
        <v/>
      </c>
      <c r="I733" s="12" t="str">
        <f t="shared" si="11"/>
        <v/>
      </c>
    </row>
    <row r="734" spans="8:9" x14ac:dyDescent="0.25">
      <c r="H734" s="11" t="str" cm="1">
        <f t="array" ref="H734">_xlfn.IFS(E734="","",E734="Grand Total",SUM(H$2:H733),TRUE,IF(COUNTIF(Transactions[Custom Category],E734)&gt;0,SUMIFS(Transactions[Amount],Transactions[Custom Category],E734,Transactions[Month],Sel_Month),SUMIFS(Transactions[Amount],Transactions[Name],E734,Transactions[Month],Sel_Month)))</f>
        <v/>
      </c>
      <c r="I734" s="12" t="str">
        <f t="shared" si="11"/>
        <v/>
      </c>
    </row>
    <row r="735" spans="8:9" x14ac:dyDescent="0.25">
      <c r="H735" s="11" t="str" cm="1">
        <f t="array" ref="H735">_xlfn.IFS(E735="","",E735="Grand Total",SUM(H$2:H734),TRUE,IF(COUNTIF(Transactions[Custom Category],E735)&gt;0,SUMIFS(Transactions[Amount],Transactions[Custom Category],E735,Transactions[Month],Sel_Month),SUMIFS(Transactions[Amount],Transactions[Name],E735,Transactions[Month],Sel_Month)))</f>
        <v/>
      </c>
      <c r="I735" s="12" t="str">
        <f t="shared" si="11"/>
        <v/>
      </c>
    </row>
    <row r="736" spans="8:9" x14ac:dyDescent="0.25">
      <c r="H736" s="11" t="str" cm="1">
        <f t="array" ref="H736">_xlfn.IFS(E736="","",E736="Grand Total",SUM(H$2:H735),TRUE,IF(COUNTIF(Transactions[Custom Category],E736)&gt;0,SUMIFS(Transactions[Amount],Transactions[Custom Category],E736,Transactions[Month],Sel_Month),SUMIFS(Transactions[Amount],Transactions[Name],E736,Transactions[Month],Sel_Month)))</f>
        <v/>
      </c>
      <c r="I736" s="12" t="str">
        <f t="shared" si="11"/>
        <v/>
      </c>
    </row>
    <row r="737" spans="8:9" x14ac:dyDescent="0.25">
      <c r="H737" s="11" t="str" cm="1">
        <f t="array" ref="H737">_xlfn.IFS(E737="","",E737="Grand Total",SUM(H$2:H736),TRUE,IF(COUNTIF(Transactions[Custom Category],E737)&gt;0,SUMIFS(Transactions[Amount],Transactions[Custom Category],E737,Transactions[Month],Sel_Month),SUMIFS(Transactions[Amount],Transactions[Name],E737,Transactions[Month],Sel_Month)))</f>
        <v/>
      </c>
      <c r="I737" s="12" t="str">
        <f t="shared" si="11"/>
        <v/>
      </c>
    </row>
    <row r="738" spans="8:9" x14ac:dyDescent="0.25">
      <c r="H738" s="11" t="str" cm="1">
        <f t="array" ref="H738">_xlfn.IFS(E738="","",E738="Grand Total",SUM(H$2:H737),TRUE,IF(COUNTIF(Transactions[Custom Category],E738)&gt;0,SUMIFS(Transactions[Amount],Transactions[Custom Category],E738,Transactions[Month],Sel_Month),SUMIFS(Transactions[Amount],Transactions[Name],E738,Transactions[Month],Sel_Month)))</f>
        <v/>
      </c>
      <c r="I738" s="12" t="str">
        <f t="shared" si="11"/>
        <v/>
      </c>
    </row>
    <row r="739" spans="8:9" x14ac:dyDescent="0.25">
      <c r="H739" s="11" t="str" cm="1">
        <f t="array" ref="H739">_xlfn.IFS(E739="","",E739="Grand Total",SUM(H$2:H738),TRUE,IF(COUNTIF(Transactions[Custom Category],E739)&gt;0,SUMIFS(Transactions[Amount],Transactions[Custom Category],E739,Transactions[Month],Sel_Month),SUMIFS(Transactions[Amount],Transactions[Name],E739,Transactions[Month],Sel_Month)))</f>
        <v/>
      </c>
      <c r="I739" s="12" t="str">
        <f t="shared" si="11"/>
        <v/>
      </c>
    </row>
    <row r="740" spans="8:9" x14ac:dyDescent="0.25">
      <c r="H740" s="11" t="str" cm="1">
        <f t="array" ref="H740">_xlfn.IFS(E740="","",E740="Grand Total",SUM(H$2:H739),TRUE,IF(COUNTIF(Transactions[Custom Category],E740)&gt;0,SUMIFS(Transactions[Amount],Transactions[Custom Category],E740,Transactions[Month],Sel_Month),SUMIFS(Transactions[Amount],Transactions[Name],E740,Transactions[Month],Sel_Month)))</f>
        <v/>
      </c>
      <c r="I740" s="12" t="str">
        <f t="shared" si="11"/>
        <v/>
      </c>
    </row>
    <row r="741" spans="8:9" x14ac:dyDescent="0.25">
      <c r="H741" s="11" t="str" cm="1">
        <f t="array" ref="H741">_xlfn.IFS(E741="","",E741="Grand Total",SUM(H$2:H740),TRUE,IF(COUNTIF(Transactions[Custom Category],E741)&gt;0,SUMIFS(Transactions[Amount],Transactions[Custom Category],E741,Transactions[Month],Sel_Month),SUMIFS(Transactions[Amount],Transactions[Name],E741,Transactions[Month],Sel_Month)))</f>
        <v/>
      </c>
      <c r="I741" s="12" t="str">
        <f t="shared" si="11"/>
        <v/>
      </c>
    </row>
    <row r="742" spans="8:9" x14ac:dyDescent="0.25">
      <c r="H742" s="11" t="str" cm="1">
        <f t="array" ref="H742">_xlfn.IFS(E742="","",E742="Grand Total",SUM(H$2:H741),TRUE,IF(COUNTIF(Transactions[Custom Category],E742)&gt;0,SUMIFS(Transactions[Amount],Transactions[Custom Category],E742,Transactions[Month],Sel_Month),SUMIFS(Transactions[Amount],Transactions[Name],E742,Transactions[Month],Sel_Month)))</f>
        <v/>
      </c>
      <c r="I742" s="12" t="str">
        <f t="shared" si="11"/>
        <v/>
      </c>
    </row>
    <row r="743" spans="8:9" x14ac:dyDescent="0.25">
      <c r="H743" s="11" t="str" cm="1">
        <f t="array" ref="H743">_xlfn.IFS(E743="","",E743="Grand Total",SUM(H$2:H742),TRUE,IF(COUNTIF(Transactions[Custom Category],E743)&gt;0,SUMIFS(Transactions[Amount],Transactions[Custom Category],E743,Transactions[Month],Sel_Month),SUMIFS(Transactions[Amount],Transactions[Name],E743,Transactions[Month],Sel_Month)))</f>
        <v/>
      </c>
      <c r="I743" s="12" t="str">
        <f t="shared" si="11"/>
        <v/>
      </c>
    </row>
    <row r="744" spans="8:9" x14ac:dyDescent="0.25">
      <c r="H744" s="11" t="str" cm="1">
        <f t="array" ref="H744">_xlfn.IFS(E744="","",E744="Grand Total",SUM(H$2:H743),TRUE,IF(COUNTIF(Transactions[Custom Category],E744)&gt;0,SUMIFS(Transactions[Amount],Transactions[Custom Category],E744,Transactions[Month],Sel_Month),SUMIFS(Transactions[Amount],Transactions[Name],E744,Transactions[Month],Sel_Month)))</f>
        <v/>
      </c>
      <c r="I744" s="12" t="str">
        <f t="shared" si="11"/>
        <v/>
      </c>
    </row>
    <row r="745" spans="8:9" x14ac:dyDescent="0.25">
      <c r="H745" s="11" t="str" cm="1">
        <f t="array" ref="H745">_xlfn.IFS(E745="","",E745="Grand Total",SUM(H$2:H744),TRUE,IF(COUNTIF(Transactions[Custom Category],E745)&gt;0,SUMIFS(Transactions[Amount],Transactions[Custom Category],E745,Transactions[Month],Sel_Month),SUMIFS(Transactions[Amount],Transactions[Name],E745,Transactions[Month],Sel_Month)))</f>
        <v/>
      </c>
      <c r="I745" s="12" t="str">
        <f t="shared" si="11"/>
        <v/>
      </c>
    </row>
    <row r="746" spans="8:9" x14ac:dyDescent="0.25">
      <c r="H746" s="11" t="str" cm="1">
        <f t="array" ref="H746">_xlfn.IFS(E746="","",E746="Grand Total",SUM(H$2:H745),TRUE,IF(COUNTIF(Transactions[Custom Category],E746)&gt;0,SUMIFS(Transactions[Amount],Transactions[Custom Category],E746,Transactions[Month],Sel_Month),SUMIFS(Transactions[Amount],Transactions[Name],E746,Transactions[Month],Sel_Month)))</f>
        <v/>
      </c>
      <c r="I746" s="12" t="str">
        <f t="shared" si="11"/>
        <v/>
      </c>
    </row>
    <row r="747" spans="8:9" x14ac:dyDescent="0.25">
      <c r="H747" s="11" t="str" cm="1">
        <f t="array" ref="H747">_xlfn.IFS(E747="","",E747="Grand Total",SUM(H$2:H746),TRUE,IF(COUNTIF(Transactions[Custom Category],E747)&gt;0,SUMIFS(Transactions[Amount],Transactions[Custom Category],E747,Transactions[Month],Sel_Month),SUMIFS(Transactions[Amount],Transactions[Name],E747,Transactions[Month],Sel_Month)))</f>
        <v/>
      </c>
      <c r="I747" s="12" t="str">
        <f t="shared" si="11"/>
        <v/>
      </c>
    </row>
    <row r="748" spans="8:9" x14ac:dyDescent="0.25">
      <c r="H748" s="11" t="str" cm="1">
        <f t="array" ref="H748">_xlfn.IFS(E748="","",E748="Grand Total",SUM(H$2:H747),TRUE,IF(COUNTIF(Transactions[Custom Category],E748)&gt;0,SUMIFS(Transactions[Amount],Transactions[Custom Category],E748,Transactions[Month],Sel_Month),SUMIFS(Transactions[Amount],Transactions[Name],E748,Transactions[Month],Sel_Month)))</f>
        <v/>
      </c>
      <c r="I748" s="12" t="str">
        <f t="shared" si="11"/>
        <v/>
      </c>
    </row>
    <row r="749" spans="8:9" x14ac:dyDescent="0.25">
      <c r="H749" s="11" t="str" cm="1">
        <f t="array" ref="H749">_xlfn.IFS(E749="","",E749="Grand Total",SUM(H$2:H748),TRUE,IF(COUNTIF(Transactions[Custom Category],E749)&gt;0,SUMIFS(Transactions[Amount],Transactions[Custom Category],E749,Transactions[Month],Sel_Month),SUMIFS(Transactions[Amount],Transactions[Name],E749,Transactions[Month],Sel_Month)))</f>
        <v/>
      </c>
      <c r="I749" s="12" t="str">
        <f t="shared" si="11"/>
        <v/>
      </c>
    </row>
    <row r="750" spans="8:9" x14ac:dyDescent="0.25">
      <c r="H750" s="11" t="str" cm="1">
        <f t="array" ref="H750">_xlfn.IFS(E750="","",E750="Grand Total",SUM(H$2:H749),TRUE,IF(COUNTIF(Transactions[Custom Category],E750)&gt;0,SUMIFS(Transactions[Amount],Transactions[Custom Category],E750,Transactions[Month],Sel_Month),SUMIFS(Transactions[Amount],Transactions[Name],E750,Transactions[Month],Sel_Month)))</f>
        <v/>
      </c>
      <c r="I750" s="12" t="str">
        <f t="shared" si="11"/>
        <v/>
      </c>
    </row>
    <row r="751" spans="8:9" x14ac:dyDescent="0.25">
      <c r="H751" s="11" t="str" cm="1">
        <f t="array" ref="H751">_xlfn.IFS(E751="","",E751="Grand Total",SUM(H$2:H750),TRUE,IF(COUNTIF(Transactions[Custom Category],E751)&gt;0,SUMIFS(Transactions[Amount],Transactions[Custom Category],E751,Transactions[Month],Sel_Month),SUMIFS(Transactions[Amount],Transactions[Name],E751,Transactions[Month],Sel_Month)))</f>
        <v/>
      </c>
      <c r="I751" s="12" t="str">
        <f t="shared" si="11"/>
        <v/>
      </c>
    </row>
    <row r="752" spans="8:9" x14ac:dyDescent="0.25">
      <c r="H752" s="11" t="str" cm="1">
        <f t="array" ref="H752">_xlfn.IFS(E752="","",E752="Grand Total",SUM(H$2:H751),TRUE,IF(COUNTIF(Transactions[Custom Category],E752)&gt;0,SUMIFS(Transactions[Amount],Transactions[Custom Category],E752,Transactions[Month],Sel_Month),SUMIFS(Transactions[Amount],Transactions[Name],E752,Transactions[Month],Sel_Month)))</f>
        <v/>
      </c>
      <c r="I752" s="12" t="str">
        <f t="shared" si="11"/>
        <v/>
      </c>
    </row>
    <row r="753" spans="8:9" x14ac:dyDescent="0.25">
      <c r="H753" s="11" t="str" cm="1">
        <f t="array" ref="H753">_xlfn.IFS(E753="","",E753="Grand Total",SUM(H$2:H752),TRUE,IF(COUNTIF(Transactions[Custom Category],E753)&gt;0,SUMIFS(Transactions[Amount],Transactions[Custom Category],E753,Transactions[Month],Sel_Month),SUMIFS(Transactions[Amount],Transactions[Name],E753,Transactions[Month],Sel_Month)))</f>
        <v/>
      </c>
      <c r="I753" s="12" t="str">
        <f t="shared" si="11"/>
        <v/>
      </c>
    </row>
    <row r="754" spans="8:9" x14ac:dyDescent="0.25">
      <c r="H754" s="11" t="str" cm="1">
        <f t="array" ref="H754">_xlfn.IFS(E754="","",E754="Grand Total",SUM(H$2:H753),TRUE,IF(COUNTIF(Transactions[Custom Category],E754)&gt;0,SUMIFS(Transactions[Amount],Transactions[Custom Category],E754,Transactions[Month],Sel_Month),SUMIFS(Transactions[Amount],Transactions[Name],E754,Transactions[Month],Sel_Month)))</f>
        <v/>
      </c>
      <c r="I754" s="12" t="str">
        <f t="shared" si="11"/>
        <v/>
      </c>
    </row>
    <row r="755" spans="8:9" x14ac:dyDescent="0.25">
      <c r="H755" s="11" t="str" cm="1">
        <f t="array" ref="H755">_xlfn.IFS(E755="","",E755="Grand Total",SUM(H$2:H754),TRUE,IF(COUNTIF(Transactions[Custom Category],E755)&gt;0,SUMIFS(Transactions[Amount],Transactions[Custom Category],E755,Transactions[Month],Sel_Month),SUMIFS(Transactions[Amount],Transactions[Name],E755,Transactions[Month],Sel_Month)))</f>
        <v/>
      </c>
      <c r="I755" s="12" t="str">
        <f t="shared" si="11"/>
        <v/>
      </c>
    </row>
    <row r="756" spans="8:9" x14ac:dyDescent="0.25">
      <c r="H756" s="11" t="str" cm="1">
        <f t="array" ref="H756">_xlfn.IFS(E756="","",E756="Grand Total",SUM(H$2:H755),TRUE,IF(COUNTIF(Transactions[Custom Category],E756)&gt;0,SUMIFS(Transactions[Amount],Transactions[Custom Category],E756,Transactions[Month],Sel_Month),SUMIFS(Transactions[Amount],Transactions[Name],E756,Transactions[Month],Sel_Month)))</f>
        <v/>
      </c>
      <c r="I756" s="12" t="str">
        <f t="shared" si="11"/>
        <v/>
      </c>
    </row>
    <row r="757" spans="8:9" x14ac:dyDescent="0.25">
      <c r="H757" s="11" t="str" cm="1">
        <f t="array" ref="H757">_xlfn.IFS(E757="","",E757="Grand Total",SUM(H$2:H756),TRUE,IF(COUNTIF(Transactions[Custom Category],E757)&gt;0,SUMIFS(Transactions[Amount],Transactions[Custom Category],E757,Transactions[Month],Sel_Month),SUMIFS(Transactions[Amount],Transactions[Name],E757,Transactions[Month],Sel_Month)))</f>
        <v/>
      </c>
      <c r="I757" s="12" t="str">
        <f t="shared" si="11"/>
        <v/>
      </c>
    </row>
    <row r="758" spans="8:9" x14ac:dyDescent="0.25">
      <c r="H758" s="11" t="str" cm="1">
        <f t="array" ref="H758">_xlfn.IFS(E758="","",E758="Grand Total",SUM(H$2:H757),TRUE,IF(COUNTIF(Transactions[Custom Category],E758)&gt;0,SUMIFS(Transactions[Amount],Transactions[Custom Category],E758,Transactions[Month],Sel_Month),SUMIFS(Transactions[Amount],Transactions[Name],E758,Transactions[Month],Sel_Month)))</f>
        <v/>
      </c>
      <c r="I758" s="12" t="str">
        <f t="shared" si="11"/>
        <v/>
      </c>
    </row>
    <row r="759" spans="8:9" x14ac:dyDescent="0.25">
      <c r="H759" s="11" t="str" cm="1">
        <f t="array" ref="H759">_xlfn.IFS(E759="","",E759="Grand Total",SUM(H$2:H758),TRUE,IF(COUNTIF(Transactions[Custom Category],E759)&gt;0,SUMIFS(Transactions[Amount],Transactions[Custom Category],E759,Transactions[Month],Sel_Month),SUMIFS(Transactions[Amount],Transactions[Name],E759,Transactions[Month],Sel_Month)))</f>
        <v/>
      </c>
      <c r="I759" s="12" t="str">
        <f t="shared" si="11"/>
        <v/>
      </c>
    </row>
    <row r="760" spans="8:9" x14ac:dyDescent="0.25">
      <c r="H760" s="11" t="str" cm="1">
        <f t="array" ref="H760">_xlfn.IFS(E760="","",E760="Grand Total",SUM(H$2:H759),TRUE,IF(COUNTIF(Transactions[Custom Category],E760)&gt;0,SUMIFS(Transactions[Amount],Transactions[Custom Category],E760,Transactions[Month],Sel_Month),SUMIFS(Transactions[Amount],Transactions[Name],E760,Transactions[Month],Sel_Month)))</f>
        <v/>
      </c>
      <c r="I760" s="12" t="str">
        <f t="shared" si="11"/>
        <v/>
      </c>
    </row>
    <row r="761" spans="8:9" x14ac:dyDescent="0.25">
      <c r="H761" s="11" t="str" cm="1">
        <f t="array" ref="H761">_xlfn.IFS(E761="","",E761="Grand Total",SUM(H$2:H760),TRUE,IF(COUNTIF(Transactions[Custom Category],E761)&gt;0,SUMIFS(Transactions[Amount],Transactions[Custom Category],E761,Transactions[Month],Sel_Month),SUMIFS(Transactions[Amount],Transactions[Name],E761,Transactions[Month],Sel_Month)))</f>
        <v/>
      </c>
      <c r="I761" s="12" t="str">
        <f t="shared" si="11"/>
        <v/>
      </c>
    </row>
    <row r="762" spans="8:9" x14ac:dyDescent="0.25">
      <c r="H762" s="11" t="str" cm="1">
        <f t="array" ref="H762">_xlfn.IFS(E762="","",E762="Grand Total",SUM(H$2:H761),TRUE,IF(COUNTIF(Transactions[Custom Category],E762)&gt;0,SUMIFS(Transactions[Amount],Transactions[Custom Category],E762,Transactions[Month],Sel_Month),SUMIFS(Transactions[Amount],Transactions[Name],E762,Transactions[Month],Sel_Month)))</f>
        <v/>
      </c>
      <c r="I762" s="12" t="str">
        <f t="shared" si="11"/>
        <v/>
      </c>
    </row>
    <row r="763" spans="8:9" x14ac:dyDescent="0.25">
      <c r="H763" s="11" t="str" cm="1">
        <f t="array" ref="H763">_xlfn.IFS(E763="","",E763="Grand Total",SUM(H$2:H762),TRUE,IF(COUNTIF(Transactions[Custom Category],E763)&gt;0,SUMIFS(Transactions[Amount],Transactions[Custom Category],E763,Transactions[Month],Sel_Month),SUMIFS(Transactions[Amount],Transactions[Name],E763,Transactions[Month],Sel_Month)))</f>
        <v/>
      </c>
      <c r="I763" s="12" t="str">
        <f t="shared" si="11"/>
        <v/>
      </c>
    </row>
    <row r="764" spans="8:9" x14ac:dyDescent="0.25">
      <c r="H764" s="11" t="str" cm="1">
        <f t="array" ref="H764">_xlfn.IFS(E764="","",E764="Grand Total",SUM(H$2:H763),TRUE,IF(COUNTIF(Transactions[Custom Category],E764)&gt;0,SUMIFS(Transactions[Amount],Transactions[Custom Category],E764,Transactions[Month],Sel_Month),SUMIFS(Transactions[Amount],Transactions[Name],E764,Transactions[Month],Sel_Month)))</f>
        <v/>
      </c>
      <c r="I764" s="12" t="str">
        <f t="shared" si="11"/>
        <v/>
      </c>
    </row>
    <row r="765" spans="8:9" x14ac:dyDescent="0.25">
      <c r="H765" s="11" t="str" cm="1">
        <f t="array" ref="H765">_xlfn.IFS(E765="","",E765="Grand Total",SUM(H$2:H764),TRUE,IF(COUNTIF(Transactions[Custom Category],E765)&gt;0,SUMIFS(Transactions[Amount],Transactions[Custom Category],E765,Transactions[Month],Sel_Month),SUMIFS(Transactions[Amount],Transactions[Name],E765,Transactions[Month],Sel_Month)))</f>
        <v/>
      </c>
      <c r="I765" s="12" t="str">
        <f t="shared" si="11"/>
        <v/>
      </c>
    </row>
    <row r="766" spans="8:9" x14ac:dyDescent="0.25">
      <c r="H766" s="11" t="str" cm="1">
        <f t="array" ref="H766">_xlfn.IFS(E766="","",E766="Grand Total",SUM(H$2:H765),TRUE,IF(COUNTIF(Transactions[Custom Category],E766)&gt;0,SUMIFS(Transactions[Amount],Transactions[Custom Category],E766,Transactions[Month],Sel_Month),SUMIFS(Transactions[Amount],Transactions[Name],E766,Transactions[Month],Sel_Month)))</f>
        <v/>
      </c>
      <c r="I766" s="12" t="str">
        <f t="shared" si="11"/>
        <v/>
      </c>
    </row>
    <row r="767" spans="8:9" x14ac:dyDescent="0.25">
      <c r="H767" s="11" t="str" cm="1">
        <f t="array" ref="H767">_xlfn.IFS(E767="","",E767="Grand Total",SUM(H$2:H766),TRUE,IF(COUNTIF(Transactions[Custom Category],E767)&gt;0,SUMIFS(Transactions[Amount],Transactions[Custom Category],E767,Transactions[Month],Sel_Month),SUMIFS(Transactions[Amount],Transactions[Name],E767,Transactions[Month],Sel_Month)))</f>
        <v/>
      </c>
      <c r="I767" s="12" t="str">
        <f t="shared" si="11"/>
        <v/>
      </c>
    </row>
    <row r="768" spans="8:9" x14ac:dyDescent="0.25">
      <c r="H768" s="11" t="str" cm="1">
        <f t="array" ref="H768">_xlfn.IFS(E768="","",E768="Grand Total",SUM(H$2:H767),TRUE,IF(COUNTIF(Transactions[Custom Category],E768)&gt;0,SUMIFS(Transactions[Amount],Transactions[Custom Category],E768,Transactions[Month],Sel_Month),SUMIFS(Transactions[Amount],Transactions[Name],E768,Transactions[Month],Sel_Month)))</f>
        <v/>
      </c>
      <c r="I768" s="12" t="str">
        <f t="shared" si="11"/>
        <v/>
      </c>
    </row>
    <row r="769" spans="8:9" x14ac:dyDescent="0.25">
      <c r="H769" s="11" t="str" cm="1">
        <f t="array" ref="H769">_xlfn.IFS(E769="","",E769="Grand Total",SUM(H$2:H768),TRUE,IF(COUNTIF(Transactions[Custom Category],E769)&gt;0,SUMIFS(Transactions[Amount],Transactions[Custom Category],E769,Transactions[Month],Sel_Month),SUMIFS(Transactions[Amount],Transactions[Name],E769,Transactions[Month],Sel_Month)))</f>
        <v/>
      </c>
      <c r="I769" s="12" t="str">
        <f t="shared" si="11"/>
        <v/>
      </c>
    </row>
    <row r="770" spans="8:9" x14ac:dyDescent="0.25">
      <c r="H770" s="11" t="str" cm="1">
        <f t="array" ref="H770">_xlfn.IFS(E770="","",E770="Grand Total",SUM(H$2:H769),TRUE,IF(COUNTIF(Transactions[Custom Category],E770)&gt;0,SUMIFS(Transactions[Amount],Transactions[Custom Category],E770,Transactions[Month],Sel_Month),SUMIFS(Transactions[Amount],Transactions[Name],E770,Transactions[Month],Sel_Month)))</f>
        <v/>
      </c>
      <c r="I770" s="12" t="str">
        <f t="shared" si="11"/>
        <v/>
      </c>
    </row>
    <row r="771" spans="8:9" x14ac:dyDescent="0.25">
      <c r="H771" s="11" t="str" cm="1">
        <f t="array" ref="H771">_xlfn.IFS(E771="","",E771="Grand Total",SUM(H$2:H770),TRUE,IF(COUNTIF(Transactions[Custom Category],E771)&gt;0,SUMIFS(Transactions[Amount],Transactions[Custom Category],E771,Transactions[Month],Sel_Month),SUMIFS(Transactions[Amount],Transactions[Name],E771,Transactions[Month],Sel_Month)))</f>
        <v/>
      </c>
      <c r="I771" s="12" t="str">
        <f t="shared" si="11"/>
        <v/>
      </c>
    </row>
    <row r="772" spans="8:9" x14ac:dyDescent="0.25">
      <c r="H772" s="11" t="str" cm="1">
        <f t="array" ref="H772">_xlfn.IFS(E772="","",E772="Grand Total",SUM(H$2:H771),TRUE,IF(COUNTIF(Transactions[Custom Category],E772)&gt;0,SUMIFS(Transactions[Amount],Transactions[Custom Category],E772,Transactions[Month],Sel_Month),SUMIFS(Transactions[Amount],Transactions[Name],E772,Transactions[Month],Sel_Month)))</f>
        <v/>
      </c>
      <c r="I772" s="12" t="str">
        <f t="shared" ref="I772:I835" si="12">IF(G772="","",IF(G772=0,0,1-((G772-H772)/G772)))</f>
        <v/>
      </c>
    </row>
    <row r="773" spans="8:9" x14ac:dyDescent="0.25">
      <c r="H773" s="11" t="str" cm="1">
        <f t="array" ref="H773">_xlfn.IFS(E773="","",E773="Grand Total",SUM(H$2:H772),TRUE,IF(COUNTIF(Transactions[Custom Category],E773)&gt;0,SUMIFS(Transactions[Amount],Transactions[Custom Category],E773,Transactions[Month],Sel_Month),SUMIFS(Transactions[Amount],Transactions[Name],E773,Transactions[Month],Sel_Month)))</f>
        <v/>
      </c>
      <c r="I773" s="12" t="str">
        <f t="shared" si="12"/>
        <v/>
      </c>
    </row>
    <row r="774" spans="8:9" x14ac:dyDescent="0.25">
      <c r="H774" s="11" t="str" cm="1">
        <f t="array" ref="H774">_xlfn.IFS(E774="","",E774="Grand Total",SUM(H$2:H773),TRUE,IF(COUNTIF(Transactions[Custom Category],E774)&gt;0,SUMIFS(Transactions[Amount],Transactions[Custom Category],E774,Transactions[Month],Sel_Month),SUMIFS(Transactions[Amount],Transactions[Name],E774,Transactions[Month],Sel_Month)))</f>
        <v/>
      </c>
      <c r="I774" s="12" t="str">
        <f t="shared" si="12"/>
        <v/>
      </c>
    </row>
    <row r="775" spans="8:9" x14ac:dyDescent="0.25">
      <c r="H775" s="11" t="str" cm="1">
        <f t="array" ref="H775">_xlfn.IFS(E775="","",E775="Grand Total",SUM(H$2:H774),TRUE,IF(COUNTIF(Transactions[Custom Category],E775)&gt;0,SUMIFS(Transactions[Amount],Transactions[Custom Category],E775,Transactions[Month],Sel_Month),SUMIFS(Transactions[Amount],Transactions[Name],E775,Transactions[Month],Sel_Month)))</f>
        <v/>
      </c>
      <c r="I775" s="12" t="str">
        <f t="shared" si="12"/>
        <v/>
      </c>
    </row>
    <row r="776" spans="8:9" x14ac:dyDescent="0.25">
      <c r="H776" s="11" t="str" cm="1">
        <f t="array" ref="H776">_xlfn.IFS(E776="","",E776="Grand Total",SUM(H$2:H775),TRUE,IF(COUNTIF(Transactions[Custom Category],E776)&gt;0,SUMIFS(Transactions[Amount],Transactions[Custom Category],E776,Transactions[Month],Sel_Month),SUMIFS(Transactions[Amount],Transactions[Name],E776,Transactions[Month],Sel_Month)))</f>
        <v/>
      </c>
      <c r="I776" s="12" t="str">
        <f t="shared" si="12"/>
        <v/>
      </c>
    </row>
    <row r="777" spans="8:9" x14ac:dyDescent="0.25">
      <c r="H777" s="11" t="str" cm="1">
        <f t="array" ref="H777">_xlfn.IFS(E777="","",E777="Grand Total",SUM(H$2:H776),TRUE,IF(COUNTIF(Transactions[Custom Category],E777)&gt;0,SUMIFS(Transactions[Amount],Transactions[Custom Category],E777,Transactions[Month],Sel_Month),SUMIFS(Transactions[Amount],Transactions[Name],E777,Transactions[Month],Sel_Month)))</f>
        <v/>
      </c>
      <c r="I777" s="12" t="str">
        <f t="shared" si="12"/>
        <v/>
      </c>
    </row>
    <row r="778" spans="8:9" x14ac:dyDescent="0.25">
      <c r="H778" s="11" t="str" cm="1">
        <f t="array" ref="H778">_xlfn.IFS(E778="","",E778="Grand Total",SUM(H$2:H777),TRUE,IF(COUNTIF(Transactions[Custom Category],E778)&gt;0,SUMIFS(Transactions[Amount],Transactions[Custom Category],E778,Transactions[Month],Sel_Month),SUMIFS(Transactions[Amount],Transactions[Name],E778,Transactions[Month],Sel_Month)))</f>
        <v/>
      </c>
      <c r="I778" s="12" t="str">
        <f t="shared" si="12"/>
        <v/>
      </c>
    </row>
    <row r="779" spans="8:9" x14ac:dyDescent="0.25">
      <c r="H779" s="11" t="str" cm="1">
        <f t="array" ref="H779">_xlfn.IFS(E779="","",E779="Grand Total",SUM(H$2:H778),TRUE,IF(COUNTIF(Transactions[Custom Category],E779)&gt;0,SUMIFS(Transactions[Amount],Transactions[Custom Category],E779,Transactions[Month],Sel_Month),SUMIFS(Transactions[Amount],Transactions[Name],E779,Transactions[Month],Sel_Month)))</f>
        <v/>
      </c>
      <c r="I779" s="12" t="str">
        <f t="shared" si="12"/>
        <v/>
      </c>
    </row>
    <row r="780" spans="8:9" x14ac:dyDescent="0.25">
      <c r="H780" s="11" t="str" cm="1">
        <f t="array" ref="H780">_xlfn.IFS(E780="","",E780="Grand Total",SUM(H$2:H779),TRUE,IF(COUNTIF(Transactions[Custom Category],E780)&gt;0,SUMIFS(Transactions[Amount],Transactions[Custom Category],E780,Transactions[Month],Sel_Month),SUMIFS(Transactions[Amount],Transactions[Name],E780,Transactions[Month],Sel_Month)))</f>
        <v/>
      </c>
      <c r="I780" s="12" t="str">
        <f t="shared" si="12"/>
        <v/>
      </c>
    </row>
    <row r="781" spans="8:9" x14ac:dyDescent="0.25">
      <c r="H781" s="11" t="str" cm="1">
        <f t="array" ref="H781">_xlfn.IFS(E781="","",E781="Grand Total",SUM(H$2:H780),TRUE,IF(COUNTIF(Transactions[Custom Category],E781)&gt;0,SUMIFS(Transactions[Amount],Transactions[Custom Category],E781,Transactions[Month],Sel_Month),SUMIFS(Transactions[Amount],Transactions[Name],E781,Transactions[Month],Sel_Month)))</f>
        <v/>
      </c>
      <c r="I781" s="12" t="str">
        <f t="shared" si="12"/>
        <v/>
      </c>
    </row>
    <row r="782" spans="8:9" x14ac:dyDescent="0.25">
      <c r="H782" s="11" t="str" cm="1">
        <f t="array" ref="H782">_xlfn.IFS(E782="","",E782="Grand Total",SUM(H$2:H781),TRUE,IF(COUNTIF(Transactions[Custom Category],E782)&gt;0,SUMIFS(Transactions[Amount],Transactions[Custom Category],E782,Transactions[Month],Sel_Month),SUMIFS(Transactions[Amount],Transactions[Name],E782,Transactions[Month],Sel_Month)))</f>
        <v/>
      </c>
      <c r="I782" s="12" t="str">
        <f t="shared" si="12"/>
        <v/>
      </c>
    </row>
    <row r="783" spans="8:9" x14ac:dyDescent="0.25">
      <c r="H783" s="11" t="str" cm="1">
        <f t="array" ref="H783">_xlfn.IFS(E783="","",E783="Grand Total",SUM(H$2:H782),TRUE,IF(COUNTIF(Transactions[Custom Category],E783)&gt;0,SUMIFS(Transactions[Amount],Transactions[Custom Category],E783,Transactions[Month],Sel_Month),SUMIFS(Transactions[Amount],Transactions[Name],E783,Transactions[Month],Sel_Month)))</f>
        <v/>
      </c>
      <c r="I783" s="12" t="str">
        <f t="shared" si="12"/>
        <v/>
      </c>
    </row>
    <row r="784" spans="8:9" x14ac:dyDescent="0.25">
      <c r="H784" s="11" t="str" cm="1">
        <f t="array" ref="H784">_xlfn.IFS(E784="","",E784="Grand Total",SUM(H$2:H783),TRUE,IF(COUNTIF(Transactions[Custom Category],E784)&gt;0,SUMIFS(Transactions[Amount],Transactions[Custom Category],E784,Transactions[Month],Sel_Month),SUMIFS(Transactions[Amount],Transactions[Name],E784,Transactions[Month],Sel_Month)))</f>
        <v/>
      </c>
      <c r="I784" s="12" t="str">
        <f t="shared" si="12"/>
        <v/>
      </c>
    </row>
    <row r="785" spans="8:9" x14ac:dyDescent="0.25">
      <c r="H785" s="11" t="str" cm="1">
        <f t="array" ref="H785">_xlfn.IFS(E785="","",E785="Grand Total",SUM(H$2:H784),TRUE,IF(COUNTIF(Transactions[Custom Category],E785)&gt;0,SUMIFS(Transactions[Amount],Transactions[Custom Category],E785,Transactions[Month],Sel_Month),SUMIFS(Transactions[Amount],Transactions[Name],E785,Transactions[Month],Sel_Month)))</f>
        <v/>
      </c>
      <c r="I785" s="12" t="str">
        <f t="shared" si="12"/>
        <v/>
      </c>
    </row>
    <row r="786" spans="8:9" x14ac:dyDescent="0.25">
      <c r="H786" s="11" t="str" cm="1">
        <f t="array" ref="H786">_xlfn.IFS(E786="","",E786="Grand Total",SUM(H$2:H785),TRUE,IF(COUNTIF(Transactions[Custom Category],E786)&gt;0,SUMIFS(Transactions[Amount],Transactions[Custom Category],E786,Transactions[Month],Sel_Month),SUMIFS(Transactions[Amount],Transactions[Name],E786,Transactions[Month],Sel_Month)))</f>
        <v/>
      </c>
      <c r="I786" s="12" t="str">
        <f t="shared" si="12"/>
        <v/>
      </c>
    </row>
    <row r="787" spans="8:9" x14ac:dyDescent="0.25">
      <c r="H787" s="11" t="str" cm="1">
        <f t="array" ref="H787">_xlfn.IFS(E787="","",E787="Grand Total",SUM(H$2:H786),TRUE,IF(COUNTIF(Transactions[Custom Category],E787)&gt;0,SUMIFS(Transactions[Amount],Transactions[Custom Category],E787,Transactions[Month],Sel_Month),SUMIFS(Transactions[Amount],Transactions[Name],E787,Transactions[Month],Sel_Month)))</f>
        <v/>
      </c>
      <c r="I787" s="12" t="str">
        <f t="shared" si="12"/>
        <v/>
      </c>
    </row>
    <row r="788" spans="8:9" x14ac:dyDescent="0.25">
      <c r="H788" s="11" t="str" cm="1">
        <f t="array" ref="H788">_xlfn.IFS(E788="","",E788="Grand Total",SUM(H$2:H787),TRUE,IF(COUNTIF(Transactions[Custom Category],E788)&gt;0,SUMIFS(Transactions[Amount],Transactions[Custom Category],E788,Transactions[Month],Sel_Month),SUMIFS(Transactions[Amount],Transactions[Name],E788,Transactions[Month],Sel_Month)))</f>
        <v/>
      </c>
      <c r="I788" s="12" t="str">
        <f t="shared" si="12"/>
        <v/>
      </c>
    </row>
    <row r="789" spans="8:9" x14ac:dyDescent="0.25">
      <c r="H789" s="11" t="str" cm="1">
        <f t="array" ref="H789">_xlfn.IFS(E789="","",E789="Grand Total",SUM(H$2:H788),TRUE,IF(COUNTIF(Transactions[Custom Category],E789)&gt;0,SUMIFS(Transactions[Amount],Transactions[Custom Category],E789,Transactions[Month],Sel_Month),SUMIFS(Transactions[Amount],Transactions[Name],E789,Transactions[Month],Sel_Month)))</f>
        <v/>
      </c>
      <c r="I789" s="12" t="str">
        <f t="shared" si="12"/>
        <v/>
      </c>
    </row>
    <row r="790" spans="8:9" x14ac:dyDescent="0.25">
      <c r="H790" s="11" t="str" cm="1">
        <f t="array" ref="H790">_xlfn.IFS(E790="","",E790="Grand Total",SUM(H$2:H789),TRUE,IF(COUNTIF(Transactions[Custom Category],E790)&gt;0,SUMIFS(Transactions[Amount],Transactions[Custom Category],E790,Transactions[Month],Sel_Month),SUMIFS(Transactions[Amount],Transactions[Name],E790,Transactions[Month],Sel_Month)))</f>
        <v/>
      </c>
      <c r="I790" s="12" t="str">
        <f t="shared" si="12"/>
        <v/>
      </c>
    </row>
    <row r="791" spans="8:9" x14ac:dyDescent="0.25">
      <c r="H791" s="11" t="str" cm="1">
        <f t="array" ref="H791">_xlfn.IFS(E791="","",E791="Grand Total",SUM(H$2:H790),TRUE,IF(COUNTIF(Transactions[Custom Category],E791)&gt;0,SUMIFS(Transactions[Amount],Transactions[Custom Category],E791,Transactions[Month],Sel_Month),SUMIFS(Transactions[Amount],Transactions[Name],E791,Transactions[Month],Sel_Month)))</f>
        <v/>
      </c>
      <c r="I791" s="12" t="str">
        <f t="shared" si="12"/>
        <v/>
      </c>
    </row>
    <row r="792" spans="8:9" x14ac:dyDescent="0.25">
      <c r="H792" s="11" t="str" cm="1">
        <f t="array" ref="H792">_xlfn.IFS(E792="","",E792="Grand Total",SUM(H$2:H791),TRUE,IF(COUNTIF(Transactions[Custom Category],E792)&gt;0,SUMIFS(Transactions[Amount],Transactions[Custom Category],E792,Transactions[Month],Sel_Month),SUMIFS(Transactions[Amount],Transactions[Name],E792,Transactions[Month],Sel_Month)))</f>
        <v/>
      </c>
      <c r="I792" s="12" t="str">
        <f t="shared" si="12"/>
        <v/>
      </c>
    </row>
    <row r="793" spans="8:9" x14ac:dyDescent="0.25">
      <c r="H793" s="11" t="str" cm="1">
        <f t="array" ref="H793">_xlfn.IFS(E793="","",E793="Grand Total",SUM(H$2:H792),TRUE,IF(COUNTIF(Transactions[Custom Category],E793)&gt;0,SUMIFS(Transactions[Amount],Transactions[Custom Category],E793,Transactions[Month],Sel_Month),SUMIFS(Transactions[Amount],Transactions[Name],E793,Transactions[Month],Sel_Month)))</f>
        <v/>
      </c>
      <c r="I793" s="12" t="str">
        <f t="shared" si="12"/>
        <v/>
      </c>
    </row>
    <row r="794" spans="8:9" x14ac:dyDescent="0.25">
      <c r="H794" s="11" t="str" cm="1">
        <f t="array" ref="H794">_xlfn.IFS(E794="","",E794="Grand Total",SUM(H$2:H793),TRUE,IF(COUNTIF(Transactions[Custom Category],E794)&gt;0,SUMIFS(Transactions[Amount],Transactions[Custom Category],E794,Transactions[Month],Sel_Month),SUMIFS(Transactions[Amount],Transactions[Name],E794,Transactions[Month],Sel_Month)))</f>
        <v/>
      </c>
      <c r="I794" s="12" t="str">
        <f t="shared" si="12"/>
        <v/>
      </c>
    </row>
    <row r="795" spans="8:9" x14ac:dyDescent="0.25">
      <c r="H795" s="11" t="str" cm="1">
        <f t="array" ref="H795">_xlfn.IFS(E795="","",E795="Grand Total",SUM(H$2:H794),TRUE,IF(COUNTIF(Transactions[Custom Category],E795)&gt;0,SUMIFS(Transactions[Amount],Transactions[Custom Category],E795,Transactions[Month],Sel_Month),SUMIFS(Transactions[Amount],Transactions[Name],E795,Transactions[Month],Sel_Month)))</f>
        <v/>
      </c>
      <c r="I795" s="12" t="str">
        <f t="shared" si="12"/>
        <v/>
      </c>
    </row>
    <row r="796" spans="8:9" x14ac:dyDescent="0.25">
      <c r="H796" s="11" t="str" cm="1">
        <f t="array" ref="H796">_xlfn.IFS(E796="","",E796="Grand Total",SUM(H$2:H795),TRUE,IF(COUNTIF(Transactions[Custom Category],E796)&gt;0,SUMIFS(Transactions[Amount],Transactions[Custom Category],E796,Transactions[Month],Sel_Month),SUMIFS(Transactions[Amount],Transactions[Name],E796,Transactions[Month],Sel_Month)))</f>
        <v/>
      </c>
      <c r="I796" s="12" t="str">
        <f t="shared" si="12"/>
        <v/>
      </c>
    </row>
    <row r="797" spans="8:9" x14ac:dyDescent="0.25">
      <c r="H797" s="11" t="str" cm="1">
        <f t="array" ref="H797">_xlfn.IFS(E797="","",E797="Grand Total",SUM(H$2:H796),TRUE,IF(COUNTIF(Transactions[Custom Category],E797)&gt;0,SUMIFS(Transactions[Amount],Transactions[Custom Category],E797,Transactions[Month],Sel_Month),SUMIFS(Transactions[Amount],Transactions[Name],E797,Transactions[Month],Sel_Month)))</f>
        <v/>
      </c>
      <c r="I797" s="12" t="str">
        <f t="shared" si="12"/>
        <v/>
      </c>
    </row>
    <row r="798" spans="8:9" x14ac:dyDescent="0.25">
      <c r="H798" s="11" t="str" cm="1">
        <f t="array" ref="H798">_xlfn.IFS(E798="","",E798="Grand Total",SUM(H$2:H797),TRUE,IF(COUNTIF(Transactions[Custom Category],E798)&gt;0,SUMIFS(Transactions[Amount],Transactions[Custom Category],E798,Transactions[Month],Sel_Month),SUMIFS(Transactions[Amount],Transactions[Name],E798,Transactions[Month],Sel_Month)))</f>
        <v/>
      </c>
      <c r="I798" s="12" t="str">
        <f t="shared" si="12"/>
        <v/>
      </c>
    </row>
    <row r="799" spans="8:9" x14ac:dyDescent="0.25">
      <c r="H799" s="11" t="str" cm="1">
        <f t="array" ref="H799">_xlfn.IFS(E799="","",E799="Grand Total",SUM(H$2:H798),TRUE,IF(COUNTIF(Transactions[Custom Category],E799)&gt;0,SUMIFS(Transactions[Amount],Transactions[Custom Category],E799,Transactions[Month],Sel_Month),SUMIFS(Transactions[Amount],Transactions[Name],E799,Transactions[Month],Sel_Month)))</f>
        <v/>
      </c>
      <c r="I799" s="12" t="str">
        <f t="shared" si="12"/>
        <v/>
      </c>
    </row>
    <row r="800" spans="8:9" x14ac:dyDescent="0.25">
      <c r="H800" s="11" t="str" cm="1">
        <f t="array" ref="H800">_xlfn.IFS(E800="","",E800="Grand Total",SUM(H$2:H799),TRUE,IF(COUNTIF(Transactions[Custom Category],E800)&gt;0,SUMIFS(Transactions[Amount],Transactions[Custom Category],E800,Transactions[Month],Sel_Month),SUMIFS(Transactions[Amount],Transactions[Name],E800,Transactions[Month],Sel_Month)))</f>
        <v/>
      </c>
      <c r="I800" s="12" t="str">
        <f t="shared" si="12"/>
        <v/>
      </c>
    </row>
    <row r="801" spans="8:9" x14ac:dyDescent="0.25">
      <c r="H801" s="11" t="str" cm="1">
        <f t="array" ref="H801">_xlfn.IFS(E801="","",E801="Grand Total",SUM(H$2:H800),TRUE,IF(COUNTIF(Transactions[Custom Category],E801)&gt;0,SUMIFS(Transactions[Amount],Transactions[Custom Category],E801,Transactions[Month],Sel_Month),SUMIFS(Transactions[Amount],Transactions[Name],E801,Transactions[Month],Sel_Month)))</f>
        <v/>
      </c>
      <c r="I801" s="12" t="str">
        <f t="shared" si="12"/>
        <v/>
      </c>
    </row>
    <row r="802" spans="8:9" x14ac:dyDescent="0.25">
      <c r="H802" s="11" t="str" cm="1">
        <f t="array" ref="H802">_xlfn.IFS(E802="","",E802="Grand Total",SUM(H$2:H801),TRUE,IF(COUNTIF(Transactions[Custom Category],E802)&gt;0,SUMIFS(Transactions[Amount],Transactions[Custom Category],E802,Transactions[Month],Sel_Month),SUMIFS(Transactions[Amount],Transactions[Name],E802,Transactions[Month],Sel_Month)))</f>
        <v/>
      </c>
      <c r="I802" s="12" t="str">
        <f t="shared" si="12"/>
        <v/>
      </c>
    </row>
    <row r="803" spans="8:9" x14ac:dyDescent="0.25">
      <c r="H803" s="11" t="str" cm="1">
        <f t="array" ref="H803">_xlfn.IFS(E803="","",E803="Grand Total",SUM(H$2:H802),TRUE,IF(COUNTIF(Transactions[Custom Category],E803)&gt;0,SUMIFS(Transactions[Amount],Transactions[Custom Category],E803,Transactions[Month],Sel_Month),SUMIFS(Transactions[Amount],Transactions[Name],E803,Transactions[Month],Sel_Month)))</f>
        <v/>
      </c>
      <c r="I803" s="12" t="str">
        <f t="shared" si="12"/>
        <v/>
      </c>
    </row>
    <row r="804" spans="8:9" x14ac:dyDescent="0.25">
      <c r="H804" s="11" t="str" cm="1">
        <f t="array" ref="H804">_xlfn.IFS(E804="","",E804="Grand Total",SUM(H$2:H803),TRUE,IF(COUNTIF(Transactions[Custom Category],E804)&gt;0,SUMIFS(Transactions[Amount],Transactions[Custom Category],E804,Transactions[Month],Sel_Month),SUMIFS(Transactions[Amount],Transactions[Name],E804,Transactions[Month],Sel_Month)))</f>
        <v/>
      </c>
      <c r="I804" s="12" t="str">
        <f t="shared" si="12"/>
        <v/>
      </c>
    </row>
    <row r="805" spans="8:9" x14ac:dyDescent="0.25">
      <c r="H805" s="11" t="str" cm="1">
        <f t="array" ref="H805">_xlfn.IFS(E805="","",E805="Grand Total",SUM(H$2:H804),TRUE,IF(COUNTIF(Transactions[Custom Category],E805)&gt;0,SUMIFS(Transactions[Amount],Transactions[Custom Category],E805,Transactions[Month],Sel_Month),SUMIFS(Transactions[Amount],Transactions[Name],E805,Transactions[Month],Sel_Month)))</f>
        <v/>
      </c>
      <c r="I805" s="12" t="str">
        <f t="shared" si="12"/>
        <v/>
      </c>
    </row>
    <row r="806" spans="8:9" x14ac:dyDescent="0.25">
      <c r="H806" s="11" t="str" cm="1">
        <f t="array" ref="H806">_xlfn.IFS(E806="","",E806="Grand Total",SUM(H$2:H805),TRUE,IF(COUNTIF(Transactions[Custom Category],E806)&gt;0,SUMIFS(Transactions[Amount],Transactions[Custom Category],E806,Transactions[Month],Sel_Month),SUMIFS(Transactions[Amount],Transactions[Name],E806,Transactions[Month],Sel_Month)))</f>
        <v/>
      </c>
      <c r="I806" s="12" t="str">
        <f t="shared" si="12"/>
        <v/>
      </c>
    </row>
    <row r="807" spans="8:9" x14ac:dyDescent="0.25">
      <c r="H807" s="11" t="str" cm="1">
        <f t="array" ref="H807">_xlfn.IFS(E807="","",E807="Grand Total",SUM(H$2:H806),TRUE,IF(COUNTIF(Transactions[Custom Category],E807)&gt;0,SUMIFS(Transactions[Amount],Transactions[Custom Category],E807,Transactions[Month],Sel_Month),SUMIFS(Transactions[Amount],Transactions[Name],E807,Transactions[Month],Sel_Month)))</f>
        <v/>
      </c>
      <c r="I807" s="12" t="str">
        <f t="shared" si="12"/>
        <v/>
      </c>
    </row>
    <row r="808" spans="8:9" x14ac:dyDescent="0.25">
      <c r="H808" s="11" t="str" cm="1">
        <f t="array" ref="H808">_xlfn.IFS(E808="","",E808="Grand Total",SUM(H$2:H807),TRUE,IF(COUNTIF(Transactions[Custom Category],E808)&gt;0,SUMIFS(Transactions[Amount],Transactions[Custom Category],E808,Transactions[Month],Sel_Month),SUMIFS(Transactions[Amount],Transactions[Name],E808,Transactions[Month],Sel_Month)))</f>
        <v/>
      </c>
      <c r="I808" s="12" t="str">
        <f t="shared" si="12"/>
        <v/>
      </c>
    </row>
    <row r="809" spans="8:9" x14ac:dyDescent="0.25">
      <c r="H809" s="11" t="str" cm="1">
        <f t="array" ref="H809">_xlfn.IFS(E809="","",E809="Grand Total",SUM(H$2:H808),TRUE,IF(COUNTIF(Transactions[Custom Category],E809)&gt;0,SUMIFS(Transactions[Amount],Transactions[Custom Category],E809,Transactions[Month],Sel_Month),SUMIFS(Transactions[Amount],Transactions[Name],E809,Transactions[Month],Sel_Month)))</f>
        <v/>
      </c>
      <c r="I809" s="12" t="str">
        <f t="shared" si="12"/>
        <v/>
      </c>
    </row>
    <row r="810" spans="8:9" x14ac:dyDescent="0.25">
      <c r="H810" s="11" t="str" cm="1">
        <f t="array" ref="H810">_xlfn.IFS(E810="","",E810="Grand Total",SUM(H$2:H809),TRUE,IF(COUNTIF(Transactions[Custom Category],E810)&gt;0,SUMIFS(Transactions[Amount],Transactions[Custom Category],E810,Transactions[Month],Sel_Month),SUMIFS(Transactions[Amount],Transactions[Name],E810,Transactions[Month],Sel_Month)))</f>
        <v/>
      </c>
      <c r="I810" s="12" t="str">
        <f t="shared" si="12"/>
        <v/>
      </c>
    </row>
    <row r="811" spans="8:9" x14ac:dyDescent="0.25">
      <c r="H811" s="11" t="str" cm="1">
        <f t="array" ref="H811">_xlfn.IFS(E811="","",E811="Grand Total",SUM(H$2:H810),TRUE,IF(COUNTIF(Transactions[Custom Category],E811)&gt;0,SUMIFS(Transactions[Amount],Transactions[Custom Category],E811,Transactions[Month],Sel_Month),SUMIFS(Transactions[Amount],Transactions[Name],E811,Transactions[Month],Sel_Month)))</f>
        <v/>
      </c>
      <c r="I811" s="12" t="str">
        <f t="shared" si="12"/>
        <v/>
      </c>
    </row>
    <row r="812" spans="8:9" x14ac:dyDescent="0.25">
      <c r="H812" s="11" t="str" cm="1">
        <f t="array" ref="H812">_xlfn.IFS(E812="","",E812="Grand Total",SUM(H$2:H811),TRUE,IF(COUNTIF(Transactions[Custom Category],E812)&gt;0,SUMIFS(Transactions[Amount],Transactions[Custom Category],E812,Transactions[Month],Sel_Month),SUMIFS(Transactions[Amount],Transactions[Name],E812,Transactions[Month],Sel_Month)))</f>
        <v/>
      </c>
      <c r="I812" s="12" t="str">
        <f t="shared" si="12"/>
        <v/>
      </c>
    </row>
    <row r="813" spans="8:9" x14ac:dyDescent="0.25">
      <c r="H813" s="11" t="str" cm="1">
        <f t="array" ref="H813">_xlfn.IFS(E813="","",E813="Grand Total",SUM(H$2:H812),TRUE,IF(COUNTIF(Transactions[Custom Category],E813)&gt;0,SUMIFS(Transactions[Amount],Transactions[Custom Category],E813,Transactions[Month],Sel_Month),SUMIFS(Transactions[Amount],Transactions[Name],E813,Transactions[Month],Sel_Month)))</f>
        <v/>
      </c>
      <c r="I813" s="12" t="str">
        <f t="shared" si="12"/>
        <v/>
      </c>
    </row>
    <row r="814" spans="8:9" x14ac:dyDescent="0.25">
      <c r="H814" s="11" t="str" cm="1">
        <f t="array" ref="H814">_xlfn.IFS(E814="","",E814="Grand Total",SUM(H$2:H813),TRUE,IF(COUNTIF(Transactions[Custom Category],E814)&gt;0,SUMIFS(Transactions[Amount],Transactions[Custom Category],E814,Transactions[Month],Sel_Month),SUMIFS(Transactions[Amount],Transactions[Name],E814,Transactions[Month],Sel_Month)))</f>
        <v/>
      </c>
      <c r="I814" s="12" t="str">
        <f t="shared" si="12"/>
        <v/>
      </c>
    </row>
    <row r="815" spans="8:9" x14ac:dyDescent="0.25">
      <c r="H815" s="11" t="str" cm="1">
        <f t="array" ref="H815">_xlfn.IFS(E815="","",E815="Grand Total",SUM(H$2:H814),TRUE,IF(COUNTIF(Transactions[Custom Category],E815)&gt;0,SUMIFS(Transactions[Amount],Transactions[Custom Category],E815,Transactions[Month],Sel_Month),SUMIFS(Transactions[Amount],Transactions[Name],E815,Transactions[Month],Sel_Month)))</f>
        <v/>
      </c>
      <c r="I815" s="12" t="str">
        <f t="shared" si="12"/>
        <v/>
      </c>
    </row>
    <row r="816" spans="8:9" x14ac:dyDescent="0.25">
      <c r="H816" s="11" t="str" cm="1">
        <f t="array" ref="H816">_xlfn.IFS(E816="","",E816="Grand Total",SUM(H$2:H815),TRUE,IF(COUNTIF(Transactions[Custom Category],E816)&gt;0,SUMIFS(Transactions[Amount],Transactions[Custom Category],E816,Transactions[Month],Sel_Month),SUMIFS(Transactions[Amount],Transactions[Name],E816,Transactions[Month],Sel_Month)))</f>
        <v/>
      </c>
      <c r="I816" s="12" t="str">
        <f t="shared" si="12"/>
        <v/>
      </c>
    </row>
    <row r="817" spans="8:9" x14ac:dyDescent="0.25">
      <c r="H817" s="11" t="str" cm="1">
        <f t="array" ref="H817">_xlfn.IFS(E817="","",E817="Grand Total",SUM(H$2:H816),TRUE,IF(COUNTIF(Transactions[Custom Category],E817)&gt;0,SUMIFS(Transactions[Amount],Transactions[Custom Category],E817,Transactions[Month],Sel_Month),SUMIFS(Transactions[Amount],Transactions[Name],E817,Transactions[Month],Sel_Month)))</f>
        <v/>
      </c>
      <c r="I817" s="12" t="str">
        <f t="shared" si="12"/>
        <v/>
      </c>
    </row>
    <row r="818" spans="8:9" x14ac:dyDescent="0.25">
      <c r="H818" s="11" t="str" cm="1">
        <f t="array" ref="H818">_xlfn.IFS(E818="","",E818="Grand Total",SUM(H$2:H817),TRUE,IF(COUNTIF(Transactions[Custom Category],E818)&gt;0,SUMIFS(Transactions[Amount],Transactions[Custom Category],E818,Transactions[Month],Sel_Month),SUMIFS(Transactions[Amount],Transactions[Name],E818,Transactions[Month],Sel_Month)))</f>
        <v/>
      </c>
      <c r="I818" s="12" t="str">
        <f t="shared" si="12"/>
        <v/>
      </c>
    </row>
    <row r="819" spans="8:9" x14ac:dyDescent="0.25">
      <c r="H819" s="11" t="str" cm="1">
        <f t="array" ref="H819">_xlfn.IFS(E819="","",E819="Grand Total",SUM(H$2:H818),TRUE,IF(COUNTIF(Transactions[Custom Category],E819)&gt;0,SUMIFS(Transactions[Amount],Transactions[Custom Category],E819,Transactions[Month],Sel_Month),SUMIFS(Transactions[Amount],Transactions[Name],E819,Transactions[Month],Sel_Month)))</f>
        <v/>
      </c>
      <c r="I819" s="12" t="str">
        <f t="shared" si="12"/>
        <v/>
      </c>
    </row>
    <row r="820" spans="8:9" x14ac:dyDescent="0.25">
      <c r="H820" s="11" t="str" cm="1">
        <f t="array" ref="H820">_xlfn.IFS(E820="","",E820="Grand Total",SUM(H$2:H819),TRUE,IF(COUNTIF(Transactions[Custom Category],E820)&gt;0,SUMIFS(Transactions[Amount],Transactions[Custom Category],E820,Transactions[Month],Sel_Month),SUMIFS(Transactions[Amount],Transactions[Name],E820,Transactions[Month],Sel_Month)))</f>
        <v/>
      </c>
      <c r="I820" s="12" t="str">
        <f t="shared" si="12"/>
        <v/>
      </c>
    </row>
    <row r="821" spans="8:9" x14ac:dyDescent="0.25">
      <c r="H821" s="11" t="str" cm="1">
        <f t="array" ref="H821">_xlfn.IFS(E821="","",E821="Grand Total",SUM(H$2:H820),TRUE,IF(COUNTIF(Transactions[Custom Category],E821)&gt;0,SUMIFS(Transactions[Amount],Transactions[Custom Category],E821,Transactions[Month],Sel_Month),SUMIFS(Transactions[Amount],Transactions[Name],E821,Transactions[Month],Sel_Month)))</f>
        <v/>
      </c>
      <c r="I821" s="12" t="str">
        <f t="shared" si="12"/>
        <v/>
      </c>
    </row>
    <row r="822" spans="8:9" x14ac:dyDescent="0.25">
      <c r="H822" s="11" t="str" cm="1">
        <f t="array" ref="H822">_xlfn.IFS(E822="","",E822="Grand Total",SUM(H$2:H821),TRUE,IF(COUNTIF(Transactions[Custom Category],E822)&gt;0,SUMIFS(Transactions[Amount],Transactions[Custom Category],E822,Transactions[Month],Sel_Month),SUMIFS(Transactions[Amount],Transactions[Name],E822,Transactions[Month],Sel_Month)))</f>
        <v/>
      </c>
      <c r="I822" s="12" t="str">
        <f t="shared" si="12"/>
        <v/>
      </c>
    </row>
    <row r="823" spans="8:9" x14ac:dyDescent="0.25">
      <c r="H823" s="11" t="str" cm="1">
        <f t="array" ref="H823">_xlfn.IFS(E823="","",E823="Grand Total",SUM(H$2:H822),TRUE,IF(COUNTIF(Transactions[Custom Category],E823)&gt;0,SUMIFS(Transactions[Amount],Transactions[Custom Category],E823,Transactions[Month],Sel_Month),SUMIFS(Transactions[Amount],Transactions[Name],E823,Transactions[Month],Sel_Month)))</f>
        <v/>
      </c>
      <c r="I823" s="12" t="str">
        <f t="shared" si="12"/>
        <v/>
      </c>
    </row>
    <row r="824" spans="8:9" x14ac:dyDescent="0.25">
      <c r="H824" s="11" t="str" cm="1">
        <f t="array" ref="H824">_xlfn.IFS(E824="","",E824="Grand Total",SUM(H$2:H823),TRUE,IF(COUNTIF(Transactions[Custom Category],E824)&gt;0,SUMIFS(Transactions[Amount],Transactions[Custom Category],E824,Transactions[Month],Sel_Month),SUMIFS(Transactions[Amount],Transactions[Name],E824,Transactions[Month],Sel_Month)))</f>
        <v/>
      </c>
      <c r="I824" s="12" t="str">
        <f t="shared" si="12"/>
        <v/>
      </c>
    </row>
    <row r="825" spans="8:9" x14ac:dyDescent="0.25">
      <c r="H825" s="11" t="str" cm="1">
        <f t="array" ref="H825">_xlfn.IFS(E825="","",E825="Grand Total",SUM(H$2:H824),TRUE,IF(COUNTIF(Transactions[Custom Category],E825)&gt;0,SUMIFS(Transactions[Amount],Transactions[Custom Category],E825,Transactions[Month],Sel_Month),SUMIFS(Transactions[Amount],Transactions[Name],E825,Transactions[Month],Sel_Month)))</f>
        <v/>
      </c>
      <c r="I825" s="12" t="str">
        <f t="shared" si="12"/>
        <v/>
      </c>
    </row>
    <row r="826" spans="8:9" x14ac:dyDescent="0.25">
      <c r="H826" s="11" t="str" cm="1">
        <f t="array" ref="H826">_xlfn.IFS(E826="","",E826="Grand Total",SUM(H$2:H825),TRUE,IF(COUNTIF(Transactions[Custom Category],E826)&gt;0,SUMIFS(Transactions[Amount],Transactions[Custom Category],E826,Transactions[Month],Sel_Month),SUMIFS(Transactions[Amount],Transactions[Name],E826,Transactions[Month],Sel_Month)))</f>
        <v/>
      </c>
      <c r="I826" s="12" t="str">
        <f t="shared" si="12"/>
        <v/>
      </c>
    </row>
    <row r="827" spans="8:9" x14ac:dyDescent="0.25">
      <c r="H827" s="11" t="str" cm="1">
        <f t="array" ref="H827">_xlfn.IFS(E827="","",E827="Grand Total",SUM(H$2:H826),TRUE,IF(COUNTIF(Transactions[Custom Category],E827)&gt;0,SUMIFS(Transactions[Amount],Transactions[Custom Category],E827,Transactions[Month],Sel_Month),SUMIFS(Transactions[Amount],Transactions[Name],E827,Transactions[Month],Sel_Month)))</f>
        <v/>
      </c>
      <c r="I827" s="12" t="str">
        <f t="shared" si="12"/>
        <v/>
      </c>
    </row>
    <row r="828" spans="8:9" x14ac:dyDescent="0.25">
      <c r="H828" s="11" t="str" cm="1">
        <f t="array" ref="H828">_xlfn.IFS(E828="","",E828="Grand Total",SUM(H$2:H827),TRUE,IF(COUNTIF(Transactions[Custom Category],E828)&gt;0,SUMIFS(Transactions[Amount],Transactions[Custom Category],E828,Transactions[Month],Sel_Month),SUMIFS(Transactions[Amount],Transactions[Name],E828,Transactions[Month],Sel_Month)))</f>
        <v/>
      </c>
      <c r="I828" s="12" t="str">
        <f t="shared" si="12"/>
        <v/>
      </c>
    </row>
    <row r="829" spans="8:9" x14ac:dyDescent="0.25">
      <c r="H829" s="11" t="str" cm="1">
        <f t="array" ref="H829">_xlfn.IFS(E829="","",E829="Grand Total",SUM(H$2:H828),TRUE,IF(COUNTIF(Transactions[Custom Category],E829)&gt;0,SUMIFS(Transactions[Amount],Transactions[Custom Category],E829,Transactions[Month],Sel_Month),SUMIFS(Transactions[Amount],Transactions[Name],E829,Transactions[Month],Sel_Month)))</f>
        <v/>
      </c>
      <c r="I829" s="12" t="str">
        <f t="shared" si="12"/>
        <v/>
      </c>
    </row>
    <row r="830" spans="8:9" x14ac:dyDescent="0.25">
      <c r="H830" s="11" t="str" cm="1">
        <f t="array" ref="H830">_xlfn.IFS(E830="","",E830="Grand Total",SUM(H$2:H829),TRUE,IF(COUNTIF(Transactions[Custom Category],E830)&gt;0,SUMIFS(Transactions[Amount],Transactions[Custom Category],E830,Transactions[Month],Sel_Month),SUMIFS(Transactions[Amount],Transactions[Name],E830,Transactions[Month],Sel_Month)))</f>
        <v/>
      </c>
      <c r="I830" s="12" t="str">
        <f t="shared" si="12"/>
        <v/>
      </c>
    </row>
    <row r="831" spans="8:9" x14ac:dyDescent="0.25">
      <c r="H831" s="11" t="str" cm="1">
        <f t="array" ref="H831">_xlfn.IFS(E831="","",E831="Grand Total",SUM(H$2:H830),TRUE,IF(COUNTIF(Transactions[Custom Category],E831)&gt;0,SUMIFS(Transactions[Amount],Transactions[Custom Category],E831,Transactions[Month],Sel_Month),SUMIFS(Transactions[Amount],Transactions[Name],E831,Transactions[Month],Sel_Month)))</f>
        <v/>
      </c>
      <c r="I831" s="12" t="str">
        <f t="shared" si="12"/>
        <v/>
      </c>
    </row>
    <row r="832" spans="8:9" x14ac:dyDescent="0.25">
      <c r="H832" s="11" t="str" cm="1">
        <f t="array" ref="H832">_xlfn.IFS(E832="","",E832="Grand Total",SUM(H$2:H831),TRUE,IF(COUNTIF(Transactions[Custom Category],E832)&gt;0,SUMIFS(Transactions[Amount],Transactions[Custom Category],E832,Transactions[Month],Sel_Month),SUMIFS(Transactions[Amount],Transactions[Name],E832,Transactions[Month],Sel_Month)))</f>
        <v/>
      </c>
      <c r="I832" s="12" t="str">
        <f t="shared" si="12"/>
        <v/>
      </c>
    </row>
    <row r="833" spans="8:9" x14ac:dyDescent="0.25">
      <c r="H833" s="11" t="str" cm="1">
        <f t="array" ref="H833">_xlfn.IFS(E833="","",E833="Grand Total",SUM(H$2:H832),TRUE,IF(COUNTIF(Transactions[Custom Category],E833)&gt;0,SUMIFS(Transactions[Amount],Transactions[Custom Category],E833,Transactions[Month],Sel_Month),SUMIFS(Transactions[Amount],Transactions[Name],E833,Transactions[Month],Sel_Month)))</f>
        <v/>
      </c>
      <c r="I833" s="12" t="str">
        <f t="shared" si="12"/>
        <v/>
      </c>
    </row>
    <row r="834" spans="8:9" x14ac:dyDescent="0.25">
      <c r="H834" s="11" t="str" cm="1">
        <f t="array" ref="H834">_xlfn.IFS(E834="","",E834="Grand Total",SUM(H$2:H833),TRUE,IF(COUNTIF(Transactions[Custom Category],E834)&gt;0,SUMIFS(Transactions[Amount],Transactions[Custom Category],E834,Transactions[Month],Sel_Month),SUMIFS(Transactions[Amount],Transactions[Name],E834,Transactions[Month],Sel_Month)))</f>
        <v/>
      </c>
      <c r="I834" s="12" t="str">
        <f t="shared" si="12"/>
        <v/>
      </c>
    </row>
    <row r="835" spans="8:9" x14ac:dyDescent="0.25">
      <c r="H835" s="11" t="str" cm="1">
        <f t="array" ref="H835">_xlfn.IFS(E835="","",E835="Grand Total",SUM(H$2:H834),TRUE,IF(COUNTIF(Transactions[Custom Category],E835)&gt;0,SUMIFS(Transactions[Amount],Transactions[Custom Category],E835,Transactions[Month],Sel_Month),SUMIFS(Transactions[Amount],Transactions[Name],E835,Transactions[Month],Sel_Month)))</f>
        <v/>
      </c>
      <c r="I835" s="12" t="str">
        <f t="shared" si="12"/>
        <v/>
      </c>
    </row>
    <row r="836" spans="8:9" x14ac:dyDescent="0.25">
      <c r="H836" s="11" t="str" cm="1">
        <f t="array" ref="H836">_xlfn.IFS(E836="","",E836="Grand Total",SUM(H$2:H835),TRUE,IF(COUNTIF(Transactions[Custom Category],E836)&gt;0,SUMIFS(Transactions[Amount],Transactions[Custom Category],E836,Transactions[Month],Sel_Month),SUMIFS(Transactions[Amount],Transactions[Name],E836,Transactions[Month],Sel_Month)))</f>
        <v/>
      </c>
      <c r="I836" s="12" t="str">
        <f t="shared" ref="I836:I899" si="13">IF(G836="","",IF(G836=0,0,1-((G836-H836)/G836)))</f>
        <v/>
      </c>
    </row>
    <row r="837" spans="8:9" x14ac:dyDescent="0.25">
      <c r="H837" s="11" t="str" cm="1">
        <f t="array" ref="H837">_xlfn.IFS(E837="","",E837="Grand Total",SUM(H$2:H836),TRUE,IF(COUNTIF(Transactions[Custom Category],E837)&gt;0,SUMIFS(Transactions[Amount],Transactions[Custom Category],E837,Transactions[Month],Sel_Month),SUMIFS(Transactions[Amount],Transactions[Name],E837,Transactions[Month],Sel_Month)))</f>
        <v/>
      </c>
      <c r="I837" s="12" t="str">
        <f t="shared" si="13"/>
        <v/>
      </c>
    </row>
    <row r="838" spans="8:9" x14ac:dyDescent="0.25">
      <c r="H838" s="11" t="str" cm="1">
        <f t="array" ref="H838">_xlfn.IFS(E838="","",E838="Grand Total",SUM(H$2:H837),TRUE,IF(COUNTIF(Transactions[Custom Category],E838)&gt;0,SUMIFS(Transactions[Amount],Transactions[Custom Category],E838,Transactions[Month],Sel_Month),SUMIFS(Transactions[Amount],Transactions[Name],E838,Transactions[Month],Sel_Month)))</f>
        <v/>
      </c>
      <c r="I838" s="12" t="str">
        <f t="shared" si="13"/>
        <v/>
      </c>
    </row>
    <row r="839" spans="8:9" x14ac:dyDescent="0.25">
      <c r="H839" s="11" t="str" cm="1">
        <f t="array" ref="H839">_xlfn.IFS(E839="","",E839="Grand Total",SUM(H$2:H838),TRUE,IF(COUNTIF(Transactions[Custom Category],E839)&gt;0,SUMIFS(Transactions[Amount],Transactions[Custom Category],E839,Transactions[Month],Sel_Month),SUMIFS(Transactions[Amount],Transactions[Name],E839,Transactions[Month],Sel_Month)))</f>
        <v/>
      </c>
      <c r="I839" s="12" t="str">
        <f t="shared" si="13"/>
        <v/>
      </c>
    </row>
    <row r="840" spans="8:9" x14ac:dyDescent="0.25">
      <c r="H840" s="11" t="str" cm="1">
        <f t="array" ref="H840">_xlfn.IFS(E840="","",E840="Grand Total",SUM(H$2:H839),TRUE,IF(COUNTIF(Transactions[Custom Category],E840)&gt;0,SUMIFS(Transactions[Amount],Transactions[Custom Category],E840,Transactions[Month],Sel_Month),SUMIFS(Transactions[Amount],Transactions[Name],E840,Transactions[Month],Sel_Month)))</f>
        <v/>
      </c>
      <c r="I840" s="12" t="str">
        <f t="shared" si="13"/>
        <v/>
      </c>
    </row>
    <row r="841" spans="8:9" x14ac:dyDescent="0.25">
      <c r="H841" s="11" t="str" cm="1">
        <f t="array" ref="H841">_xlfn.IFS(E841="","",E841="Grand Total",SUM(H$2:H840),TRUE,IF(COUNTIF(Transactions[Custom Category],E841)&gt;0,SUMIFS(Transactions[Amount],Transactions[Custom Category],E841,Transactions[Month],Sel_Month),SUMIFS(Transactions[Amount],Transactions[Name],E841,Transactions[Month],Sel_Month)))</f>
        <v/>
      </c>
      <c r="I841" s="12" t="str">
        <f t="shared" si="13"/>
        <v/>
      </c>
    </row>
    <row r="842" spans="8:9" x14ac:dyDescent="0.25">
      <c r="H842" s="11" t="str" cm="1">
        <f t="array" ref="H842">_xlfn.IFS(E842="","",E842="Grand Total",SUM(H$2:H841),TRUE,IF(COUNTIF(Transactions[Custom Category],E842)&gt;0,SUMIFS(Transactions[Amount],Transactions[Custom Category],E842,Transactions[Month],Sel_Month),SUMIFS(Transactions[Amount],Transactions[Name],E842,Transactions[Month],Sel_Month)))</f>
        <v/>
      </c>
      <c r="I842" s="12" t="str">
        <f t="shared" si="13"/>
        <v/>
      </c>
    </row>
    <row r="843" spans="8:9" x14ac:dyDescent="0.25">
      <c r="H843" s="11" t="str" cm="1">
        <f t="array" ref="H843">_xlfn.IFS(E843="","",E843="Grand Total",SUM(H$2:H842),TRUE,IF(COUNTIF(Transactions[Custom Category],E843)&gt;0,SUMIFS(Transactions[Amount],Transactions[Custom Category],E843,Transactions[Month],Sel_Month),SUMIFS(Transactions[Amount],Transactions[Name],E843,Transactions[Month],Sel_Month)))</f>
        <v/>
      </c>
      <c r="I843" s="12" t="str">
        <f t="shared" si="13"/>
        <v/>
      </c>
    </row>
    <row r="844" spans="8:9" x14ac:dyDescent="0.25">
      <c r="H844" s="11" t="str" cm="1">
        <f t="array" ref="H844">_xlfn.IFS(E844="","",E844="Grand Total",SUM(H$2:H843),TRUE,IF(COUNTIF(Transactions[Custom Category],E844)&gt;0,SUMIFS(Transactions[Amount],Transactions[Custom Category],E844,Transactions[Month],Sel_Month),SUMIFS(Transactions[Amount],Transactions[Name],E844,Transactions[Month],Sel_Month)))</f>
        <v/>
      </c>
      <c r="I844" s="12" t="str">
        <f t="shared" si="13"/>
        <v/>
      </c>
    </row>
    <row r="845" spans="8:9" x14ac:dyDescent="0.25">
      <c r="H845" s="11" t="str" cm="1">
        <f t="array" ref="H845">_xlfn.IFS(E845="","",E845="Grand Total",SUM(H$2:H844),TRUE,IF(COUNTIF(Transactions[Custom Category],E845)&gt;0,SUMIFS(Transactions[Amount],Transactions[Custom Category],E845,Transactions[Month],Sel_Month),SUMIFS(Transactions[Amount],Transactions[Name],E845,Transactions[Month],Sel_Month)))</f>
        <v/>
      </c>
      <c r="I845" s="12" t="str">
        <f t="shared" si="13"/>
        <v/>
      </c>
    </row>
    <row r="846" spans="8:9" x14ac:dyDescent="0.25">
      <c r="H846" s="11" t="str" cm="1">
        <f t="array" ref="H846">_xlfn.IFS(E846="","",E846="Grand Total",SUM(H$2:H845),TRUE,IF(COUNTIF(Transactions[Custom Category],E846)&gt;0,SUMIFS(Transactions[Amount],Transactions[Custom Category],E846,Transactions[Month],Sel_Month),SUMIFS(Transactions[Amount],Transactions[Name],E846,Transactions[Month],Sel_Month)))</f>
        <v/>
      </c>
      <c r="I846" s="12" t="str">
        <f t="shared" si="13"/>
        <v/>
      </c>
    </row>
    <row r="847" spans="8:9" x14ac:dyDescent="0.25">
      <c r="H847" s="11" t="str" cm="1">
        <f t="array" ref="H847">_xlfn.IFS(E847="","",E847="Grand Total",SUM(H$2:H846),TRUE,IF(COUNTIF(Transactions[Custom Category],E847)&gt;0,SUMIFS(Transactions[Amount],Transactions[Custom Category],E847,Transactions[Month],Sel_Month),SUMIFS(Transactions[Amount],Transactions[Name],E847,Transactions[Month],Sel_Month)))</f>
        <v/>
      </c>
      <c r="I847" s="12" t="str">
        <f t="shared" si="13"/>
        <v/>
      </c>
    </row>
    <row r="848" spans="8:9" x14ac:dyDescent="0.25">
      <c r="H848" s="11" t="str" cm="1">
        <f t="array" ref="H848">_xlfn.IFS(E848="","",E848="Grand Total",SUM(H$2:H847),TRUE,IF(COUNTIF(Transactions[Custom Category],E848)&gt;0,SUMIFS(Transactions[Amount],Transactions[Custom Category],E848,Transactions[Month],Sel_Month),SUMIFS(Transactions[Amount],Transactions[Name],E848,Transactions[Month],Sel_Month)))</f>
        <v/>
      </c>
      <c r="I848" s="12" t="str">
        <f t="shared" si="13"/>
        <v/>
      </c>
    </row>
    <row r="849" spans="8:9" x14ac:dyDescent="0.25">
      <c r="H849" s="11" t="str" cm="1">
        <f t="array" ref="H849">_xlfn.IFS(E849="","",E849="Grand Total",SUM(H$2:H848),TRUE,IF(COUNTIF(Transactions[Custom Category],E849)&gt;0,SUMIFS(Transactions[Amount],Transactions[Custom Category],E849,Transactions[Month],Sel_Month),SUMIFS(Transactions[Amount],Transactions[Name],E849,Transactions[Month],Sel_Month)))</f>
        <v/>
      </c>
      <c r="I849" s="12" t="str">
        <f t="shared" si="13"/>
        <v/>
      </c>
    </row>
    <row r="850" spans="8:9" x14ac:dyDescent="0.25">
      <c r="H850" s="11" t="str" cm="1">
        <f t="array" ref="H850">_xlfn.IFS(E850="","",E850="Grand Total",SUM(H$2:H849),TRUE,IF(COUNTIF(Transactions[Custom Category],E850)&gt;0,SUMIFS(Transactions[Amount],Transactions[Custom Category],E850,Transactions[Month],Sel_Month),SUMIFS(Transactions[Amount],Transactions[Name],E850,Transactions[Month],Sel_Month)))</f>
        <v/>
      </c>
      <c r="I850" s="12" t="str">
        <f t="shared" si="13"/>
        <v/>
      </c>
    </row>
    <row r="851" spans="8:9" x14ac:dyDescent="0.25">
      <c r="H851" s="11" t="str" cm="1">
        <f t="array" ref="H851">_xlfn.IFS(E851="","",E851="Grand Total",SUM(H$2:H850),TRUE,IF(COUNTIF(Transactions[Custom Category],E851)&gt;0,SUMIFS(Transactions[Amount],Transactions[Custom Category],E851,Transactions[Month],Sel_Month),SUMIFS(Transactions[Amount],Transactions[Name],E851,Transactions[Month],Sel_Month)))</f>
        <v/>
      </c>
      <c r="I851" s="12" t="str">
        <f t="shared" si="13"/>
        <v/>
      </c>
    </row>
    <row r="852" spans="8:9" x14ac:dyDescent="0.25">
      <c r="H852" s="11" t="str" cm="1">
        <f t="array" ref="H852">_xlfn.IFS(E852="","",E852="Grand Total",SUM(H$2:H851),TRUE,IF(COUNTIF(Transactions[Custom Category],E852)&gt;0,SUMIFS(Transactions[Amount],Transactions[Custom Category],E852,Transactions[Month],Sel_Month),SUMIFS(Transactions[Amount],Transactions[Name],E852,Transactions[Month],Sel_Month)))</f>
        <v/>
      </c>
      <c r="I852" s="12" t="str">
        <f t="shared" si="13"/>
        <v/>
      </c>
    </row>
    <row r="853" spans="8:9" x14ac:dyDescent="0.25">
      <c r="H853" s="11" t="str" cm="1">
        <f t="array" ref="H853">_xlfn.IFS(E853="","",E853="Grand Total",SUM(H$2:H852),TRUE,IF(COUNTIF(Transactions[Custom Category],E853)&gt;0,SUMIFS(Transactions[Amount],Transactions[Custom Category],E853,Transactions[Month],Sel_Month),SUMIFS(Transactions[Amount],Transactions[Name],E853,Transactions[Month],Sel_Month)))</f>
        <v/>
      </c>
      <c r="I853" s="12" t="str">
        <f t="shared" si="13"/>
        <v/>
      </c>
    </row>
    <row r="854" spans="8:9" x14ac:dyDescent="0.25">
      <c r="H854" s="11" t="str" cm="1">
        <f t="array" ref="H854">_xlfn.IFS(E854="","",E854="Grand Total",SUM(H$2:H853),TRUE,IF(COUNTIF(Transactions[Custom Category],E854)&gt;0,SUMIFS(Transactions[Amount],Transactions[Custom Category],E854,Transactions[Month],Sel_Month),SUMIFS(Transactions[Amount],Transactions[Name],E854,Transactions[Month],Sel_Month)))</f>
        <v/>
      </c>
      <c r="I854" s="12" t="str">
        <f t="shared" si="13"/>
        <v/>
      </c>
    </row>
    <row r="855" spans="8:9" x14ac:dyDescent="0.25">
      <c r="H855" s="11" t="str" cm="1">
        <f t="array" ref="H855">_xlfn.IFS(E855="","",E855="Grand Total",SUM(H$2:H854),TRUE,IF(COUNTIF(Transactions[Custom Category],E855)&gt;0,SUMIFS(Transactions[Amount],Transactions[Custom Category],E855,Transactions[Month],Sel_Month),SUMIFS(Transactions[Amount],Transactions[Name],E855,Transactions[Month],Sel_Month)))</f>
        <v/>
      </c>
      <c r="I855" s="12" t="str">
        <f t="shared" si="13"/>
        <v/>
      </c>
    </row>
    <row r="856" spans="8:9" x14ac:dyDescent="0.25">
      <c r="H856" s="11" t="str" cm="1">
        <f t="array" ref="H856">_xlfn.IFS(E856="","",E856="Grand Total",SUM(H$2:H855),TRUE,IF(COUNTIF(Transactions[Custom Category],E856)&gt;0,SUMIFS(Transactions[Amount],Transactions[Custom Category],E856,Transactions[Month],Sel_Month),SUMIFS(Transactions[Amount],Transactions[Name],E856,Transactions[Month],Sel_Month)))</f>
        <v/>
      </c>
      <c r="I856" s="12" t="str">
        <f t="shared" si="13"/>
        <v/>
      </c>
    </row>
    <row r="857" spans="8:9" x14ac:dyDescent="0.25">
      <c r="H857" s="11" t="str" cm="1">
        <f t="array" ref="H857">_xlfn.IFS(E857="","",E857="Grand Total",SUM(H$2:H856),TRUE,IF(COUNTIF(Transactions[Custom Category],E857)&gt;0,SUMIFS(Transactions[Amount],Transactions[Custom Category],E857,Transactions[Month],Sel_Month),SUMIFS(Transactions[Amount],Transactions[Name],E857,Transactions[Month],Sel_Month)))</f>
        <v/>
      </c>
      <c r="I857" s="12" t="str">
        <f t="shared" si="13"/>
        <v/>
      </c>
    </row>
    <row r="858" spans="8:9" x14ac:dyDescent="0.25">
      <c r="H858" s="11" t="str" cm="1">
        <f t="array" ref="H858">_xlfn.IFS(E858="","",E858="Grand Total",SUM(H$2:H857),TRUE,IF(COUNTIF(Transactions[Custom Category],E858)&gt;0,SUMIFS(Transactions[Amount],Transactions[Custom Category],E858,Transactions[Month],Sel_Month),SUMIFS(Transactions[Amount],Transactions[Name],E858,Transactions[Month],Sel_Month)))</f>
        <v/>
      </c>
      <c r="I858" s="12" t="str">
        <f t="shared" si="13"/>
        <v/>
      </c>
    </row>
    <row r="859" spans="8:9" x14ac:dyDescent="0.25">
      <c r="H859" s="11" t="str" cm="1">
        <f t="array" ref="H859">_xlfn.IFS(E859="","",E859="Grand Total",SUM(H$2:H858),TRUE,IF(COUNTIF(Transactions[Custom Category],E859)&gt;0,SUMIFS(Transactions[Amount],Transactions[Custom Category],E859,Transactions[Month],Sel_Month),SUMIFS(Transactions[Amount],Transactions[Name],E859,Transactions[Month],Sel_Month)))</f>
        <v/>
      </c>
      <c r="I859" s="12" t="str">
        <f t="shared" si="13"/>
        <v/>
      </c>
    </row>
    <row r="860" spans="8:9" x14ac:dyDescent="0.25">
      <c r="H860" s="11" t="str" cm="1">
        <f t="array" ref="H860">_xlfn.IFS(E860="","",E860="Grand Total",SUM(H$2:H859),TRUE,IF(COUNTIF(Transactions[Custom Category],E860)&gt;0,SUMIFS(Transactions[Amount],Transactions[Custom Category],E860,Transactions[Month],Sel_Month),SUMIFS(Transactions[Amount],Transactions[Name],E860,Transactions[Month],Sel_Month)))</f>
        <v/>
      </c>
      <c r="I860" s="12" t="str">
        <f t="shared" si="13"/>
        <v/>
      </c>
    </row>
    <row r="861" spans="8:9" x14ac:dyDescent="0.25">
      <c r="H861" s="11" t="str" cm="1">
        <f t="array" ref="H861">_xlfn.IFS(E861="","",E861="Grand Total",SUM(H$2:H860),TRUE,IF(COUNTIF(Transactions[Custom Category],E861)&gt;0,SUMIFS(Transactions[Amount],Transactions[Custom Category],E861,Transactions[Month],Sel_Month),SUMIFS(Transactions[Amount],Transactions[Name],E861,Transactions[Month],Sel_Month)))</f>
        <v/>
      </c>
      <c r="I861" s="12" t="str">
        <f t="shared" si="13"/>
        <v/>
      </c>
    </row>
    <row r="862" spans="8:9" x14ac:dyDescent="0.25">
      <c r="H862" s="11" t="str" cm="1">
        <f t="array" ref="H862">_xlfn.IFS(E862="","",E862="Grand Total",SUM(H$2:H861),TRUE,IF(COUNTIF(Transactions[Custom Category],E862)&gt;0,SUMIFS(Transactions[Amount],Transactions[Custom Category],E862,Transactions[Month],Sel_Month),SUMIFS(Transactions[Amount],Transactions[Name],E862,Transactions[Month],Sel_Month)))</f>
        <v/>
      </c>
      <c r="I862" s="12" t="str">
        <f t="shared" si="13"/>
        <v/>
      </c>
    </row>
    <row r="863" spans="8:9" x14ac:dyDescent="0.25">
      <c r="H863" s="11" t="str" cm="1">
        <f t="array" ref="H863">_xlfn.IFS(E863="","",E863="Grand Total",SUM(H$2:H862),TRUE,IF(COUNTIF(Transactions[Custom Category],E863)&gt;0,SUMIFS(Transactions[Amount],Transactions[Custom Category],E863,Transactions[Month],Sel_Month),SUMIFS(Transactions[Amount],Transactions[Name],E863,Transactions[Month],Sel_Month)))</f>
        <v/>
      </c>
      <c r="I863" s="12" t="str">
        <f t="shared" si="13"/>
        <v/>
      </c>
    </row>
    <row r="864" spans="8:9" x14ac:dyDescent="0.25">
      <c r="H864" s="11" t="str" cm="1">
        <f t="array" ref="H864">_xlfn.IFS(E864="","",E864="Grand Total",SUM(H$2:H863),TRUE,IF(COUNTIF(Transactions[Custom Category],E864)&gt;0,SUMIFS(Transactions[Amount],Transactions[Custom Category],E864,Transactions[Month],Sel_Month),SUMIFS(Transactions[Amount],Transactions[Name],E864,Transactions[Month],Sel_Month)))</f>
        <v/>
      </c>
      <c r="I864" s="12" t="str">
        <f t="shared" si="13"/>
        <v/>
      </c>
    </row>
    <row r="865" spans="8:9" x14ac:dyDescent="0.25">
      <c r="H865" s="11" t="str" cm="1">
        <f t="array" ref="H865">_xlfn.IFS(E865="","",E865="Grand Total",SUM(H$2:H864),TRUE,IF(COUNTIF(Transactions[Custom Category],E865)&gt;0,SUMIFS(Transactions[Amount],Transactions[Custom Category],E865,Transactions[Month],Sel_Month),SUMIFS(Transactions[Amount],Transactions[Name],E865,Transactions[Month],Sel_Month)))</f>
        <v/>
      </c>
      <c r="I865" s="12" t="str">
        <f t="shared" si="13"/>
        <v/>
      </c>
    </row>
    <row r="866" spans="8:9" x14ac:dyDescent="0.25">
      <c r="H866" s="11" t="str" cm="1">
        <f t="array" ref="H866">_xlfn.IFS(E866="","",E866="Grand Total",SUM(H$2:H865),TRUE,IF(COUNTIF(Transactions[Custom Category],E866)&gt;0,SUMIFS(Transactions[Amount],Transactions[Custom Category],E866,Transactions[Month],Sel_Month),SUMIFS(Transactions[Amount],Transactions[Name],E866,Transactions[Month],Sel_Month)))</f>
        <v/>
      </c>
      <c r="I866" s="12" t="str">
        <f t="shared" si="13"/>
        <v/>
      </c>
    </row>
    <row r="867" spans="8:9" x14ac:dyDescent="0.25">
      <c r="H867" s="11" t="str" cm="1">
        <f t="array" ref="H867">_xlfn.IFS(E867="","",E867="Grand Total",SUM(H$2:H866),TRUE,IF(COUNTIF(Transactions[Custom Category],E867)&gt;0,SUMIFS(Transactions[Amount],Transactions[Custom Category],E867,Transactions[Month],Sel_Month),SUMIFS(Transactions[Amount],Transactions[Name],E867,Transactions[Month],Sel_Month)))</f>
        <v/>
      </c>
      <c r="I867" s="12" t="str">
        <f t="shared" si="13"/>
        <v/>
      </c>
    </row>
    <row r="868" spans="8:9" x14ac:dyDescent="0.25">
      <c r="H868" s="11" t="str" cm="1">
        <f t="array" ref="H868">_xlfn.IFS(E868="","",E868="Grand Total",SUM(H$2:H867),TRUE,IF(COUNTIF(Transactions[Custom Category],E868)&gt;0,SUMIFS(Transactions[Amount],Transactions[Custom Category],E868,Transactions[Month],Sel_Month),SUMIFS(Transactions[Amount],Transactions[Name],E868,Transactions[Month],Sel_Month)))</f>
        <v/>
      </c>
      <c r="I868" s="12" t="str">
        <f t="shared" si="13"/>
        <v/>
      </c>
    </row>
    <row r="869" spans="8:9" x14ac:dyDescent="0.25">
      <c r="H869" s="11" t="str" cm="1">
        <f t="array" ref="H869">_xlfn.IFS(E869="","",E869="Grand Total",SUM(H$2:H868),TRUE,IF(COUNTIF(Transactions[Custom Category],E869)&gt;0,SUMIFS(Transactions[Amount],Transactions[Custom Category],E869,Transactions[Month],Sel_Month),SUMIFS(Transactions[Amount],Transactions[Name],E869,Transactions[Month],Sel_Month)))</f>
        <v/>
      </c>
      <c r="I869" s="12" t="str">
        <f t="shared" si="13"/>
        <v/>
      </c>
    </row>
    <row r="870" spans="8:9" x14ac:dyDescent="0.25">
      <c r="H870" s="11" t="str" cm="1">
        <f t="array" ref="H870">_xlfn.IFS(E870="","",E870="Grand Total",SUM(H$2:H869),TRUE,IF(COUNTIF(Transactions[Custom Category],E870)&gt;0,SUMIFS(Transactions[Amount],Transactions[Custom Category],E870,Transactions[Month],Sel_Month),SUMIFS(Transactions[Amount],Transactions[Name],E870,Transactions[Month],Sel_Month)))</f>
        <v/>
      </c>
      <c r="I870" s="12" t="str">
        <f t="shared" si="13"/>
        <v/>
      </c>
    </row>
    <row r="871" spans="8:9" x14ac:dyDescent="0.25">
      <c r="H871" s="11" t="str" cm="1">
        <f t="array" ref="H871">_xlfn.IFS(E871="","",E871="Grand Total",SUM(H$2:H870),TRUE,IF(COUNTIF(Transactions[Custom Category],E871)&gt;0,SUMIFS(Transactions[Amount],Transactions[Custom Category],E871,Transactions[Month],Sel_Month),SUMIFS(Transactions[Amount],Transactions[Name],E871,Transactions[Month],Sel_Month)))</f>
        <v/>
      </c>
      <c r="I871" s="12" t="str">
        <f t="shared" si="13"/>
        <v/>
      </c>
    </row>
    <row r="872" spans="8:9" x14ac:dyDescent="0.25">
      <c r="H872" s="11" t="str" cm="1">
        <f t="array" ref="H872">_xlfn.IFS(E872="","",E872="Grand Total",SUM(H$2:H871),TRUE,IF(COUNTIF(Transactions[Custom Category],E872)&gt;0,SUMIFS(Transactions[Amount],Transactions[Custom Category],E872,Transactions[Month],Sel_Month),SUMIFS(Transactions[Amount],Transactions[Name],E872,Transactions[Month],Sel_Month)))</f>
        <v/>
      </c>
      <c r="I872" s="12" t="str">
        <f t="shared" si="13"/>
        <v/>
      </c>
    </row>
    <row r="873" spans="8:9" x14ac:dyDescent="0.25">
      <c r="H873" s="11" t="str" cm="1">
        <f t="array" ref="H873">_xlfn.IFS(E873="","",E873="Grand Total",SUM(H$2:H872),TRUE,IF(COUNTIF(Transactions[Custom Category],E873)&gt;0,SUMIFS(Transactions[Amount],Transactions[Custom Category],E873,Transactions[Month],Sel_Month),SUMIFS(Transactions[Amount],Transactions[Name],E873,Transactions[Month],Sel_Month)))</f>
        <v/>
      </c>
      <c r="I873" s="12" t="str">
        <f t="shared" si="13"/>
        <v/>
      </c>
    </row>
    <row r="874" spans="8:9" x14ac:dyDescent="0.25">
      <c r="H874" s="11" t="str" cm="1">
        <f t="array" ref="H874">_xlfn.IFS(E874="","",E874="Grand Total",SUM(H$2:H873),TRUE,IF(COUNTIF(Transactions[Custom Category],E874)&gt;0,SUMIFS(Transactions[Amount],Transactions[Custom Category],E874,Transactions[Month],Sel_Month),SUMIFS(Transactions[Amount],Transactions[Name],E874,Transactions[Month],Sel_Month)))</f>
        <v/>
      </c>
      <c r="I874" s="12" t="str">
        <f t="shared" si="13"/>
        <v/>
      </c>
    </row>
    <row r="875" spans="8:9" x14ac:dyDescent="0.25">
      <c r="H875" s="11" t="str" cm="1">
        <f t="array" ref="H875">_xlfn.IFS(E875="","",E875="Grand Total",SUM(H$2:H874),TRUE,IF(COUNTIF(Transactions[Custom Category],E875)&gt;0,SUMIFS(Transactions[Amount],Transactions[Custom Category],E875,Transactions[Month],Sel_Month),SUMIFS(Transactions[Amount],Transactions[Name],E875,Transactions[Month],Sel_Month)))</f>
        <v/>
      </c>
      <c r="I875" s="12" t="str">
        <f t="shared" si="13"/>
        <v/>
      </c>
    </row>
    <row r="876" spans="8:9" x14ac:dyDescent="0.25">
      <c r="H876" s="11" t="str" cm="1">
        <f t="array" ref="H876">_xlfn.IFS(E876="","",E876="Grand Total",SUM(H$2:H875),TRUE,IF(COUNTIF(Transactions[Custom Category],E876)&gt;0,SUMIFS(Transactions[Amount],Transactions[Custom Category],E876,Transactions[Month],Sel_Month),SUMIFS(Transactions[Amount],Transactions[Name],E876,Transactions[Month],Sel_Month)))</f>
        <v/>
      </c>
      <c r="I876" s="12" t="str">
        <f t="shared" si="13"/>
        <v/>
      </c>
    </row>
    <row r="877" spans="8:9" x14ac:dyDescent="0.25">
      <c r="H877" s="11" t="str" cm="1">
        <f t="array" ref="H877">_xlfn.IFS(E877="","",E877="Grand Total",SUM(H$2:H876),TRUE,IF(COUNTIF(Transactions[Custom Category],E877)&gt;0,SUMIFS(Transactions[Amount],Transactions[Custom Category],E877,Transactions[Month],Sel_Month),SUMIFS(Transactions[Amount],Transactions[Name],E877,Transactions[Month],Sel_Month)))</f>
        <v/>
      </c>
      <c r="I877" s="12" t="str">
        <f t="shared" si="13"/>
        <v/>
      </c>
    </row>
    <row r="878" spans="8:9" x14ac:dyDescent="0.25">
      <c r="H878" s="11" t="str" cm="1">
        <f t="array" ref="H878">_xlfn.IFS(E878="","",E878="Grand Total",SUM(H$2:H877),TRUE,IF(COUNTIF(Transactions[Custom Category],E878)&gt;0,SUMIFS(Transactions[Amount],Transactions[Custom Category],E878,Transactions[Month],Sel_Month),SUMIFS(Transactions[Amount],Transactions[Name],E878,Transactions[Month],Sel_Month)))</f>
        <v/>
      </c>
      <c r="I878" s="12" t="str">
        <f t="shared" si="13"/>
        <v/>
      </c>
    </row>
    <row r="879" spans="8:9" x14ac:dyDescent="0.25">
      <c r="H879" s="11" t="str" cm="1">
        <f t="array" ref="H879">_xlfn.IFS(E879="","",E879="Grand Total",SUM(H$2:H878),TRUE,IF(COUNTIF(Transactions[Custom Category],E879)&gt;0,SUMIFS(Transactions[Amount],Transactions[Custom Category],E879,Transactions[Month],Sel_Month),SUMIFS(Transactions[Amount],Transactions[Name],E879,Transactions[Month],Sel_Month)))</f>
        <v/>
      </c>
      <c r="I879" s="12" t="str">
        <f t="shared" si="13"/>
        <v/>
      </c>
    </row>
    <row r="880" spans="8:9" x14ac:dyDescent="0.25">
      <c r="H880" s="11" t="str" cm="1">
        <f t="array" ref="H880">_xlfn.IFS(E880="","",E880="Grand Total",SUM(H$2:H879),TRUE,IF(COUNTIF(Transactions[Custom Category],E880)&gt;0,SUMIFS(Transactions[Amount],Transactions[Custom Category],E880,Transactions[Month],Sel_Month),SUMIFS(Transactions[Amount],Transactions[Name],E880,Transactions[Month],Sel_Month)))</f>
        <v/>
      </c>
      <c r="I880" s="12" t="str">
        <f t="shared" si="13"/>
        <v/>
      </c>
    </row>
    <row r="881" spans="8:9" x14ac:dyDescent="0.25">
      <c r="H881" s="11" t="str" cm="1">
        <f t="array" ref="H881">_xlfn.IFS(E881="","",E881="Grand Total",SUM(H$2:H880),TRUE,IF(COUNTIF(Transactions[Custom Category],E881)&gt;0,SUMIFS(Transactions[Amount],Transactions[Custom Category],E881,Transactions[Month],Sel_Month),SUMIFS(Transactions[Amount],Transactions[Name],E881,Transactions[Month],Sel_Month)))</f>
        <v/>
      </c>
      <c r="I881" s="12" t="str">
        <f t="shared" si="13"/>
        <v/>
      </c>
    </row>
    <row r="882" spans="8:9" x14ac:dyDescent="0.25">
      <c r="H882" s="11" t="str" cm="1">
        <f t="array" ref="H882">_xlfn.IFS(E882="","",E882="Grand Total",SUM(H$2:H881),TRUE,IF(COUNTIF(Transactions[Custom Category],E882)&gt;0,SUMIFS(Transactions[Amount],Transactions[Custom Category],E882,Transactions[Month],Sel_Month),SUMIFS(Transactions[Amount],Transactions[Name],E882,Transactions[Month],Sel_Month)))</f>
        <v/>
      </c>
      <c r="I882" s="12" t="str">
        <f t="shared" si="13"/>
        <v/>
      </c>
    </row>
    <row r="883" spans="8:9" x14ac:dyDescent="0.25">
      <c r="H883" s="11" t="str" cm="1">
        <f t="array" ref="H883">_xlfn.IFS(E883="","",E883="Grand Total",SUM(H$2:H882),TRUE,IF(COUNTIF(Transactions[Custom Category],E883)&gt;0,SUMIFS(Transactions[Amount],Transactions[Custom Category],E883,Transactions[Month],Sel_Month),SUMIFS(Transactions[Amount],Transactions[Name],E883,Transactions[Month],Sel_Month)))</f>
        <v/>
      </c>
      <c r="I883" s="12" t="str">
        <f t="shared" si="13"/>
        <v/>
      </c>
    </row>
    <row r="884" spans="8:9" x14ac:dyDescent="0.25">
      <c r="H884" s="11" t="str" cm="1">
        <f t="array" ref="H884">_xlfn.IFS(E884="","",E884="Grand Total",SUM(H$2:H883),TRUE,IF(COUNTIF(Transactions[Custom Category],E884)&gt;0,SUMIFS(Transactions[Amount],Transactions[Custom Category],E884,Transactions[Month],Sel_Month),SUMIFS(Transactions[Amount],Transactions[Name],E884,Transactions[Month],Sel_Month)))</f>
        <v/>
      </c>
      <c r="I884" s="12" t="str">
        <f t="shared" si="13"/>
        <v/>
      </c>
    </row>
    <row r="885" spans="8:9" x14ac:dyDescent="0.25">
      <c r="H885" s="11" t="str" cm="1">
        <f t="array" ref="H885">_xlfn.IFS(E885="","",E885="Grand Total",SUM(H$2:H884),TRUE,IF(COUNTIF(Transactions[Custom Category],E885)&gt;0,SUMIFS(Transactions[Amount],Transactions[Custom Category],E885,Transactions[Month],Sel_Month),SUMIFS(Transactions[Amount],Transactions[Name],E885,Transactions[Month],Sel_Month)))</f>
        <v/>
      </c>
      <c r="I885" s="12" t="str">
        <f t="shared" si="13"/>
        <v/>
      </c>
    </row>
    <row r="886" spans="8:9" x14ac:dyDescent="0.25">
      <c r="H886" s="11" t="str" cm="1">
        <f t="array" ref="H886">_xlfn.IFS(E886="","",E886="Grand Total",SUM(H$2:H885),TRUE,IF(COUNTIF(Transactions[Custom Category],E886)&gt;0,SUMIFS(Transactions[Amount],Transactions[Custom Category],E886,Transactions[Month],Sel_Month),SUMIFS(Transactions[Amount],Transactions[Name],E886,Transactions[Month],Sel_Month)))</f>
        <v/>
      </c>
      <c r="I886" s="12" t="str">
        <f t="shared" si="13"/>
        <v/>
      </c>
    </row>
    <row r="887" spans="8:9" x14ac:dyDescent="0.25">
      <c r="H887" s="11" t="str" cm="1">
        <f t="array" ref="H887">_xlfn.IFS(E887="","",E887="Grand Total",SUM(H$2:H886),TRUE,IF(COUNTIF(Transactions[Custom Category],E887)&gt;0,SUMIFS(Transactions[Amount],Transactions[Custom Category],E887,Transactions[Month],Sel_Month),SUMIFS(Transactions[Amount],Transactions[Name],E887,Transactions[Month],Sel_Month)))</f>
        <v/>
      </c>
      <c r="I887" s="12" t="str">
        <f t="shared" si="13"/>
        <v/>
      </c>
    </row>
    <row r="888" spans="8:9" x14ac:dyDescent="0.25">
      <c r="H888" s="11" t="str" cm="1">
        <f t="array" ref="H888">_xlfn.IFS(E888="","",E888="Grand Total",SUM(H$2:H887),TRUE,IF(COUNTIF(Transactions[Custom Category],E888)&gt;0,SUMIFS(Transactions[Amount],Transactions[Custom Category],E888,Transactions[Month],Sel_Month),SUMIFS(Transactions[Amount],Transactions[Name],E888,Transactions[Month],Sel_Month)))</f>
        <v/>
      </c>
      <c r="I888" s="12" t="str">
        <f t="shared" si="13"/>
        <v/>
      </c>
    </row>
    <row r="889" spans="8:9" x14ac:dyDescent="0.25">
      <c r="H889" s="11" t="str" cm="1">
        <f t="array" ref="H889">_xlfn.IFS(E889="","",E889="Grand Total",SUM(H$2:H888),TRUE,IF(COUNTIF(Transactions[Custom Category],E889)&gt;0,SUMIFS(Transactions[Amount],Transactions[Custom Category],E889,Transactions[Month],Sel_Month),SUMIFS(Transactions[Amount],Transactions[Name],E889,Transactions[Month],Sel_Month)))</f>
        <v/>
      </c>
      <c r="I889" s="12" t="str">
        <f t="shared" si="13"/>
        <v/>
      </c>
    </row>
    <row r="890" spans="8:9" x14ac:dyDescent="0.25">
      <c r="H890" s="11" t="str" cm="1">
        <f t="array" ref="H890">_xlfn.IFS(E890="","",E890="Grand Total",SUM(H$2:H889),TRUE,IF(COUNTIF(Transactions[Custom Category],E890)&gt;0,SUMIFS(Transactions[Amount],Transactions[Custom Category],E890,Transactions[Month],Sel_Month),SUMIFS(Transactions[Amount],Transactions[Name],E890,Transactions[Month],Sel_Month)))</f>
        <v/>
      </c>
      <c r="I890" s="12" t="str">
        <f t="shared" si="13"/>
        <v/>
      </c>
    </row>
    <row r="891" spans="8:9" x14ac:dyDescent="0.25">
      <c r="H891" s="11" t="str" cm="1">
        <f t="array" ref="H891">_xlfn.IFS(E891="","",E891="Grand Total",SUM(H$2:H890),TRUE,IF(COUNTIF(Transactions[Custom Category],E891)&gt;0,SUMIFS(Transactions[Amount],Transactions[Custom Category],E891,Transactions[Month],Sel_Month),SUMIFS(Transactions[Amount],Transactions[Name],E891,Transactions[Month],Sel_Month)))</f>
        <v/>
      </c>
      <c r="I891" s="12" t="str">
        <f t="shared" si="13"/>
        <v/>
      </c>
    </row>
    <row r="892" spans="8:9" x14ac:dyDescent="0.25">
      <c r="H892" s="11" t="str" cm="1">
        <f t="array" ref="H892">_xlfn.IFS(E892="","",E892="Grand Total",SUM(H$2:H891),TRUE,IF(COUNTIF(Transactions[Custom Category],E892)&gt;0,SUMIFS(Transactions[Amount],Transactions[Custom Category],E892,Transactions[Month],Sel_Month),SUMIFS(Transactions[Amount],Transactions[Name],E892,Transactions[Month],Sel_Month)))</f>
        <v/>
      </c>
      <c r="I892" s="12" t="str">
        <f t="shared" si="13"/>
        <v/>
      </c>
    </row>
    <row r="893" spans="8:9" x14ac:dyDescent="0.25">
      <c r="H893" s="11" t="str" cm="1">
        <f t="array" ref="H893">_xlfn.IFS(E893="","",E893="Grand Total",SUM(H$2:H892),TRUE,IF(COUNTIF(Transactions[Custom Category],E893)&gt;0,SUMIFS(Transactions[Amount],Transactions[Custom Category],E893,Transactions[Month],Sel_Month),SUMIFS(Transactions[Amount],Transactions[Name],E893,Transactions[Month],Sel_Month)))</f>
        <v/>
      </c>
      <c r="I893" s="12" t="str">
        <f t="shared" si="13"/>
        <v/>
      </c>
    </row>
    <row r="894" spans="8:9" x14ac:dyDescent="0.25">
      <c r="H894" s="11" t="str" cm="1">
        <f t="array" ref="H894">_xlfn.IFS(E894="","",E894="Grand Total",SUM(H$2:H893),TRUE,IF(COUNTIF(Transactions[Custom Category],E894)&gt;0,SUMIFS(Transactions[Amount],Transactions[Custom Category],E894,Transactions[Month],Sel_Month),SUMIFS(Transactions[Amount],Transactions[Name],E894,Transactions[Month],Sel_Month)))</f>
        <v/>
      </c>
      <c r="I894" s="12" t="str">
        <f t="shared" si="13"/>
        <v/>
      </c>
    </row>
    <row r="895" spans="8:9" x14ac:dyDescent="0.25">
      <c r="H895" s="11" t="str" cm="1">
        <f t="array" ref="H895">_xlfn.IFS(E895="","",E895="Grand Total",SUM(H$2:H894),TRUE,IF(COUNTIF(Transactions[Custom Category],E895)&gt;0,SUMIFS(Transactions[Amount],Transactions[Custom Category],E895,Transactions[Month],Sel_Month),SUMIFS(Transactions[Amount],Transactions[Name],E895,Transactions[Month],Sel_Month)))</f>
        <v/>
      </c>
      <c r="I895" s="12" t="str">
        <f t="shared" si="13"/>
        <v/>
      </c>
    </row>
    <row r="896" spans="8:9" x14ac:dyDescent="0.25">
      <c r="H896" s="11" t="str" cm="1">
        <f t="array" ref="H896">_xlfn.IFS(E896="","",E896="Grand Total",SUM(H$2:H895),TRUE,IF(COUNTIF(Transactions[Custom Category],E896)&gt;0,SUMIFS(Transactions[Amount],Transactions[Custom Category],E896,Transactions[Month],Sel_Month),SUMIFS(Transactions[Amount],Transactions[Name],E896,Transactions[Month],Sel_Month)))</f>
        <v/>
      </c>
      <c r="I896" s="12" t="str">
        <f t="shared" si="13"/>
        <v/>
      </c>
    </row>
    <row r="897" spans="8:9" x14ac:dyDescent="0.25">
      <c r="H897" s="11" t="str" cm="1">
        <f t="array" ref="H897">_xlfn.IFS(E897="","",E897="Grand Total",SUM(H$2:H896),TRUE,IF(COUNTIF(Transactions[Custom Category],E897)&gt;0,SUMIFS(Transactions[Amount],Transactions[Custom Category],E897,Transactions[Month],Sel_Month),SUMIFS(Transactions[Amount],Transactions[Name],E897,Transactions[Month],Sel_Month)))</f>
        <v/>
      </c>
      <c r="I897" s="12" t="str">
        <f t="shared" si="13"/>
        <v/>
      </c>
    </row>
    <row r="898" spans="8:9" x14ac:dyDescent="0.25">
      <c r="H898" s="11" t="str" cm="1">
        <f t="array" ref="H898">_xlfn.IFS(E898="","",E898="Grand Total",SUM(H$2:H897),TRUE,IF(COUNTIF(Transactions[Custom Category],E898)&gt;0,SUMIFS(Transactions[Amount],Transactions[Custom Category],E898,Transactions[Month],Sel_Month),SUMIFS(Transactions[Amount],Transactions[Name],E898,Transactions[Month],Sel_Month)))</f>
        <v/>
      </c>
      <c r="I898" s="12" t="str">
        <f t="shared" si="13"/>
        <v/>
      </c>
    </row>
    <row r="899" spans="8:9" x14ac:dyDescent="0.25">
      <c r="H899" s="11" t="str" cm="1">
        <f t="array" ref="H899">_xlfn.IFS(E899="","",E899="Grand Total",SUM(H$2:H898),TRUE,IF(COUNTIF(Transactions[Custom Category],E899)&gt;0,SUMIFS(Transactions[Amount],Transactions[Custom Category],E899,Transactions[Month],Sel_Month),SUMIFS(Transactions[Amount],Transactions[Name],E899,Transactions[Month],Sel_Month)))</f>
        <v/>
      </c>
      <c r="I899" s="12" t="str">
        <f t="shared" si="13"/>
        <v/>
      </c>
    </row>
    <row r="900" spans="8:9" x14ac:dyDescent="0.25">
      <c r="H900" s="11" t="str" cm="1">
        <f t="array" ref="H900">_xlfn.IFS(E900="","",E900="Grand Total",SUM(H$2:H899),TRUE,IF(COUNTIF(Transactions[Custom Category],E900)&gt;0,SUMIFS(Transactions[Amount],Transactions[Custom Category],E900,Transactions[Month],Sel_Month),SUMIFS(Transactions[Amount],Transactions[Name],E900,Transactions[Month],Sel_Month)))</f>
        <v/>
      </c>
      <c r="I900" s="12" t="str">
        <f t="shared" ref="I900:I963" si="14">IF(G900="","",IF(G900=0,0,1-((G900-H900)/G900)))</f>
        <v/>
      </c>
    </row>
    <row r="901" spans="8:9" x14ac:dyDescent="0.25">
      <c r="H901" s="11" t="str" cm="1">
        <f t="array" ref="H901">_xlfn.IFS(E901="","",E901="Grand Total",SUM(H$2:H900),TRUE,IF(COUNTIF(Transactions[Custom Category],E901)&gt;0,SUMIFS(Transactions[Amount],Transactions[Custom Category],E901,Transactions[Month],Sel_Month),SUMIFS(Transactions[Amount],Transactions[Name],E901,Transactions[Month],Sel_Month)))</f>
        <v/>
      </c>
      <c r="I901" s="12" t="str">
        <f t="shared" si="14"/>
        <v/>
      </c>
    </row>
    <row r="902" spans="8:9" x14ac:dyDescent="0.25">
      <c r="H902" s="11" t="str" cm="1">
        <f t="array" ref="H902">_xlfn.IFS(E902="","",E902="Grand Total",SUM(H$2:H901),TRUE,IF(COUNTIF(Transactions[Custom Category],E902)&gt;0,SUMIFS(Transactions[Amount],Transactions[Custom Category],E902,Transactions[Month],Sel_Month),SUMIFS(Transactions[Amount],Transactions[Name],E902,Transactions[Month],Sel_Month)))</f>
        <v/>
      </c>
      <c r="I902" s="12" t="str">
        <f t="shared" si="14"/>
        <v/>
      </c>
    </row>
    <row r="903" spans="8:9" x14ac:dyDescent="0.25">
      <c r="H903" s="11" t="str" cm="1">
        <f t="array" ref="H903">_xlfn.IFS(E903="","",E903="Grand Total",SUM(H$2:H902),TRUE,IF(COUNTIF(Transactions[Custom Category],E903)&gt;0,SUMIFS(Transactions[Amount],Transactions[Custom Category],E903,Transactions[Month],Sel_Month),SUMIFS(Transactions[Amount],Transactions[Name],E903,Transactions[Month],Sel_Month)))</f>
        <v/>
      </c>
      <c r="I903" s="12" t="str">
        <f t="shared" si="14"/>
        <v/>
      </c>
    </row>
    <row r="904" spans="8:9" x14ac:dyDescent="0.25">
      <c r="H904" s="11" t="str" cm="1">
        <f t="array" ref="H904">_xlfn.IFS(E904="","",E904="Grand Total",SUM(H$2:H903),TRUE,IF(COUNTIF(Transactions[Custom Category],E904)&gt;0,SUMIFS(Transactions[Amount],Transactions[Custom Category],E904,Transactions[Month],Sel_Month),SUMIFS(Transactions[Amount],Transactions[Name],E904,Transactions[Month],Sel_Month)))</f>
        <v/>
      </c>
      <c r="I904" s="12" t="str">
        <f t="shared" si="14"/>
        <v/>
      </c>
    </row>
    <row r="905" spans="8:9" x14ac:dyDescent="0.25">
      <c r="H905" s="11" t="str" cm="1">
        <f t="array" ref="H905">_xlfn.IFS(E905="","",E905="Grand Total",SUM(H$2:H904),TRUE,IF(COUNTIF(Transactions[Custom Category],E905)&gt;0,SUMIFS(Transactions[Amount],Transactions[Custom Category],E905,Transactions[Month],Sel_Month),SUMIFS(Transactions[Amount],Transactions[Name],E905,Transactions[Month],Sel_Month)))</f>
        <v/>
      </c>
      <c r="I905" s="12" t="str">
        <f t="shared" si="14"/>
        <v/>
      </c>
    </row>
    <row r="906" spans="8:9" x14ac:dyDescent="0.25">
      <c r="H906" s="11" t="str" cm="1">
        <f t="array" ref="H906">_xlfn.IFS(E906="","",E906="Grand Total",SUM(H$2:H905),TRUE,IF(COUNTIF(Transactions[Custom Category],E906)&gt;0,SUMIFS(Transactions[Amount],Transactions[Custom Category],E906,Transactions[Month],Sel_Month),SUMIFS(Transactions[Amount],Transactions[Name],E906,Transactions[Month],Sel_Month)))</f>
        <v/>
      </c>
      <c r="I906" s="12" t="str">
        <f t="shared" si="14"/>
        <v/>
      </c>
    </row>
    <row r="907" spans="8:9" x14ac:dyDescent="0.25">
      <c r="H907" s="11" t="str" cm="1">
        <f t="array" ref="H907">_xlfn.IFS(E907="","",E907="Grand Total",SUM(H$2:H906),TRUE,IF(COUNTIF(Transactions[Custom Category],E907)&gt;0,SUMIFS(Transactions[Amount],Transactions[Custom Category],E907,Transactions[Month],Sel_Month),SUMIFS(Transactions[Amount],Transactions[Name],E907,Transactions[Month],Sel_Month)))</f>
        <v/>
      </c>
      <c r="I907" s="12" t="str">
        <f t="shared" si="14"/>
        <v/>
      </c>
    </row>
    <row r="908" spans="8:9" x14ac:dyDescent="0.25">
      <c r="H908" s="11" t="str" cm="1">
        <f t="array" ref="H908">_xlfn.IFS(E908="","",E908="Grand Total",SUM(H$2:H907),TRUE,IF(COUNTIF(Transactions[Custom Category],E908)&gt;0,SUMIFS(Transactions[Amount],Transactions[Custom Category],E908,Transactions[Month],Sel_Month),SUMIFS(Transactions[Amount],Transactions[Name],E908,Transactions[Month],Sel_Month)))</f>
        <v/>
      </c>
      <c r="I908" s="12" t="str">
        <f t="shared" si="14"/>
        <v/>
      </c>
    </row>
    <row r="909" spans="8:9" x14ac:dyDescent="0.25">
      <c r="H909" s="11" t="str" cm="1">
        <f t="array" ref="H909">_xlfn.IFS(E909="","",E909="Grand Total",SUM(H$2:H908),TRUE,IF(COUNTIF(Transactions[Custom Category],E909)&gt;0,SUMIFS(Transactions[Amount],Transactions[Custom Category],E909,Transactions[Month],Sel_Month),SUMIFS(Transactions[Amount],Transactions[Name],E909,Transactions[Month],Sel_Month)))</f>
        <v/>
      </c>
      <c r="I909" s="12" t="str">
        <f t="shared" si="14"/>
        <v/>
      </c>
    </row>
    <row r="910" spans="8:9" x14ac:dyDescent="0.25">
      <c r="H910" s="11" t="str" cm="1">
        <f t="array" ref="H910">_xlfn.IFS(E910="","",E910="Grand Total",SUM(H$2:H909),TRUE,IF(COUNTIF(Transactions[Custom Category],E910)&gt;0,SUMIFS(Transactions[Amount],Transactions[Custom Category],E910,Transactions[Month],Sel_Month),SUMIFS(Transactions[Amount],Transactions[Name],E910,Transactions[Month],Sel_Month)))</f>
        <v/>
      </c>
      <c r="I910" s="12" t="str">
        <f t="shared" si="14"/>
        <v/>
      </c>
    </row>
    <row r="911" spans="8:9" x14ac:dyDescent="0.25">
      <c r="H911" s="11" t="str" cm="1">
        <f t="array" ref="H911">_xlfn.IFS(E911="","",E911="Grand Total",SUM(H$2:H910),TRUE,IF(COUNTIF(Transactions[Custom Category],E911)&gt;0,SUMIFS(Transactions[Amount],Transactions[Custom Category],E911,Transactions[Month],Sel_Month),SUMIFS(Transactions[Amount],Transactions[Name],E911,Transactions[Month],Sel_Month)))</f>
        <v/>
      </c>
      <c r="I911" s="12" t="str">
        <f t="shared" si="14"/>
        <v/>
      </c>
    </row>
    <row r="912" spans="8:9" x14ac:dyDescent="0.25">
      <c r="H912" s="11" t="str" cm="1">
        <f t="array" ref="H912">_xlfn.IFS(E912="","",E912="Grand Total",SUM(H$2:H911),TRUE,IF(COUNTIF(Transactions[Custom Category],E912)&gt;0,SUMIFS(Transactions[Amount],Transactions[Custom Category],E912,Transactions[Month],Sel_Month),SUMIFS(Transactions[Amount],Transactions[Name],E912,Transactions[Month],Sel_Month)))</f>
        <v/>
      </c>
      <c r="I912" s="12" t="str">
        <f t="shared" si="14"/>
        <v/>
      </c>
    </row>
    <row r="913" spans="8:9" x14ac:dyDescent="0.25">
      <c r="H913" s="11" t="str" cm="1">
        <f t="array" ref="H913">_xlfn.IFS(E913="","",E913="Grand Total",SUM(H$2:H912),TRUE,IF(COUNTIF(Transactions[Custom Category],E913)&gt;0,SUMIFS(Transactions[Amount],Transactions[Custom Category],E913,Transactions[Month],Sel_Month),SUMIFS(Transactions[Amount],Transactions[Name],E913,Transactions[Month],Sel_Month)))</f>
        <v/>
      </c>
      <c r="I913" s="12" t="str">
        <f t="shared" si="14"/>
        <v/>
      </c>
    </row>
    <row r="914" spans="8:9" x14ac:dyDescent="0.25">
      <c r="H914" s="11" t="str" cm="1">
        <f t="array" ref="H914">_xlfn.IFS(E914="","",E914="Grand Total",SUM(H$2:H913),TRUE,IF(COUNTIF(Transactions[Custom Category],E914)&gt;0,SUMIFS(Transactions[Amount],Transactions[Custom Category],E914,Transactions[Month],Sel_Month),SUMIFS(Transactions[Amount],Transactions[Name],E914,Transactions[Month],Sel_Month)))</f>
        <v/>
      </c>
      <c r="I914" s="12" t="str">
        <f t="shared" si="14"/>
        <v/>
      </c>
    </row>
    <row r="915" spans="8:9" x14ac:dyDescent="0.25">
      <c r="H915" s="11" t="str" cm="1">
        <f t="array" ref="H915">_xlfn.IFS(E915="","",E915="Grand Total",SUM(H$2:H914),TRUE,IF(COUNTIF(Transactions[Custom Category],E915)&gt;0,SUMIFS(Transactions[Amount],Transactions[Custom Category],E915,Transactions[Month],Sel_Month),SUMIFS(Transactions[Amount],Transactions[Name],E915,Transactions[Month],Sel_Month)))</f>
        <v/>
      </c>
      <c r="I915" s="12" t="str">
        <f t="shared" si="14"/>
        <v/>
      </c>
    </row>
    <row r="916" spans="8:9" x14ac:dyDescent="0.25">
      <c r="H916" s="11" t="str" cm="1">
        <f t="array" ref="H916">_xlfn.IFS(E916="","",E916="Grand Total",SUM(H$2:H915),TRUE,IF(COUNTIF(Transactions[Custom Category],E916)&gt;0,SUMIFS(Transactions[Amount],Transactions[Custom Category],E916,Transactions[Month],Sel_Month),SUMIFS(Transactions[Amount],Transactions[Name],E916,Transactions[Month],Sel_Month)))</f>
        <v/>
      </c>
      <c r="I916" s="12" t="str">
        <f t="shared" si="14"/>
        <v/>
      </c>
    </row>
    <row r="917" spans="8:9" x14ac:dyDescent="0.25">
      <c r="H917" s="11" t="str" cm="1">
        <f t="array" ref="H917">_xlfn.IFS(E917="","",E917="Grand Total",SUM(H$2:H916),TRUE,IF(COUNTIF(Transactions[Custom Category],E917)&gt;0,SUMIFS(Transactions[Amount],Transactions[Custom Category],E917,Transactions[Month],Sel_Month),SUMIFS(Transactions[Amount],Transactions[Name],E917,Transactions[Month],Sel_Month)))</f>
        <v/>
      </c>
      <c r="I917" s="12" t="str">
        <f t="shared" si="14"/>
        <v/>
      </c>
    </row>
    <row r="918" spans="8:9" x14ac:dyDescent="0.25">
      <c r="H918" s="11" t="str" cm="1">
        <f t="array" ref="H918">_xlfn.IFS(E918="","",E918="Grand Total",SUM(H$2:H917),TRUE,IF(COUNTIF(Transactions[Custom Category],E918)&gt;0,SUMIFS(Transactions[Amount],Transactions[Custom Category],E918,Transactions[Month],Sel_Month),SUMIFS(Transactions[Amount],Transactions[Name],E918,Transactions[Month],Sel_Month)))</f>
        <v/>
      </c>
      <c r="I918" s="12" t="str">
        <f t="shared" si="14"/>
        <v/>
      </c>
    </row>
    <row r="919" spans="8:9" x14ac:dyDescent="0.25">
      <c r="H919" s="11" t="str" cm="1">
        <f t="array" ref="H919">_xlfn.IFS(E919="","",E919="Grand Total",SUM(H$2:H918),TRUE,IF(COUNTIF(Transactions[Custom Category],E919)&gt;0,SUMIFS(Transactions[Amount],Transactions[Custom Category],E919,Transactions[Month],Sel_Month),SUMIFS(Transactions[Amount],Transactions[Name],E919,Transactions[Month],Sel_Month)))</f>
        <v/>
      </c>
      <c r="I919" s="12" t="str">
        <f t="shared" si="14"/>
        <v/>
      </c>
    </row>
    <row r="920" spans="8:9" x14ac:dyDescent="0.25">
      <c r="H920" s="11" t="str" cm="1">
        <f t="array" ref="H920">_xlfn.IFS(E920="","",E920="Grand Total",SUM(H$2:H919),TRUE,IF(COUNTIF(Transactions[Custom Category],E920)&gt;0,SUMIFS(Transactions[Amount],Transactions[Custom Category],E920,Transactions[Month],Sel_Month),SUMIFS(Transactions[Amount],Transactions[Name],E920,Transactions[Month],Sel_Month)))</f>
        <v/>
      </c>
      <c r="I920" s="12" t="str">
        <f t="shared" si="14"/>
        <v/>
      </c>
    </row>
    <row r="921" spans="8:9" x14ac:dyDescent="0.25">
      <c r="H921" s="11" t="str" cm="1">
        <f t="array" ref="H921">_xlfn.IFS(E921="","",E921="Grand Total",SUM(H$2:H920),TRUE,IF(COUNTIF(Transactions[Custom Category],E921)&gt;0,SUMIFS(Transactions[Amount],Transactions[Custom Category],E921,Transactions[Month],Sel_Month),SUMIFS(Transactions[Amount],Transactions[Name],E921,Transactions[Month],Sel_Month)))</f>
        <v/>
      </c>
      <c r="I921" s="12" t="str">
        <f t="shared" si="14"/>
        <v/>
      </c>
    </row>
    <row r="922" spans="8:9" x14ac:dyDescent="0.25">
      <c r="H922" s="11" t="str" cm="1">
        <f t="array" ref="H922">_xlfn.IFS(E922="","",E922="Grand Total",SUM(H$2:H921),TRUE,IF(COUNTIF(Transactions[Custom Category],E922)&gt;0,SUMIFS(Transactions[Amount],Transactions[Custom Category],E922,Transactions[Month],Sel_Month),SUMIFS(Transactions[Amount],Transactions[Name],E922,Transactions[Month],Sel_Month)))</f>
        <v/>
      </c>
      <c r="I922" s="12" t="str">
        <f t="shared" si="14"/>
        <v/>
      </c>
    </row>
    <row r="923" spans="8:9" x14ac:dyDescent="0.25">
      <c r="H923" s="11" t="str" cm="1">
        <f t="array" ref="H923">_xlfn.IFS(E923="","",E923="Grand Total",SUM(H$2:H922),TRUE,IF(COUNTIF(Transactions[Custom Category],E923)&gt;0,SUMIFS(Transactions[Amount],Transactions[Custom Category],E923,Transactions[Month],Sel_Month),SUMIFS(Transactions[Amount],Transactions[Name],E923,Transactions[Month],Sel_Month)))</f>
        <v/>
      </c>
      <c r="I923" s="12" t="str">
        <f t="shared" si="14"/>
        <v/>
      </c>
    </row>
    <row r="924" spans="8:9" x14ac:dyDescent="0.25">
      <c r="H924" s="11" t="str" cm="1">
        <f t="array" ref="H924">_xlfn.IFS(E924="","",E924="Grand Total",SUM(H$2:H923),TRUE,IF(COUNTIF(Transactions[Custom Category],E924)&gt;0,SUMIFS(Transactions[Amount],Transactions[Custom Category],E924,Transactions[Month],Sel_Month),SUMIFS(Transactions[Amount],Transactions[Name],E924,Transactions[Month],Sel_Month)))</f>
        <v/>
      </c>
      <c r="I924" s="12" t="str">
        <f t="shared" si="14"/>
        <v/>
      </c>
    </row>
    <row r="925" spans="8:9" x14ac:dyDescent="0.25">
      <c r="H925" s="11" t="str" cm="1">
        <f t="array" ref="H925">_xlfn.IFS(E925="","",E925="Grand Total",SUM(H$2:H924),TRUE,IF(COUNTIF(Transactions[Custom Category],E925)&gt;0,SUMIFS(Transactions[Amount],Transactions[Custom Category],E925,Transactions[Month],Sel_Month),SUMIFS(Transactions[Amount],Transactions[Name],E925,Transactions[Month],Sel_Month)))</f>
        <v/>
      </c>
      <c r="I925" s="12" t="str">
        <f t="shared" si="14"/>
        <v/>
      </c>
    </row>
    <row r="926" spans="8:9" x14ac:dyDescent="0.25">
      <c r="H926" s="11" t="str" cm="1">
        <f t="array" ref="H926">_xlfn.IFS(E926="","",E926="Grand Total",SUM(H$2:H925),TRUE,IF(COUNTIF(Transactions[Custom Category],E926)&gt;0,SUMIFS(Transactions[Amount],Transactions[Custom Category],E926,Transactions[Month],Sel_Month),SUMIFS(Transactions[Amount],Transactions[Name],E926,Transactions[Month],Sel_Month)))</f>
        <v/>
      </c>
      <c r="I926" s="12" t="str">
        <f t="shared" si="14"/>
        <v/>
      </c>
    </row>
    <row r="927" spans="8:9" x14ac:dyDescent="0.25">
      <c r="H927" s="11" t="str" cm="1">
        <f t="array" ref="H927">_xlfn.IFS(E927="","",E927="Grand Total",SUM(H$2:H926),TRUE,IF(COUNTIF(Transactions[Custom Category],E927)&gt;0,SUMIFS(Transactions[Amount],Transactions[Custom Category],E927,Transactions[Month],Sel_Month),SUMIFS(Transactions[Amount],Transactions[Name],E927,Transactions[Month],Sel_Month)))</f>
        <v/>
      </c>
      <c r="I927" s="12" t="str">
        <f t="shared" si="14"/>
        <v/>
      </c>
    </row>
    <row r="928" spans="8:9" x14ac:dyDescent="0.25">
      <c r="H928" s="11" t="str" cm="1">
        <f t="array" ref="H928">_xlfn.IFS(E928="","",E928="Grand Total",SUM(H$2:H927),TRUE,IF(COUNTIF(Transactions[Custom Category],E928)&gt;0,SUMIFS(Transactions[Amount],Transactions[Custom Category],E928,Transactions[Month],Sel_Month),SUMIFS(Transactions[Amount],Transactions[Name],E928,Transactions[Month],Sel_Month)))</f>
        <v/>
      </c>
      <c r="I928" s="12" t="str">
        <f t="shared" si="14"/>
        <v/>
      </c>
    </row>
    <row r="929" spans="8:9" x14ac:dyDescent="0.25">
      <c r="H929" s="11" t="str" cm="1">
        <f t="array" ref="H929">_xlfn.IFS(E929="","",E929="Grand Total",SUM(H$2:H928),TRUE,IF(COUNTIF(Transactions[Custom Category],E929)&gt;0,SUMIFS(Transactions[Amount],Transactions[Custom Category],E929,Transactions[Month],Sel_Month),SUMIFS(Transactions[Amount],Transactions[Name],E929,Transactions[Month],Sel_Month)))</f>
        <v/>
      </c>
      <c r="I929" s="12" t="str">
        <f t="shared" si="14"/>
        <v/>
      </c>
    </row>
    <row r="930" spans="8:9" x14ac:dyDescent="0.25">
      <c r="H930" s="11" t="str" cm="1">
        <f t="array" ref="H930">_xlfn.IFS(E930="","",E930="Grand Total",SUM(H$2:H929),TRUE,IF(COUNTIF(Transactions[Custom Category],E930)&gt;0,SUMIFS(Transactions[Amount],Transactions[Custom Category],E930,Transactions[Month],Sel_Month),SUMIFS(Transactions[Amount],Transactions[Name],E930,Transactions[Month],Sel_Month)))</f>
        <v/>
      </c>
      <c r="I930" s="12" t="str">
        <f t="shared" si="14"/>
        <v/>
      </c>
    </row>
    <row r="931" spans="8:9" x14ac:dyDescent="0.25">
      <c r="H931" s="11" t="str" cm="1">
        <f t="array" ref="H931">_xlfn.IFS(E931="","",E931="Grand Total",SUM(H$2:H930),TRUE,IF(COUNTIF(Transactions[Custom Category],E931)&gt;0,SUMIFS(Transactions[Amount],Transactions[Custom Category],E931,Transactions[Month],Sel_Month),SUMIFS(Transactions[Amount],Transactions[Name],E931,Transactions[Month],Sel_Month)))</f>
        <v/>
      </c>
      <c r="I931" s="12" t="str">
        <f t="shared" si="14"/>
        <v/>
      </c>
    </row>
    <row r="932" spans="8:9" x14ac:dyDescent="0.25">
      <c r="H932" s="11" t="str" cm="1">
        <f t="array" ref="H932">_xlfn.IFS(E932="","",E932="Grand Total",SUM(H$2:H931),TRUE,IF(COUNTIF(Transactions[Custom Category],E932)&gt;0,SUMIFS(Transactions[Amount],Transactions[Custom Category],E932,Transactions[Month],Sel_Month),SUMIFS(Transactions[Amount],Transactions[Name],E932,Transactions[Month],Sel_Month)))</f>
        <v/>
      </c>
      <c r="I932" s="12" t="str">
        <f t="shared" si="14"/>
        <v/>
      </c>
    </row>
    <row r="933" spans="8:9" x14ac:dyDescent="0.25">
      <c r="H933" s="11" t="str" cm="1">
        <f t="array" ref="H933">_xlfn.IFS(E933="","",E933="Grand Total",SUM(H$2:H932),TRUE,IF(COUNTIF(Transactions[Custom Category],E933)&gt;0,SUMIFS(Transactions[Amount],Transactions[Custom Category],E933,Transactions[Month],Sel_Month),SUMIFS(Transactions[Amount],Transactions[Name],E933,Transactions[Month],Sel_Month)))</f>
        <v/>
      </c>
      <c r="I933" s="12" t="str">
        <f t="shared" si="14"/>
        <v/>
      </c>
    </row>
    <row r="934" spans="8:9" x14ac:dyDescent="0.25">
      <c r="H934" s="11" t="str" cm="1">
        <f t="array" ref="H934">_xlfn.IFS(E934="","",E934="Grand Total",SUM(H$2:H933),TRUE,IF(COUNTIF(Transactions[Custom Category],E934)&gt;0,SUMIFS(Transactions[Amount],Transactions[Custom Category],E934,Transactions[Month],Sel_Month),SUMIFS(Transactions[Amount],Transactions[Name],E934,Transactions[Month],Sel_Month)))</f>
        <v/>
      </c>
      <c r="I934" s="12" t="str">
        <f t="shared" si="14"/>
        <v/>
      </c>
    </row>
    <row r="935" spans="8:9" x14ac:dyDescent="0.25">
      <c r="H935" s="11" t="str" cm="1">
        <f t="array" ref="H935">_xlfn.IFS(E935="","",E935="Grand Total",SUM(H$2:H934),TRUE,IF(COUNTIF(Transactions[Custom Category],E935)&gt;0,SUMIFS(Transactions[Amount],Transactions[Custom Category],E935,Transactions[Month],Sel_Month),SUMIFS(Transactions[Amount],Transactions[Name],E935,Transactions[Month],Sel_Month)))</f>
        <v/>
      </c>
      <c r="I935" s="12" t="str">
        <f t="shared" si="14"/>
        <v/>
      </c>
    </row>
    <row r="936" spans="8:9" x14ac:dyDescent="0.25">
      <c r="H936" s="11" t="str" cm="1">
        <f t="array" ref="H936">_xlfn.IFS(E936="","",E936="Grand Total",SUM(H$2:H935),TRUE,IF(COUNTIF(Transactions[Custom Category],E936)&gt;0,SUMIFS(Transactions[Amount],Transactions[Custom Category],E936,Transactions[Month],Sel_Month),SUMIFS(Transactions[Amount],Transactions[Name],E936,Transactions[Month],Sel_Month)))</f>
        <v/>
      </c>
      <c r="I936" s="12" t="str">
        <f t="shared" si="14"/>
        <v/>
      </c>
    </row>
    <row r="937" spans="8:9" x14ac:dyDescent="0.25">
      <c r="H937" s="11" t="str" cm="1">
        <f t="array" ref="H937">_xlfn.IFS(E937="","",E937="Grand Total",SUM(H$2:H936),TRUE,IF(COUNTIF(Transactions[Custom Category],E937)&gt;0,SUMIFS(Transactions[Amount],Transactions[Custom Category],E937,Transactions[Month],Sel_Month),SUMIFS(Transactions[Amount],Transactions[Name],E937,Transactions[Month],Sel_Month)))</f>
        <v/>
      </c>
      <c r="I937" s="12" t="str">
        <f t="shared" si="14"/>
        <v/>
      </c>
    </row>
    <row r="938" spans="8:9" x14ac:dyDescent="0.25">
      <c r="H938" s="11" t="str" cm="1">
        <f t="array" ref="H938">_xlfn.IFS(E938="","",E938="Grand Total",SUM(H$2:H937),TRUE,IF(COUNTIF(Transactions[Custom Category],E938)&gt;0,SUMIFS(Transactions[Amount],Transactions[Custom Category],E938,Transactions[Month],Sel_Month),SUMIFS(Transactions[Amount],Transactions[Name],E938,Transactions[Month],Sel_Month)))</f>
        <v/>
      </c>
      <c r="I938" s="12" t="str">
        <f t="shared" si="14"/>
        <v/>
      </c>
    </row>
    <row r="939" spans="8:9" x14ac:dyDescent="0.25">
      <c r="H939" s="11" t="str" cm="1">
        <f t="array" ref="H939">_xlfn.IFS(E939="","",E939="Grand Total",SUM(H$2:H938),TRUE,IF(COUNTIF(Transactions[Custom Category],E939)&gt;0,SUMIFS(Transactions[Amount],Transactions[Custom Category],E939,Transactions[Month],Sel_Month),SUMIFS(Transactions[Amount],Transactions[Name],E939,Transactions[Month],Sel_Month)))</f>
        <v/>
      </c>
      <c r="I939" s="12" t="str">
        <f t="shared" si="14"/>
        <v/>
      </c>
    </row>
    <row r="940" spans="8:9" x14ac:dyDescent="0.25">
      <c r="H940" s="11" t="str" cm="1">
        <f t="array" ref="H940">_xlfn.IFS(E940="","",E940="Grand Total",SUM(H$2:H939),TRUE,IF(COUNTIF(Transactions[Custom Category],E940)&gt;0,SUMIFS(Transactions[Amount],Transactions[Custom Category],E940,Transactions[Month],Sel_Month),SUMIFS(Transactions[Amount],Transactions[Name],E940,Transactions[Month],Sel_Month)))</f>
        <v/>
      </c>
      <c r="I940" s="12" t="str">
        <f t="shared" si="14"/>
        <v/>
      </c>
    </row>
    <row r="941" spans="8:9" x14ac:dyDescent="0.25">
      <c r="H941" s="11" t="str" cm="1">
        <f t="array" ref="H941">_xlfn.IFS(E941="","",E941="Grand Total",SUM(H$2:H940),TRUE,IF(COUNTIF(Transactions[Custom Category],E941)&gt;0,SUMIFS(Transactions[Amount],Transactions[Custom Category],E941,Transactions[Month],Sel_Month),SUMIFS(Transactions[Amount],Transactions[Name],E941,Transactions[Month],Sel_Month)))</f>
        <v/>
      </c>
      <c r="I941" s="12" t="str">
        <f t="shared" si="14"/>
        <v/>
      </c>
    </row>
    <row r="942" spans="8:9" x14ac:dyDescent="0.25">
      <c r="H942" s="11" t="str" cm="1">
        <f t="array" ref="H942">_xlfn.IFS(E942="","",E942="Grand Total",SUM(H$2:H941),TRUE,IF(COUNTIF(Transactions[Custom Category],E942)&gt;0,SUMIFS(Transactions[Amount],Transactions[Custom Category],E942,Transactions[Month],Sel_Month),SUMIFS(Transactions[Amount],Transactions[Name],E942,Transactions[Month],Sel_Month)))</f>
        <v/>
      </c>
      <c r="I942" s="12" t="str">
        <f t="shared" si="14"/>
        <v/>
      </c>
    </row>
    <row r="943" spans="8:9" x14ac:dyDescent="0.25">
      <c r="H943" s="11" t="str" cm="1">
        <f t="array" ref="H943">_xlfn.IFS(E943="","",E943="Grand Total",SUM(H$2:H942),TRUE,IF(COUNTIF(Transactions[Custom Category],E943)&gt;0,SUMIFS(Transactions[Amount],Transactions[Custom Category],E943,Transactions[Month],Sel_Month),SUMIFS(Transactions[Amount],Transactions[Name],E943,Transactions[Month],Sel_Month)))</f>
        <v/>
      </c>
      <c r="I943" s="12" t="str">
        <f t="shared" si="14"/>
        <v/>
      </c>
    </row>
    <row r="944" spans="8:9" x14ac:dyDescent="0.25">
      <c r="H944" s="11" t="str" cm="1">
        <f t="array" ref="H944">_xlfn.IFS(E944="","",E944="Grand Total",SUM(H$2:H943),TRUE,IF(COUNTIF(Transactions[Custom Category],E944)&gt;0,SUMIFS(Transactions[Amount],Transactions[Custom Category],E944,Transactions[Month],Sel_Month),SUMIFS(Transactions[Amount],Transactions[Name],E944,Transactions[Month],Sel_Month)))</f>
        <v/>
      </c>
      <c r="I944" s="12" t="str">
        <f t="shared" si="14"/>
        <v/>
      </c>
    </row>
    <row r="945" spans="8:9" x14ac:dyDescent="0.25">
      <c r="H945" s="11" t="str" cm="1">
        <f t="array" ref="H945">_xlfn.IFS(E945="","",E945="Grand Total",SUM(H$2:H944),TRUE,IF(COUNTIF(Transactions[Custom Category],E945)&gt;0,SUMIFS(Transactions[Amount],Transactions[Custom Category],E945,Transactions[Month],Sel_Month),SUMIFS(Transactions[Amount],Transactions[Name],E945,Transactions[Month],Sel_Month)))</f>
        <v/>
      </c>
      <c r="I945" s="12" t="str">
        <f t="shared" si="14"/>
        <v/>
      </c>
    </row>
    <row r="946" spans="8:9" x14ac:dyDescent="0.25">
      <c r="H946" s="11" t="str" cm="1">
        <f t="array" ref="H946">_xlfn.IFS(E946="","",E946="Grand Total",SUM(H$2:H945),TRUE,IF(COUNTIF(Transactions[Custom Category],E946)&gt;0,SUMIFS(Transactions[Amount],Transactions[Custom Category],E946,Transactions[Month],Sel_Month),SUMIFS(Transactions[Amount],Transactions[Name],E946,Transactions[Month],Sel_Month)))</f>
        <v/>
      </c>
      <c r="I946" s="12" t="str">
        <f t="shared" si="14"/>
        <v/>
      </c>
    </row>
    <row r="947" spans="8:9" x14ac:dyDescent="0.25">
      <c r="H947" s="11" t="str" cm="1">
        <f t="array" ref="H947">_xlfn.IFS(E947="","",E947="Grand Total",SUM(H$2:H946),TRUE,IF(COUNTIF(Transactions[Custom Category],E947)&gt;0,SUMIFS(Transactions[Amount],Transactions[Custom Category],E947,Transactions[Month],Sel_Month),SUMIFS(Transactions[Amount],Transactions[Name],E947,Transactions[Month],Sel_Month)))</f>
        <v/>
      </c>
      <c r="I947" s="12" t="str">
        <f t="shared" si="14"/>
        <v/>
      </c>
    </row>
    <row r="948" spans="8:9" x14ac:dyDescent="0.25">
      <c r="H948" s="11" t="str" cm="1">
        <f t="array" ref="H948">_xlfn.IFS(E948="","",E948="Grand Total",SUM(H$2:H947),TRUE,IF(COUNTIF(Transactions[Custom Category],E948)&gt;0,SUMIFS(Transactions[Amount],Transactions[Custom Category],E948,Transactions[Month],Sel_Month),SUMIFS(Transactions[Amount],Transactions[Name],E948,Transactions[Month],Sel_Month)))</f>
        <v/>
      </c>
      <c r="I948" s="12" t="str">
        <f t="shared" si="14"/>
        <v/>
      </c>
    </row>
    <row r="949" spans="8:9" x14ac:dyDescent="0.25">
      <c r="H949" s="11" t="str" cm="1">
        <f t="array" ref="H949">_xlfn.IFS(E949="","",E949="Grand Total",SUM(H$2:H948),TRUE,IF(COUNTIF(Transactions[Custom Category],E949)&gt;0,SUMIFS(Transactions[Amount],Transactions[Custom Category],E949,Transactions[Month],Sel_Month),SUMIFS(Transactions[Amount],Transactions[Name],E949,Transactions[Month],Sel_Month)))</f>
        <v/>
      </c>
      <c r="I949" s="12" t="str">
        <f t="shared" si="14"/>
        <v/>
      </c>
    </row>
    <row r="950" spans="8:9" x14ac:dyDescent="0.25">
      <c r="H950" s="11" t="str" cm="1">
        <f t="array" ref="H950">_xlfn.IFS(E950="","",E950="Grand Total",SUM(H$2:H949),TRUE,IF(COUNTIF(Transactions[Custom Category],E950)&gt;0,SUMIFS(Transactions[Amount],Transactions[Custom Category],E950,Transactions[Month],Sel_Month),SUMIFS(Transactions[Amount],Transactions[Name],E950,Transactions[Month],Sel_Month)))</f>
        <v/>
      </c>
      <c r="I950" s="12" t="str">
        <f t="shared" si="14"/>
        <v/>
      </c>
    </row>
    <row r="951" spans="8:9" x14ac:dyDescent="0.25">
      <c r="H951" s="11" t="str" cm="1">
        <f t="array" ref="H951">_xlfn.IFS(E951="","",E951="Grand Total",SUM(H$2:H950),TRUE,IF(COUNTIF(Transactions[Custom Category],E951)&gt;0,SUMIFS(Transactions[Amount],Transactions[Custom Category],E951,Transactions[Month],Sel_Month),SUMIFS(Transactions[Amount],Transactions[Name],E951,Transactions[Month],Sel_Month)))</f>
        <v/>
      </c>
      <c r="I951" s="12" t="str">
        <f t="shared" si="14"/>
        <v/>
      </c>
    </row>
    <row r="952" spans="8:9" x14ac:dyDescent="0.25">
      <c r="H952" s="11" t="str" cm="1">
        <f t="array" ref="H952">_xlfn.IFS(E952="","",E952="Grand Total",SUM(H$2:H951),TRUE,IF(COUNTIF(Transactions[Custom Category],E952)&gt;0,SUMIFS(Transactions[Amount],Transactions[Custom Category],E952,Transactions[Month],Sel_Month),SUMIFS(Transactions[Amount],Transactions[Name],E952,Transactions[Month],Sel_Month)))</f>
        <v/>
      </c>
      <c r="I952" s="12" t="str">
        <f t="shared" si="14"/>
        <v/>
      </c>
    </row>
    <row r="953" spans="8:9" x14ac:dyDescent="0.25">
      <c r="H953" s="11" t="str" cm="1">
        <f t="array" ref="H953">_xlfn.IFS(E953="","",E953="Grand Total",SUM(H$2:H952),TRUE,IF(COUNTIF(Transactions[Custom Category],E953)&gt;0,SUMIFS(Transactions[Amount],Transactions[Custom Category],E953,Transactions[Month],Sel_Month),SUMIFS(Transactions[Amount],Transactions[Name],E953,Transactions[Month],Sel_Month)))</f>
        <v/>
      </c>
      <c r="I953" s="12" t="str">
        <f t="shared" si="14"/>
        <v/>
      </c>
    </row>
    <row r="954" spans="8:9" x14ac:dyDescent="0.25">
      <c r="H954" s="11" t="str" cm="1">
        <f t="array" ref="H954">_xlfn.IFS(E954="","",E954="Grand Total",SUM(H$2:H953),TRUE,IF(COUNTIF(Transactions[Custom Category],E954)&gt;0,SUMIFS(Transactions[Amount],Transactions[Custom Category],E954,Transactions[Month],Sel_Month),SUMIFS(Transactions[Amount],Transactions[Name],E954,Transactions[Month],Sel_Month)))</f>
        <v/>
      </c>
      <c r="I954" s="12" t="str">
        <f t="shared" si="14"/>
        <v/>
      </c>
    </row>
    <row r="955" spans="8:9" x14ac:dyDescent="0.25">
      <c r="H955" s="11" t="str" cm="1">
        <f t="array" ref="H955">_xlfn.IFS(E955="","",E955="Grand Total",SUM(H$2:H954),TRUE,IF(COUNTIF(Transactions[Custom Category],E955)&gt;0,SUMIFS(Transactions[Amount],Transactions[Custom Category],E955,Transactions[Month],Sel_Month),SUMIFS(Transactions[Amount],Transactions[Name],E955,Transactions[Month],Sel_Month)))</f>
        <v/>
      </c>
      <c r="I955" s="12" t="str">
        <f t="shared" si="14"/>
        <v/>
      </c>
    </row>
    <row r="956" spans="8:9" x14ac:dyDescent="0.25">
      <c r="H956" s="11" t="str" cm="1">
        <f t="array" ref="H956">_xlfn.IFS(E956="","",E956="Grand Total",SUM(H$2:H955),TRUE,IF(COUNTIF(Transactions[Custom Category],E956)&gt;0,SUMIFS(Transactions[Amount],Transactions[Custom Category],E956,Transactions[Month],Sel_Month),SUMIFS(Transactions[Amount],Transactions[Name],E956,Transactions[Month],Sel_Month)))</f>
        <v/>
      </c>
      <c r="I956" s="12" t="str">
        <f t="shared" si="14"/>
        <v/>
      </c>
    </row>
    <row r="957" spans="8:9" x14ac:dyDescent="0.25">
      <c r="H957" s="11" t="str" cm="1">
        <f t="array" ref="H957">_xlfn.IFS(E957="","",E957="Grand Total",SUM(H$2:H956),TRUE,IF(COUNTIF(Transactions[Custom Category],E957)&gt;0,SUMIFS(Transactions[Amount],Transactions[Custom Category],E957,Transactions[Month],Sel_Month),SUMIFS(Transactions[Amount],Transactions[Name],E957,Transactions[Month],Sel_Month)))</f>
        <v/>
      </c>
      <c r="I957" s="12" t="str">
        <f t="shared" si="14"/>
        <v/>
      </c>
    </row>
    <row r="958" spans="8:9" x14ac:dyDescent="0.25">
      <c r="H958" s="11" t="str" cm="1">
        <f t="array" ref="H958">_xlfn.IFS(E958="","",E958="Grand Total",SUM(H$2:H957),TRUE,IF(COUNTIF(Transactions[Custom Category],E958)&gt;0,SUMIFS(Transactions[Amount],Transactions[Custom Category],E958,Transactions[Month],Sel_Month),SUMIFS(Transactions[Amount],Transactions[Name],E958,Transactions[Month],Sel_Month)))</f>
        <v/>
      </c>
      <c r="I958" s="12" t="str">
        <f t="shared" si="14"/>
        <v/>
      </c>
    </row>
    <row r="959" spans="8:9" x14ac:dyDescent="0.25">
      <c r="H959" s="11" t="str" cm="1">
        <f t="array" ref="H959">_xlfn.IFS(E959="","",E959="Grand Total",SUM(H$2:H958),TRUE,IF(COUNTIF(Transactions[Custom Category],E959)&gt;0,SUMIFS(Transactions[Amount],Transactions[Custom Category],E959,Transactions[Month],Sel_Month),SUMIFS(Transactions[Amount],Transactions[Name],E959,Transactions[Month],Sel_Month)))</f>
        <v/>
      </c>
      <c r="I959" s="12" t="str">
        <f t="shared" si="14"/>
        <v/>
      </c>
    </row>
    <row r="960" spans="8:9" x14ac:dyDescent="0.25">
      <c r="H960" s="11" t="str" cm="1">
        <f t="array" ref="H960">_xlfn.IFS(E960="","",E960="Grand Total",SUM(H$2:H959),TRUE,IF(COUNTIF(Transactions[Custom Category],E960)&gt;0,SUMIFS(Transactions[Amount],Transactions[Custom Category],E960,Transactions[Month],Sel_Month),SUMIFS(Transactions[Amount],Transactions[Name],E960,Transactions[Month],Sel_Month)))</f>
        <v/>
      </c>
      <c r="I960" s="12" t="str">
        <f t="shared" si="14"/>
        <v/>
      </c>
    </row>
    <row r="961" spans="8:9" x14ac:dyDescent="0.25">
      <c r="H961" s="11" t="str" cm="1">
        <f t="array" ref="H961">_xlfn.IFS(E961="","",E961="Grand Total",SUM(H$2:H960),TRUE,IF(COUNTIF(Transactions[Custom Category],E961)&gt;0,SUMIFS(Transactions[Amount],Transactions[Custom Category],E961,Transactions[Month],Sel_Month),SUMIFS(Transactions[Amount],Transactions[Name],E961,Transactions[Month],Sel_Month)))</f>
        <v/>
      </c>
      <c r="I961" s="12" t="str">
        <f t="shared" si="14"/>
        <v/>
      </c>
    </row>
    <row r="962" spans="8:9" x14ac:dyDescent="0.25">
      <c r="H962" s="11" t="str" cm="1">
        <f t="array" ref="H962">_xlfn.IFS(E962="","",E962="Grand Total",SUM(H$2:H961),TRUE,IF(COUNTIF(Transactions[Custom Category],E962)&gt;0,SUMIFS(Transactions[Amount],Transactions[Custom Category],E962,Transactions[Month],Sel_Month),SUMIFS(Transactions[Amount],Transactions[Name],E962,Transactions[Month],Sel_Month)))</f>
        <v/>
      </c>
      <c r="I962" s="12" t="str">
        <f t="shared" si="14"/>
        <v/>
      </c>
    </row>
    <row r="963" spans="8:9" x14ac:dyDescent="0.25">
      <c r="H963" s="11" t="str" cm="1">
        <f t="array" ref="H963">_xlfn.IFS(E963="","",E963="Grand Total",SUM(H$2:H962),TRUE,IF(COUNTIF(Transactions[Custom Category],E963)&gt;0,SUMIFS(Transactions[Amount],Transactions[Custom Category],E963,Transactions[Month],Sel_Month),SUMIFS(Transactions[Amount],Transactions[Name],E963,Transactions[Month],Sel_Month)))</f>
        <v/>
      </c>
      <c r="I963" s="12" t="str">
        <f t="shared" si="14"/>
        <v/>
      </c>
    </row>
    <row r="964" spans="8:9" x14ac:dyDescent="0.25">
      <c r="H964" s="11" t="str" cm="1">
        <f t="array" ref="H964">_xlfn.IFS(E964="","",E964="Grand Total",SUM(H$2:H963),TRUE,IF(COUNTIF(Transactions[Custom Category],E964)&gt;0,SUMIFS(Transactions[Amount],Transactions[Custom Category],E964,Transactions[Month],Sel_Month),SUMIFS(Transactions[Amount],Transactions[Name],E964,Transactions[Month],Sel_Month)))</f>
        <v/>
      </c>
      <c r="I964" s="12" t="str">
        <f t="shared" ref="I964:I1000" si="15">IF(G964="","",IF(G964=0,0,1-((G964-H964)/G964)))</f>
        <v/>
      </c>
    </row>
    <row r="965" spans="8:9" x14ac:dyDescent="0.25">
      <c r="H965" s="11" t="str" cm="1">
        <f t="array" ref="H965">_xlfn.IFS(E965="","",E965="Grand Total",SUM(H$2:H964),TRUE,IF(COUNTIF(Transactions[Custom Category],E965)&gt;0,SUMIFS(Transactions[Amount],Transactions[Custom Category],E965,Transactions[Month],Sel_Month),SUMIFS(Transactions[Amount],Transactions[Name],E965,Transactions[Month],Sel_Month)))</f>
        <v/>
      </c>
      <c r="I965" s="12" t="str">
        <f t="shared" si="15"/>
        <v/>
      </c>
    </row>
    <row r="966" spans="8:9" x14ac:dyDescent="0.25">
      <c r="H966" s="11" t="str" cm="1">
        <f t="array" ref="H966">_xlfn.IFS(E966="","",E966="Grand Total",SUM(H$2:H965),TRUE,IF(COUNTIF(Transactions[Custom Category],E966)&gt;0,SUMIFS(Transactions[Amount],Transactions[Custom Category],E966,Transactions[Month],Sel_Month),SUMIFS(Transactions[Amount],Transactions[Name],E966,Transactions[Month],Sel_Month)))</f>
        <v/>
      </c>
      <c r="I966" s="12" t="str">
        <f t="shared" si="15"/>
        <v/>
      </c>
    </row>
    <row r="967" spans="8:9" x14ac:dyDescent="0.25">
      <c r="H967" s="11" t="str" cm="1">
        <f t="array" ref="H967">_xlfn.IFS(E967="","",E967="Grand Total",SUM(H$2:H966),TRUE,IF(COUNTIF(Transactions[Custom Category],E967)&gt;0,SUMIFS(Transactions[Amount],Transactions[Custom Category],E967,Transactions[Month],Sel_Month),SUMIFS(Transactions[Amount],Transactions[Name],E967,Transactions[Month],Sel_Month)))</f>
        <v/>
      </c>
      <c r="I967" s="12" t="str">
        <f t="shared" si="15"/>
        <v/>
      </c>
    </row>
    <row r="968" spans="8:9" x14ac:dyDescent="0.25">
      <c r="H968" s="11" t="str" cm="1">
        <f t="array" ref="H968">_xlfn.IFS(E968="","",E968="Grand Total",SUM(H$2:H967),TRUE,IF(COUNTIF(Transactions[Custom Category],E968)&gt;0,SUMIFS(Transactions[Amount],Transactions[Custom Category],E968,Transactions[Month],Sel_Month),SUMIFS(Transactions[Amount],Transactions[Name],E968,Transactions[Month],Sel_Month)))</f>
        <v/>
      </c>
      <c r="I968" s="12" t="str">
        <f t="shared" si="15"/>
        <v/>
      </c>
    </row>
    <row r="969" spans="8:9" x14ac:dyDescent="0.25">
      <c r="H969" s="11" t="str" cm="1">
        <f t="array" ref="H969">_xlfn.IFS(E969="","",E969="Grand Total",SUM(H$2:H968),TRUE,IF(COUNTIF(Transactions[Custom Category],E969)&gt;0,SUMIFS(Transactions[Amount],Transactions[Custom Category],E969,Transactions[Month],Sel_Month),SUMIFS(Transactions[Amount],Transactions[Name],E969,Transactions[Month],Sel_Month)))</f>
        <v/>
      </c>
      <c r="I969" s="12" t="str">
        <f t="shared" si="15"/>
        <v/>
      </c>
    </row>
    <row r="970" spans="8:9" x14ac:dyDescent="0.25">
      <c r="H970" s="11" t="str" cm="1">
        <f t="array" ref="H970">_xlfn.IFS(E970="","",E970="Grand Total",SUM(H$2:H969),TRUE,IF(COUNTIF(Transactions[Custom Category],E970)&gt;0,SUMIFS(Transactions[Amount],Transactions[Custom Category],E970,Transactions[Month],Sel_Month),SUMIFS(Transactions[Amount],Transactions[Name],E970,Transactions[Month],Sel_Month)))</f>
        <v/>
      </c>
      <c r="I970" s="12" t="str">
        <f t="shared" si="15"/>
        <v/>
      </c>
    </row>
    <row r="971" spans="8:9" x14ac:dyDescent="0.25">
      <c r="H971" s="11" t="str" cm="1">
        <f t="array" ref="H971">_xlfn.IFS(E971="","",E971="Grand Total",SUM(H$2:H970),TRUE,IF(COUNTIF(Transactions[Custom Category],E971)&gt;0,SUMIFS(Transactions[Amount],Transactions[Custom Category],E971,Transactions[Month],Sel_Month),SUMIFS(Transactions[Amount],Transactions[Name],E971,Transactions[Month],Sel_Month)))</f>
        <v/>
      </c>
      <c r="I971" s="12" t="str">
        <f t="shared" si="15"/>
        <v/>
      </c>
    </row>
    <row r="972" spans="8:9" x14ac:dyDescent="0.25">
      <c r="H972" s="11" t="str" cm="1">
        <f t="array" ref="H972">_xlfn.IFS(E972="","",E972="Grand Total",SUM(H$2:H971),TRUE,IF(COUNTIF(Transactions[Custom Category],E972)&gt;0,SUMIFS(Transactions[Amount],Transactions[Custom Category],E972,Transactions[Month],Sel_Month),SUMIFS(Transactions[Amount],Transactions[Name],E972,Transactions[Month],Sel_Month)))</f>
        <v/>
      </c>
      <c r="I972" s="12" t="str">
        <f t="shared" si="15"/>
        <v/>
      </c>
    </row>
    <row r="973" spans="8:9" x14ac:dyDescent="0.25">
      <c r="H973" s="11" t="str" cm="1">
        <f t="array" ref="H973">_xlfn.IFS(E973="","",E973="Grand Total",SUM(H$2:H972),TRUE,IF(COUNTIF(Transactions[Custom Category],E973)&gt;0,SUMIFS(Transactions[Amount],Transactions[Custom Category],E973,Transactions[Month],Sel_Month),SUMIFS(Transactions[Amount],Transactions[Name],E973,Transactions[Month],Sel_Month)))</f>
        <v/>
      </c>
      <c r="I973" s="12" t="str">
        <f t="shared" si="15"/>
        <v/>
      </c>
    </row>
    <row r="974" spans="8:9" x14ac:dyDescent="0.25">
      <c r="H974" s="11" t="str" cm="1">
        <f t="array" ref="H974">_xlfn.IFS(E974="","",E974="Grand Total",SUM(H$2:H973),TRUE,IF(COUNTIF(Transactions[Custom Category],E974)&gt;0,SUMIFS(Transactions[Amount],Transactions[Custom Category],E974,Transactions[Month],Sel_Month),SUMIFS(Transactions[Amount],Transactions[Name],E974,Transactions[Month],Sel_Month)))</f>
        <v/>
      </c>
      <c r="I974" s="12" t="str">
        <f t="shared" si="15"/>
        <v/>
      </c>
    </row>
    <row r="975" spans="8:9" x14ac:dyDescent="0.25">
      <c r="H975" s="11" t="str" cm="1">
        <f t="array" ref="H975">_xlfn.IFS(E975="","",E975="Grand Total",SUM(H$2:H974),TRUE,IF(COUNTIF(Transactions[Custom Category],E975)&gt;0,SUMIFS(Transactions[Amount],Transactions[Custom Category],E975,Transactions[Month],Sel_Month),SUMIFS(Transactions[Amount],Transactions[Name],E975,Transactions[Month],Sel_Month)))</f>
        <v/>
      </c>
      <c r="I975" s="12" t="str">
        <f t="shared" si="15"/>
        <v/>
      </c>
    </row>
    <row r="976" spans="8:9" x14ac:dyDescent="0.25">
      <c r="H976" s="11" t="str" cm="1">
        <f t="array" ref="H976">_xlfn.IFS(E976="","",E976="Grand Total",SUM(H$2:H975),TRUE,IF(COUNTIF(Transactions[Custom Category],E976)&gt;0,SUMIFS(Transactions[Amount],Transactions[Custom Category],E976,Transactions[Month],Sel_Month),SUMIFS(Transactions[Amount],Transactions[Name],E976,Transactions[Month],Sel_Month)))</f>
        <v/>
      </c>
      <c r="I976" s="12" t="str">
        <f t="shared" si="15"/>
        <v/>
      </c>
    </row>
    <row r="977" spans="8:9" x14ac:dyDescent="0.25">
      <c r="H977" s="11" t="str" cm="1">
        <f t="array" ref="H977">_xlfn.IFS(E977="","",E977="Grand Total",SUM(H$2:H976),TRUE,IF(COUNTIF(Transactions[Custom Category],E977)&gt;0,SUMIFS(Transactions[Amount],Transactions[Custom Category],E977,Transactions[Month],Sel_Month),SUMIFS(Transactions[Amount],Transactions[Name],E977,Transactions[Month],Sel_Month)))</f>
        <v/>
      </c>
      <c r="I977" s="12" t="str">
        <f t="shared" si="15"/>
        <v/>
      </c>
    </row>
    <row r="978" spans="8:9" x14ac:dyDescent="0.25">
      <c r="H978" s="11" t="str" cm="1">
        <f t="array" ref="H978">_xlfn.IFS(E978="","",E978="Grand Total",SUM(H$2:H977),TRUE,IF(COUNTIF(Transactions[Custom Category],E978)&gt;0,SUMIFS(Transactions[Amount],Transactions[Custom Category],E978,Transactions[Month],Sel_Month),SUMIFS(Transactions[Amount],Transactions[Name],E978,Transactions[Month],Sel_Month)))</f>
        <v/>
      </c>
      <c r="I978" s="12" t="str">
        <f t="shared" si="15"/>
        <v/>
      </c>
    </row>
    <row r="979" spans="8:9" x14ac:dyDescent="0.25">
      <c r="H979" s="11" t="str" cm="1">
        <f t="array" ref="H979">_xlfn.IFS(E979="","",E979="Grand Total",SUM(H$2:H978),TRUE,IF(COUNTIF(Transactions[Custom Category],E979)&gt;0,SUMIFS(Transactions[Amount],Transactions[Custom Category],E979,Transactions[Month],Sel_Month),SUMIFS(Transactions[Amount],Transactions[Name],E979,Transactions[Month],Sel_Month)))</f>
        <v/>
      </c>
      <c r="I979" s="12" t="str">
        <f t="shared" si="15"/>
        <v/>
      </c>
    </row>
    <row r="980" spans="8:9" x14ac:dyDescent="0.25">
      <c r="H980" s="11" t="str" cm="1">
        <f t="array" ref="H980">_xlfn.IFS(E980="","",E980="Grand Total",SUM(H$2:H979),TRUE,IF(COUNTIF(Transactions[Custom Category],E980)&gt;0,SUMIFS(Transactions[Amount],Transactions[Custom Category],E980,Transactions[Month],Sel_Month),SUMIFS(Transactions[Amount],Transactions[Name],E980,Transactions[Month],Sel_Month)))</f>
        <v/>
      </c>
      <c r="I980" s="12" t="str">
        <f t="shared" si="15"/>
        <v/>
      </c>
    </row>
    <row r="981" spans="8:9" x14ac:dyDescent="0.25">
      <c r="H981" s="11" t="str" cm="1">
        <f t="array" ref="H981">_xlfn.IFS(E981="","",E981="Grand Total",SUM(H$2:H980),TRUE,IF(COUNTIF(Transactions[Custom Category],E981)&gt;0,SUMIFS(Transactions[Amount],Transactions[Custom Category],E981,Transactions[Month],Sel_Month),SUMIFS(Transactions[Amount],Transactions[Name],E981,Transactions[Month],Sel_Month)))</f>
        <v/>
      </c>
      <c r="I981" s="12" t="str">
        <f t="shared" si="15"/>
        <v/>
      </c>
    </row>
    <row r="982" spans="8:9" x14ac:dyDescent="0.25">
      <c r="H982" s="11" t="str" cm="1">
        <f t="array" ref="H982">_xlfn.IFS(E982="","",E982="Grand Total",SUM(H$2:H981),TRUE,IF(COUNTIF(Transactions[Custom Category],E982)&gt;0,SUMIFS(Transactions[Amount],Transactions[Custom Category],E982,Transactions[Month],Sel_Month),SUMIFS(Transactions[Amount],Transactions[Name],E982,Transactions[Month],Sel_Month)))</f>
        <v/>
      </c>
      <c r="I982" s="12" t="str">
        <f t="shared" si="15"/>
        <v/>
      </c>
    </row>
    <row r="983" spans="8:9" x14ac:dyDescent="0.25">
      <c r="H983" s="11" t="str" cm="1">
        <f t="array" ref="H983">_xlfn.IFS(E983="","",E983="Grand Total",SUM(H$2:H982),TRUE,IF(COUNTIF(Transactions[Custom Category],E983)&gt;0,SUMIFS(Transactions[Amount],Transactions[Custom Category],E983,Transactions[Month],Sel_Month),SUMIFS(Transactions[Amount],Transactions[Name],E983,Transactions[Month],Sel_Month)))</f>
        <v/>
      </c>
      <c r="I983" s="12" t="str">
        <f t="shared" si="15"/>
        <v/>
      </c>
    </row>
    <row r="984" spans="8:9" x14ac:dyDescent="0.25">
      <c r="H984" s="11" t="str" cm="1">
        <f t="array" ref="H984">_xlfn.IFS(E984="","",E984="Grand Total",SUM(H$2:H983),TRUE,IF(COUNTIF(Transactions[Custom Category],E984)&gt;0,SUMIFS(Transactions[Amount],Transactions[Custom Category],E984,Transactions[Month],Sel_Month),SUMIFS(Transactions[Amount],Transactions[Name],E984,Transactions[Month],Sel_Month)))</f>
        <v/>
      </c>
      <c r="I984" s="12" t="str">
        <f t="shared" si="15"/>
        <v/>
      </c>
    </row>
    <row r="985" spans="8:9" x14ac:dyDescent="0.25">
      <c r="H985" s="11" t="str" cm="1">
        <f t="array" ref="H985">_xlfn.IFS(E985="","",E985="Grand Total",SUM(H$2:H984),TRUE,IF(COUNTIF(Transactions[Custom Category],E985)&gt;0,SUMIFS(Transactions[Amount],Transactions[Custom Category],E985,Transactions[Month],Sel_Month),SUMIFS(Transactions[Amount],Transactions[Name],E985,Transactions[Month],Sel_Month)))</f>
        <v/>
      </c>
      <c r="I985" s="12" t="str">
        <f t="shared" si="15"/>
        <v/>
      </c>
    </row>
    <row r="986" spans="8:9" x14ac:dyDescent="0.25">
      <c r="H986" s="11" t="str" cm="1">
        <f t="array" ref="H986">_xlfn.IFS(E986="","",E986="Grand Total",SUM(H$2:H985),TRUE,IF(COUNTIF(Transactions[Custom Category],E986)&gt;0,SUMIFS(Transactions[Amount],Transactions[Custom Category],E986,Transactions[Month],Sel_Month),SUMIFS(Transactions[Amount],Transactions[Name],E986,Transactions[Month],Sel_Month)))</f>
        <v/>
      </c>
      <c r="I986" s="12" t="str">
        <f t="shared" si="15"/>
        <v/>
      </c>
    </row>
    <row r="987" spans="8:9" x14ac:dyDescent="0.25">
      <c r="H987" s="11" t="str" cm="1">
        <f t="array" ref="H987">_xlfn.IFS(E987="","",E987="Grand Total",SUM(H$2:H986),TRUE,IF(COUNTIF(Transactions[Custom Category],E987)&gt;0,SUMIFS(Transactions[Amount],Transactions[Custom Category],E987,Transactions[Month],Sel_Month),SUMIFS(Transactions[Amount],Transactions[Name],E987,Transactions[Month],Sel_Month)))</f>
        <v/>
      </c>
      <c r="I987" s="12" t="str">
        <f t="shared" si="15"/>
        <v/>
      </c>
    </row>
    <row r="988" spans="8:9" x14ac:dyDescent="0.25">
      <c r="H988" s="11" t="str" cm="1">
        <f t="array" ref="H988">_xlfn.IFS(E988="","",E988="Grand Total",SUM(H$2:H987),TRUE,IF(COUNTIF(Transactions[Custom Category],E988)&gt;0,SUMIFS(Transactions[Amount],Transactions[Custom Category],E988,Transactions[Month],Sel_Month),SUMIFS(Transactions[Amount],Transactions[Name],E988,Transactions[Month],Sel_Month)))</f>
        <v/>
      </c>
      <c r="I988" s="12" t="str">
        <f t="shared" si="15"/>
        <v/>
      </c>
    </row>
    <row r="989" spans="8:9" x14ac:dyDescent="0.25">
      <c r="H989" s="11" t="str" cm="1">
        <f t="array" ref="H989">_xlfn.IFS(E989="","",E989="Grand Total",SUM(H$2:H988),TRUE,IF(COUNTIF(Transactions[Custom Category],E989)&gt;0,SUMIFS(Transactions[Amount],Transactions[Custom Category],E989,Transactions[Month],Sel_Month),SUMIFS(Transactions[Amount],Transactions[Name],E989,Transactions[Month],Sel_Month)))</f>
        <v/>
      </c>
      <c r="I989" s="12" t="str">
        <f t="shared" si="15"/>
        <v/>
      </c>
    </row>
    <row r="990" spans="8:9" x14ac:dyDescent="0.25">
      <c r="H990" s="11" t="str" cm="1">
        <f t="array" ref="H990">_xlfn.IFS(E990="","",E990="Grand Total",SUM(H$2:H989),TRUE,IF(COUNTIF(Transactions[Custom Category],E990)&gt;0,SUMIFS(Transactions[Amount],Transactions[Custom Category],E990,Transactions[Month],Sel_Month),SUMIFS(Transactions[Amount],Transactions[Name],E990,Transactions[Month],Sel_Month)))</f>
        <v/>
      </c>
      <c r="I990" s="12" t="str">
        <f t="shared" si="15"/>
        <v/>
      </c>
    </row>
    <row r="991" spans="8:9" x14ac:dyDescent="0.25">
      <c r="H991" s="11" t="str" cm="1">
        <f t="array" ref="H991">_xlfn.IFS(E991="","",E991="Grand Total",SUM(H$2:H990),TRUE,IF(COUNTIF(Transactions[Custom Category],E991)&gt;0,SUMIFS(Transactions[Amount],Transactions[Custom Category],E991,Transactions[Month],Sel_Month),SUMIFS(Transactions[Amount],Transactions[Name],E991,Transactions[Month],Sel_Month)))</f>
        <v/>
      </c>
      <c r="I991" s="12" t="str">
        <f t="shared" si="15"/>
        <v/>
      </c>
    </row>
    <row r="992" spans="8:9" x14ac:dyDescent="0.25">
      <c r="H992" s="11" t="str" cm="1">
        <f t="array" ref="H992">_xlfn.IFS(E992="","",E992="Grand Total",SUM(H$2:H991),TRUE,IF(COUNTIF(Transactions[Custom Category],E992)&gt;0,SUMIFS(Transactions[Amount],Transactions[Custom Category],E992,Transactions[Month],Sel_Month),SUMIFS(Transactions[Amount],Transactions[Name],E992,Transactions[Month],Sel_Month)))</f>
        <v/>
      </c>
      <c r="I992" s="12" t="str">
        <f t="shared" si="15"/>
        <v/>
      </c>
    </row>
    <row r="993" spans="8:9" x14ac:dyDescent="0.25">
      <c r="H993" s="11" t="str" cm="1">
        <f t="array" ref="H993">_xlfn.IFS(E993="","",E993="Grand Total",SUM(H$2:H992),TRUE,IF(COUNTIF(Transactions[Custom Category],E993)&gt;0,SUMIFS(Transactions[Amount],Transactions[Custom Category],E993,Transactions[Month],Sel_Month),SUMIFS(Transactions[Amount],Transactions[Name],E993,Transactions[Month],Sel_Month)))</f>
        <v/>
      </c>
      <c r="I993" s="12" t="str">
        <f t="shared" si="15"/>
        <v/>
      </c>
    </row>
    <row r="994" spans="8:9" x14ac:dyDescent="0.25">
      <c r="H994" s="11" t="str" cm="1">
        <f t="array" ref="H994">_xlfn.IFS(E994="","",E994="Grand Total",SUM(H$2:H993),TRUE,IF(COUNTIF(Transactions[Custom Category],E994)&gt;0,SUMIFS(Transactions[Amount],Transactions[Custom Category],E994,Transactions[Month],Sel_Month),SUMIFS(Transactions[Amount],Transactions[Name],E994,Transactions[Month],Sel_Month)))</f>
        <v/>
      </c>
      <c r="I994" s="12" t="str">
        <f t="shared" si="15"/>
        <v/>
      </c>
    </row>
    <row r="995" spans="8:9" x14ac:dyDescent="0.25">
      <c r="H995" s="11" t="str" cm="1">
        <f t="array" ref="H995">_xlfn.IFS(E995="","",E995="Grand Total",SUM(H$2:H994),TRUE,IF(COUNTIF(Transactions[Custom Category],E995)&gt;0,SUMIFS(Transactions[Amount],Transactions[Custom Category],E995,Transactions[Month],Sel_Month),SUMIFS(Transactions[Amount],Transactions[Name],E995,Transactions[Month],Sel_Month)))</f>
        <v/>
      </c>
      <c r="I995" s="12" t="str">
        <f t="shared" si="15"/>
        <v/>
      </c>
    </row>
    <row r="996" spans="8:9" x14ac:dyDescent="0.25">
      <c r="H996" s="11" t="str" cm="1">
        <f t="array" ref="H996">_xlfn.IFS(E996="","",E996="Grand Total",SUM(H$2:H995),TRUE,IF(COUNTIF(Transactions[Custom Category],E996)&gt;0,SUMIFS(Transactions[Amount],Transactions[Custom Category],E996,Transactions[Month],Sel_Month),SUMIFS(Transactions[Amount],Transactions[Name],E996,Transactions[Month],Sel_Month)))</f>
        <v/>
      </c>
      <c r="I996" s="12" t="str">
        <f t="shared" si="15"/>
        <v/>
      </c>
    </row>
    <row r="997" spans="8:9" x14ac:dyDescent="0.25">
      <c r="H997" s="11" t="str" cm="1">
        <f t="array" ref="H997">_xlfn.IFS(E997="","",E997="Grand Total",SUM(H$2:H996),TRUE,IF(COUNTIF(Transactions[Custom Category],E997)&gt;0,SUMIFS(Transactions[Amount],Transactions[Custom Category],E997,Transactions[Month],Sel_Month),SUMIFS(Transactions[Amount],Transactions[Name],E997,Transactions[Month],Sel_Month)))</f>
        <v/>
      </c>
      <c r="I997" s="12" t="str">
        <f t="shared" si="15"/>
        <v/>
      </c>
    </row>
    <row r="998" spans="8:9" x14ac:dyDescent="0.25">
      <c r="H998" s="11" t="str" cm="1">
        <f t="array" ref="H998">_xlfn.IFS(E998="","",E998="Grand Total",SUM(H$2:H997),TRUE,IF(COUNTIF(Transactions[Custom Category],E998)&gt;0,SUMIFS(Transactions[Amount],Transactions[Custom Category],E998,Transactions[Month],Sel_Month),SUMIFS(Transactions[Amount],Transactions[Name],E998,Transactions[Month],Sel_Month)))</f>
        <v/>
      </c>
      <c r="I998" s="12" t="str">
        <f t="shared" si="15"/>
        <v/>
      </c>
    </row>
    <row r="999" spans="8:9" x14ac:dyDescent="0.25">
      <c r="H999" s="11" t="str" cm="1">
        <f t="array" ref="H999">_xlfn.IFS(E999="","",E999="Grand Total",SUM(H$2:H998),TRUE,IF(COUNTIF(Transactions[Custom Category],E999)&gt;0,SUMIFS(Transactions[Amount],Transactions[Custom Category],E999,Transactions[Month],Sel_Month),SUMIFS(Transactions[Amount],Transactions[Name],E999,Transactions[Month],Sel_Month)))</f>
        <v/>
      </c>
      <c r="I999" s="12" t="str">
        <f t="shared" si="15"/>
        <v/>
      </c>
    </row>
    <row r="1000" spans="8:9" x14ac:dyDescent="0.25">
      <c r="H1000" s="11" t="str" cm="1">
        <f t="array" ref="H1000">_xlfn.IFS(E1000="","",E1000="Grand Total",SUM(H$2:H999),TRUE,IF(COUNTIF(Transactions[Custom Category],E1000)&gt;0,SUMIFS(Transactions[Amount],Transactions[Custom Category],E1000,Transactions[Month],Sel_Month),SUMIFS(Transactions[Amount],Transactions[Name],E1000,Transactions[Month],Sel_Month)))</f>
        <v/>
      </c>
      <c r="I1000" s="12" t="str">
        <f t="shared" si="15"/>
        <v/>
      </c>
    </row>
  </sheetData>
  <conditionalFormatting sqref="H3:I1000">
    <cfRule type="expression" dxfId="1" priority="1" stopIfTrue="1">
      <formula>$E3="Total"</formula>
    </cfRule>
    <cfRule type="expression" dxfId="0" priority="2">
      <formula>$E3&lt;&gt;""</formula>
    </cfRule>
  </conditionalFormatting>
  <dataValidations count="1">
    <dataValidation type="list" allowBlank="1" showInputMessage="1" showErrorMessage="1" promptTitle="Select Month" sqref="I1" xr:uid="{3850E831-CF06-4A77-A215-8B96EAEF23F8}">
      <formula1>Unique_Months</formula1>
    </dataValidation>
  </dataValidations>
  <pageMargins left="0.7" right="0.7" top="0.75" bottom="0.75" header="0.3" footer="0.3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How frequently resets" prompt="Select the frequency at which this budget will reset" xr:uid="{1AFBA4B2-E2F6-4585-A6DC-E6D6E86F6AAB}">
          <x14:formula1>
            <xm:f>Conf!$A$2:$A$8</xm:f>
          </x14:formula1>
          <xm:sqref>L3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FFD0-868B-4F0D-A9AA-366FCA2A4264}">
  <sheetPr codeName="Sheet2"/>
  <dimension ref="A1:I1"/>
  <sheetViews>
    <sheetView workbookViewId="0">
      <selection activeCell="C34" sqref="C34"/>
    </sheetView>
  </sheetViews>
  <sheetFormatPr defaultRowHeight="15" x14ac:dyDescent="0.25"/>
  <cols>
    <col min="1" max="1" width="18.5703125" bestFit="1" customWidth="1"/>
    <col min="2" max="2" width="11" customWidth="1"/>
    <col min="3" max="3" width="56.5703125" customWidth="1"/>
    <col min="4" max="9" width="1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DD1E-E608-46F6-A6DF-A714ACAD90B0}">
  <sheetPr codeName="Sheet3"/>
  <dimension ref="A1:U2"/>
  <sheetViews>
    <sheetView zoomScaleNormal="100" workbookViewId="0">
      <selection activeCell="D17" sqref="D17"/>
    </sheetView>
  </sheetViews>
  <sheetFormatPr defaultRowHeight="15" x14ac:dyDescent="0.25"/>
  <cols>
    <col min="1" max="3" width="11" customWidth="1"/>
    <col min="4" max="4" width="35" customWidth="1"/>
    <col min="5" max="5" width="15.7109375" style="3" customWidth="1"/>
    <col min="6" max="7" width="11" customWidth="1"/>
    <col min="8" max="8" width="40" customWidth="1"/>
    <col min="9" max="9" width="11" customWidth="1"/>
    <col min="10" max="11" width="12.140625" customWidth="1"/>
    <col min="12" max="12" width="21.5703125" customWidth="1"/>
    <col min="13" max="13" width="14.7109375" customWidth="1"/>
    <col min="14" max="14" width="11.42578125" bestFit="1" customWidth="1"/>
    <col min="15" max="15" width="17" customWidth="1"/>
    <col min="16" max="16" width="11.140625" customWidth="1"/>
    <col min="17" max="17" width="15.7109375" customWidth="1"/>
    <col min="19" max="19" width="11.5703125" bestFit="1" customWidth="1"/>
  </cols>
  <sheetData>
    <row r="1" spans="1:21" x14ac:dyDescent="0.25">
      <c r="A1" t="s">
        <v>9</v>
      </c>
      <c r="B1" t="s">
        <v>10</v>
      </c>
      <c r="C1" t="s">
        <v>11</v>
      </c>
      <c r="D1" t="s">
        <v>12</v>
      </c>
      <c r="E1" s="3" t="s">
        <v>22</v>
      </c>
      <c r="F1" t="s">
        <v>13</v>
      </c>
      <c r="G1" t="s">
        <v>14</v>
      </c>
      <c r="H1" t="s">
        <v>5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21</v>
      </c>
      <c r="O1" t="s">
        <v>20</v>
      </c>
      <c r="P1" t="s">
        <v>25</v>
      </c>
      <c r="Q1" t="s">
        <v>26</v>
      </c>
      <c r="R1" t="s">
        <v>39</v>
      </c>
      <c r="S1" t="s">
        <v>24</v>
      </c>
      <c r="T1" t="s">
        <v>27</v>
      </c>
      <c r="U1" t="s">
        <v>42</v>
      </c>
    </row>
    <row r="2" spans="1:21" x14ac:dyDescent="0.25">
      <c r="P2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ECD2-A274-46BE-BFC1-4129AF181C77}">
  <sheetPr codeName="Sheet4"/>
  <dimension ref="A1:J11"/>
  <sheetViews>
    <sheetView workbookViewId="0">
      <selection activeCell="G11" sqref="G11"/>
    </sheetView>
  </sheetViews>
  <sheetFormatPr defaultRowHeight="15" x14ac:dyDescent="0.25"/>
  <cols>
    <col min="1" max="1" width="13" customWidth="1"/>
    <col min="4" max="4" width="16" style="17" bestFit="1" customWidth="1"/>
    <col min="6" max="6" width="10" customWidth="1"/>
    <col min="7" max="7" width="50.42578125" customWidth="1"/>
    <col min="10" max="10" width="10.5703125" customWidth="1"/>
  </cols>
  <sheetData>
    <row r="1" spans="1:10" x14ac:dyDescent="0.25">
      <c r="A1" t="s">
        <v>30</v>
      </c>
      <c r="B1" t="s">
        <v>38</v>
      </c>
      <c r="D1" s="17" cm="1">
        <f t="array" ref="D1">_xlfn.UNIQUE(Transactions[Month])</f>
        <v>0</v>
      </c>
      <c r="F1" t="s">
        <v>46</v>
      </c>
      <c r="G1" t="s">
        <v>47</v>
      </c>
      <c r="I1" t="s">
        <v>5</v>
      </c>
      <c r="J1" t="s">
        <v>47</v>
      </c>
    </row>
    <row r="2" spans="1:10" x14ac:dyDescent="0.25">
      <c r="A2" t="s">
        <v>32</v>
      </c>
      <c r="B2">
        <v>30</v>
      </c>
      <c r="F2" t="s">
        <v>18</v>
      </c>
      <c r="G2" s="14" t="s">
        <v>48</v>
      </c>
      <c r="I2" t="s">
        <v>58</v>
      </c>
      <c r="J2" t="s">
        <v>59</v>
      </c>
    </row>
    <row r="3" spans="1:10" x14ac:dyDescent="0.25">
      <c r="A3" t="s">
        <v>31</v>
      </c>
      <c r="B3">
        <v>4</v>
      </c>
      <c r="F3" t="s">
        <v>19</v>
      </c>
      <c r="G3" t="s">
        <v>49</v>
      </c>
      <c r="I3" t="s">
        <v>60</v>
      </c>
      <c r="J3" t="s">
        <v>61</v>
      </c>
    </row>
    <row r="4" spans="1:10" x14ac:dyDescent="0.25">
      <c r="A4" t="s">
        <v>33</v>
      </c>
      <c r="B4">
        <v>2</v>
      </c>
      <c r="F4" t="s">
        <v>21</v>
      </c>
      <c r="G4" t="s">
        <v>50</v>
      </c>
    </row>
    <row r="5" spans="1:10" x14ac:dyDescent="0.25">
      <c r="A5" t="s">
        <v>34</v>
      </c>
      <c r="B5">
        <v>1</v>
      </c>
      <c r="F5" t="s">
        <v>20</v>
      </c>
      <c r="G5" s="14" t="s">
        <v>51</v>
      </c>
    </row>
    <row r="6" spans="1:10" x14ac:dyDescent="0.25">
      <c r="A6" t="s">
        <v>35</v>
      </c>
      <c r="B6">
        <f>1/3</f>
        <v>0.33333333333333331</v>
      </c>
      <c r="F6" t="s">
        <v>25</v>
      </c>
      <c r="G6" s="15" t="s">
        <v>52</v>
      </c>
    </row>
    <row r="7" spans="1:10" x14ac:dyDescent="0.25">
      <c r="A7" t="s">
        <v>36</v>
      </c>
      <c r="B7">
        <f>1/6</f>
        <v>0.16666666666666666</v>
      </c>
      <c r="F7" t="s">
        <v>26</v>
      </c>
      <c r="G7" s="14" t="s">
        <v>53</v>
      </c>
    </row>
    <row r="8" spans="1:10" x14ac:dyDescent="0.25">
      <c r="A8" t="s">
        <v>37</v>
      </c>
      <c r="B8">
        <f>1/12</f>
        <v>8.3333333333333329E-2</v>
      </c>
      <c r="F8" t="s">
        <v>39</v>
      </c>
      <c r="G8" s="16" t="s">
        <v>54</v>
      </c>
    </row>
    <row r="9" spans="1:10" x14ac:dyDescent="0.25">
      <c r="F9" t="s">
        <v>24</v>
      </c>
      <c r="G9" s="14" t="s">
        <v>55</v>
      </c>
    </row>
    <row r="10" spans="1:10" x14ac:dyDescent="0.25">
      <c r="F10" t="s">
        <v>27</v>
      </c>
      <c r="G10" s="14" t="s">
        <v>56</v>
      </c>
    </row>
    <row r="11" spans="1:10" x14ac:dyDescent="0.25">
      <c r="F11" t="s">
        <v>42</v>
      </c>
      <c r="G11" s="14" t="s">
        <v>57</v>
      </c>
    </row>
  </sheetData>
  <pageMargins left="0.7" right="0.7" top="0.75" bottom="0.75" header="0.3" footer="0.3"/>
  <pageSetup orientation="portrait" horizontalDpi="0" verticalDpi="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Accounts</vt:lpstr>
      <vt:lpstr>Transactions</vt:lpstr>
      <vt:lpstr>Conf</vt:lpstr>
      <vt:lpstr>Sel_Month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R Avila</cp:lastModifiedBy>
  <dcterms:created xsi:type="dcterms:W3CDTF">2024-04-17T02:26:28Z</dcterms:created>
  <dcterms:modified xsi:type="dcterms:W3CDTF">2024-06-23T02:23:00Z</dcterms:modified>
</cp:coreProperties>
</file>